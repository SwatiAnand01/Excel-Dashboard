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18f9b6105bc7974f/Documents/"/>
    </mc:Choice>
  </mc:AlternateContent>
  <xr:revisionPtr revIDLastSave="1366" documentId="8_{A945FC5D-06EE-4CF1-981A-62A401B9832B}" xr6:coauthVersionLast="47" xr6:coauthVersionMax="47" xr10:uidLastSave="{CFE79C9C-0FB9-4E74-B55B-7C9875BB0319}"/>
  <bookViews>
    <workbookView xWindow="-108" yWindow="-108" windowWidth="23256" windowHeight="12456" xr2:uid="{21B97750-1215-45A2-9E1E-C382895177C6}"/>
  </bookViews>
  <sheets>
    <sheet name="Raw Data" sheetId="6" r:id="rId1"/>
    <sheet name="KPI" sheetId="3" r:id="rId2"/>
    <sheet name="Dashboard" sheetId="5" r:id="rId3"/>
  </sheets>
  <definedNames>
    <definedName name="_xlchart.v1.11" hidden="1">KPI!$E$21:$E$30</definedName>
    <definedName name="_xlchart.v1.12" hidden="1">KPI!$F$20</definedName>
    <definedName name="_xlchart.v1.13" hidden="1">KPI!$F$21:$F$30</definedName>
    <definedName name="_xlchart.v1.4" hidden="1">KPI!$E$21:$E$30</definedName>
    <definedName name="_xlchart.v1.5" hidden="1">KPI!$F$20</definedName>
    <definedName name="_xlchart.v1.6" hidden="1">KPI!$F$21:$F$30</definedName>
    <definedName name="_xlchart.v5.0" hidden="1">KPI!$U$13</definedName>
    <definedName name="_xlchart.v5.1" hidden="1">KPI!$U$14:$U$19</definedName>
    <definedName name="_xlchart.v5.10" hidden="1">KPI!$V$14:$V$19</definedName>
    <definedName name="_xlchart.v5.2" hidden="1">KPI!$V$13</definedName>
    <definedName name="_xlchart.v5.3" hidden="1">KPI!$V$14:$V$19</definedName>
    <definedName name="_xlchart.v5.7" hidden="1">KPI!$U$13</definedName>
    <definedName name="_xlchart.v5.8" hidden="1">KPI!$U$14:$U$19</definedName>
    <definedName name="_xlchart.v5.9" hidden="1">KPI!$V$13</definedName>
    <definedName name="NativeTimeline_OrderDate">#N/A</definedName>
    <definedName name="_xlnm.Print_Area" localSheetId="2">Dashboard!$B$2:$AB$48</definedName>
    <definedName name="Slicer_Category">#N/A</definedName>
    <definedName name="Slicer_Gender">#N/A</definedName>
    <definedName name="Slicer_OrderChannel">#N/A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2" i="3" l="1"/>
  <c r="AF2" i="3"/>
  <c r="AC2" i="3"/>
  <c r="U15" i="3"/>
  <c r="U16" i="3"/>
  <c r="U17" i="3"/>
  <c r="U18" i="3"/>
  <c r="U19" i="3"/>
  <c r="U14" i="3"/>
  <c r="V15" i="3"/>
  <c r="V16" i="3"/>
  <c r="V17" i="3"/>
  <c r="V18" i="3"/>
  <c r="V19" i="3"/>
  <c r="V14" i="3"/>
  <c r="E22" i="3"/>
  <c r="E23" i="3"/>
  <c r="E24" i="3"/>
  <c r="E25" i="3"/>
  <c r="E26" i="3"/>
  <c r="E27" i="3"/>
  <c r="E28" i="3"/>
  <c r="E29" i="3"/>
  <c r="E30" i="3"/>
  <c r="E21" i="3"/>
  <c r="F22" i="3"/>
  <c r="F23" i="3"/>
  <c r="F24" i="3"/>
  <c r="F25" i="3"/>
  <c r="F26" i="3"/>
  <c r="F27" i="3"/>
  <c r="F28" i="3"/>
  <c r="F29" i="3"/>
  <c r="F30" i="3"/>
  <c r="F21" i="3"/>
</calcChain>
</file>

<file path=xl/sharedStrings.xml><?xml version="1.0" encoding="utf-8"?>
<sst xmlns="http://schemas.openxmlformats.org/spreadsheetml/2006/main" count="15099" uniqueCount="1713">
  <si>
    <t>OrderID</t>
  </si>
  <si>
    <t>OrderDate</t>
  </si>
  <si>
    <t>CustomerID</t>
  </si>
  <si>
    <t>CustomerName</t>
  </si>
  <si>
    <t>Gender</t>
  </si>
  <si>
    <t>Age</t>
  </si>
  <si>
    <t>Product</t>
  </si>
  <si>
    <t>Category</t>
  </si>
  <si>
    <t>SubCategory</t>
  </si>
  <si>
    <t>Brand</t>
  </si>
  <si>
    <t>Quantity</t>
  </si>
  <si>
    <t>UnitPrice</t>
  </si>
  <si>
    <t>Discount</t>
  </si>
  <si>
    <t>DiscountAmount</t>
  </si>
  <si>
    <t>Tax</t>
  </si>
  <si>
    <t>ShippingCost</t>
  </si>
  <si>
    <t>TotalAmount</t>
  </si>
  <si>
    <t>PaymentMethod</t>
  </si>
  <si>
    <t>OrderChannel</t>
  </si>
  <si>
    <t>City</t>
  </si>
  <si>
    <t>State</t>
  </si>
  <si>
    <t>Region</t>
  </si>
  <si>
    <t>DeliveryDays</t>
  </si>
  <si>
    <t>ReturnStatus</t>
  </si>
  <si>
    <t>Rating</t>
  </si>
  <si>
    <t>Status</t>
  </si>
  <si>
    <t>ORD00001</t>
  </si>
  <si>
    <t>CUST883</t>
  </si>
  <si>
    <t>Rahul</t>
  </si>
  <si>
    <t>Female</t>
  </si>
  <si>
    <t>Headphones</t>
  </si>
  <si>
    <t>Electronics</t>
  </si>
  <si>
    <t>Sony</t>
  </si>
  <si>
    <t>Net Banking</t>
  </si>
  <si>
    <t>Website</t>
  </si>
  <si>
    <t>Mumbai</t>
  </si>
  <si>
    <t>Maharashtra</t>
  </si>
  <si>
    <t>West</t>
  </si>
  <si>
    <t>No Return</t>
  </si>
  <si>
    <t>Delivered</t>
  </si>
  <si>
    <t>ORD00002</t>
  </si>
  <si>
    <t>CUST657</t>
  </si>
  <si>
    <t>Neha</t>
  </si>
  <si>
    <t>Male</t>
  </si>
  <si>
    <t>Keyboard</t>
  </si>
  <si>
    <t>Cash on Delivery</t>
  </si>
  <si>
    <t>Pune</t>
  </si>
  <si>
    <t>Returned</t>
  </si>
  <si>
    <t>ORD00003</t>
  </si>
  <si>
    <t>CUST546</t>
  </si>
  <si>
    <t>Arjun</t>
  </si>
  <si>
    <t>Shoes</t>
  </si>
  <si>
    <t>Fashion</t>
  </si>
  <si>
    <t>Boat</t>
  </si>
  <si>
    <t>UPI</t>
  </si>
  <si>
    <t>Chandigarh</t>
  </si>
  <si>
    <t>Punjab</t>
  </si>
  <si>
    <t>North</t>
  </si>
  <si>
    <t>Cancelled</t>
  </si>
  <si>
    <t>ORD00004</t>
  </si>
  <si>
    <t>CUST355</t>
  </si>
  <si>
    <t>Priya</t>
  </si>
  <si>
    <t>Dell</t>
  </si>
  <si>
    <t>Mobile App</t>
  </si>
  <si>
    <t>ORD00005</t>
  </si>
  <si>
    <t>CUST595</t>
  </si>
  <si>
    <t>Vikas</t>
  </si>
  <si>
    <t>Backpack</t>
  </si>
  <si>
    <t>Accessories</t>
  </si>
  <si>
    <t>HP</t>
  </si>
  <si>
    <t>Patiala</t>
  </si>
  <si>
    <t>ORD00006</t>
  </si>
  <si>
    <t>CUST587</t>
  </si>
  <si>
    <t>Sneha</t>
  </si>
  <si>
    <t>Laptop</t>
  </si>
  <si>
    <t>Lenovo</t>
  </si>
  <si>
    <t>Jaipur</t>
  </si>
  <si>
    <t>Rajasthan</t>
  </si>
  <si>
    <t>ORD00007</t>
  </si>
  <si>
    <t>CUST842</t>
  </si>
  <si>
    <t>Amit</t>
  </si>
  <si>
    <t>ORD00008</t>
  </si>
  <si>
    <t>CUST666</t>
  </si>
  <si>
    <t>Card</t>
  </si>
  <si>
    <t>Bangalore</t>
  </si>
  <si>
    <t>Karnataka</t>
  </si>
  <si>
    <t>South</t>
  </si>
  <si>
    <t>ORD00009</t>
  </si>
  <si>
    <t>CUST794</t>
  </si>
  <si>
    <t>Karan</t>
  </si>
  <si>
    <t>Camera</t>
  </si>
  <si>
    <t>Shipped</t>
  </si>
  <si>
    <t>ORD00010</t>
  </si>
  <si>
    <t>CUST126</t>
  </si>
  <si>
    <t>Phone</t>
  </si>
  <si>
    <t>Lucknow</t>
  </si>
  <si>
    <t>Uttar Pradesh</t>
  </si>
  <si>
    <t>ORD00011</t>
  </si>
  <si>
    <t>CUST244</t>
  </si>
  <si>
    <t>Watch</t>
  </si>
  <si>
    <t>ORD00012</t>
  </si>
  <si>
    <t>CUST221</t>
  </si>
  <si>
    <t>Samsung</t>
  </si>
  <si>
    <t>Delhi</t>
  </si>
  <si>
    <t>ORD00013</t>
  </si>
  <si>
    <t>CUST100</t>
  </si>
  <si>
    <t>ORD00014</t>
  </si>
  <si>
    <t>CUST256</t>
  </si>
  <si>
    <t>Anjali</t>
  </si>
  <si>
    <t>ORD00015</t>
  </si>
  <si>
    <t>CUST217</t>
  </si>
  <si>
    <t>Riya</t>
  </si>
  <si>
    <t>Nike</t>
  </si>
  <si>
    <t>ORD00016</t>
  </si>
  <si>
    <t>CUST814</t>
  </si>
  <si>
    <t>ORD00017</t>
  </si>
  <si>
    <t>CUST829</t>
  </si>
  <si>
    <t>ORD00018</t>
  </si>
  <si>
    <t>CUST196</t>
  </si>
  <si>
    <t>ORD00019</t>
  </si>
  <si>
    <t>CUST776</t>
  </si>
  <si>
    <t>ORD00020</t>
  </si>
  <si>
    <t>CUST822</t>
  </si>
  <si>
    <t>ORD00021</t>
  </si>
  <si>
    <t>CUST383</t>
  </si>
  <si>
    <t>Apple</t>
  </si>
  <si>
    <t>ORD00022</t>
  </si>
  <si>
    <t>CUST330</t>
  </si>
  <si>
    <t>ORD00023</t>
  </si>
  <si>
    <t>CUST478</t>
  </si>
  <si>
    <t>ORD00024</t>
  </si>
  <si>
    <t>CUST158</t>
  </si>
  <si>
    <t>ORD00025</t>
  </si>
  <si>
    <t>CUST442</t>
  </si>
  <si>
    <t>Tablet</t>
  </si>
  <si>
    <t>ORD00026</t>
  </si>
  <si>
    <t>CUST924</t>
  </si>
  <si>
    <t>ORD00027</t>
  </si>
  <si>
    <t>CUST380</t>
  </si>
  <si>
    <t>Mouse</t>
  </si>
  <si>
    <t>ORD00028</t>
  </si>
  <si>
    <t>CUST512</t>
  </si>
  <si>
    <t>ORD00029</t>
  </si>
  <si>
    <t>CUST349</t>
  </si>
  <si>
    <t>ORD00030</t>
  </si>
  <si>
    <t>CUST583</t>
  </si>
  <si>
    <t>ORD00031</t>
  </si>
  <si>
    <t>CUST279</t>
  </si>
  <si>
    <t>ORD00032</t>
  </si>
  <si>
    <t>CUST354</t>
  </si>
  <si>
    <t>Noise</t>
  </si>
  <si>
    <t>ORD00033</t>
  </si>
  <si>
    <t>CUST837</t>
  </si>
  <si>
    <t>ORD00034</t>
  </si>
  <si>
    <t>CUST450</t>
  </si>
  <si>
    <t>ORD00035</t>
  </si>
  <si>
    <t>CUST697</t>
  </si>
  <si>
    <t>ORD00036</t>
  </si>
  <si>
    <t>CUST292</t>
  </si>
  <si>
    <t>ORD00037</t>
  </si>
  <si>
    <t>CUST537</t>
  </si>
  <si>
    <t>ORD00038</t>
  </si>
  <si>
    <t>CUST800</t>
  </si>
  <si>
    <t>ORD00039</t>
  </si>
  <si>
    <t>CUST563</t>
  </si>
  <si>
    <t>ORD00040</t>
  </si>
  <si>
    <t>CUST723</t>
  </si>
  <si>
    <t>ORD00041</t>
  </si>
  <si>
    <t>CUST427</t>
  </si>
  <si>
    <t>ORD00042</t>
  </si>
  <si>
    <t>CUST496</t>
  </si>
  <si>
    <t>ORD00043</t>
  </si>
  <si>
    <t>CUST930</t>
  </si>
  <si>
    <t>ORD00044</t>
  </si>
  <si>
    <t>CUST320</t>
  </si>
  <si>
    <t>ORD00045</t>
  </si>
  <si>
    <t>CUST558</t>
  </si>
  <si>
    <t>ORD00046</t>
  </si>
  <si>
    <t>CUST991</t>
  </si>
  <si>
    <t>ORD00047</t>
  </si>
  <si>
    <t>CUST863</t>
  </si>
  <si>
    <t>ORD00048</t>
  </si>
  <si>
    <t>CUST846</t>
  </si>
  <si>
    <t>ORD00049</t>
  </si>
  <si>
    <t>CUST434</t>
  </si>
  <si>
    <t>ORD00050</t>
  </si>
  <si>
    <t>ORD00051</t>
  </si>
  <si>
    <t>CUST678</t>
  </si>
  <si>
    <t>ORD00052</t>
  </si>
  <si>
    <t>CUST809</t>
  </si>
  <si>
    <t>ORD00053</t>
  </si>
  <si>
    <t>CUST615</t>
  </si>
  <si>
    <t>ORD00054</t>
  </si>
  <si>
    <t>CUST986</t>
  </si>
  <si>
    <t>ORD00055</t>
  </si>
  <si>
    <t>CUST622</t>
  </si>
  <si>
    <t>ORD00056</t>
  </si>
  <si>
    <t>ORD00057</t>
  </si>
  <si>
    <t>CUST665</t>
  </si>
  <si>
    <t>ORD00058</t>
  </si>
  <si>
    <t>CUST777</t>
  </si>
  <si>
    <t>Adidas</t>
  </si>
  <si>
    <t>ORD00059</t>
  </si>
  <si>
    <t>CUST228</t>
  </si>
  <si>
    <t>ORD00060</t>
  </si>
  <si>
    <t>CUST993</t>
  </si>
  <si>
    <t>ORD00061</t>
  </si>
  <si>
    <t>CUST778</t>
  </si>
  <si>
    <t>ORD00062</t>
  </si>
  <si>
    <t>CUST287</t>
  </si>
  <si>
    <t>ORD00063</t>
  </si>
  <si>
    <t>CUST955</t>
  </si>
  <si>
    <t>ORD00064</t>
  </si>
  <si>
    <t>CUST551</t>
  </si>
  <si>
    <t>ORD00065</t>
  </si>
  <si>
    <t>CUST193</t>
  </si>
  <si>
    <t>ORD00066</t>
  </si>
  <si>
    <t>CUST783</t>
  </si>
  <si>
    <t>ORD00067</t>
  </si>
  <si>
    <t>CUST284</t>
  </si>
  <si>
    <t>ORD00068</t>
  </si>
  <si>
    <t>CUST714</t>
  </si>
  <si>
    <t>ORD00069</t>
  </si>
  <si>
    <t>CUST307</t>
  </si>
  <si>
    <t>ORD00070</t>
  </si>
  <si>
    <t>CUST979</t>
  </si>
  <si>
    <t>ORD00071</t>
  </si>
  <si>
    <t>CUST660</t>
  </si>
  <si>
    <t>ORD00072</t>
  </si>
  <si>
    <t>CUST948</t>
  </si>
  <si>
    <t>ORD00073</t>
  </si>
  <si>
    <t>CUST325</t>
  </si>
  <si>
    <t>ORD00074</t>
  </si>
  <si>
    <t>CUST456</t>
  </si>
  <si>
    <t>ORD00075</t>
  </si>
  <si>
    <t>CUST838</t>
  </si>
  <si>
    <t>ORD00076</t>
  </si>
  <si>
    <t>CUST806</t>
  </si>
  <si>
    <t>ORD00077</t>
  </si>
  <si>
    <t>CUST580</t>
  </si>
  <si>
    <t>ORD00078</t>
  </si>
  <si>
    <t>CUST731</t>
  </si>
  <si>
    <t>ORD00079</t>
  </si>
  <si>
    <t>CUST687</t>
  </si>
  <si>
    <t>ORD00080</t>
  </si>
  <si>
    <t>CUST231</t>
  </si>
  <si>
    <t>ORD00081</t>
  </si>
  <si>
    <t>CUST890</t>
  </si>
  <si>
    <t>ORD00082</t>
  </si>
  <si>
    <t>CUST861</t>
  </si>
  <si>
    <t>ORD00083</t>
  </si>
  <si>
    <t>CUST490</t>
  </si>
  <si>
    <t>ORD00084</t>
  </si>
  <si>
    <t>CUST335</t>
  </si>
  <si>
    <t>ORD00085</t>
  </si>
  <si>
    <t>CUST122</t>
  </si>
  <si>
    <t>ORD00086</t>
  </si>
  <si>
    <t>CUST596</t>
  </si>
  <si>
    <t>ORD00087</t>
  </si>
  <si>
    <t>CUST253</t>
  </si>
  <si>
    <t>ORD00088</t>
  </si>
  <si>
    <t>ORD00089</t>
  </si>
  <si>
    <t>CUST261</t>
  </si>
  <si>
    <t>ORD00090</t>
  </si>
  <si>
    <t>CUST992</t>
  </si>
  <si>
    <t>ORD00091</t>
  </si>
  <si>
    <t>CUST689</t>
  </si>
  <si>
    <t>ORD00092</t>
  </si>
  <si>
    <t>CUST468</t>
  </si>
  <si>
    <t>ORD00093</t>
  </si>
  <si>
    <t>CUST532</t>
  </si>
  <si>
    <t>ORD00094</t>
  </si>
  <si>
    <t>ORD00095</t>
  </si>
  <si>
    <t>CUST264</t>
  </si>
  <si>
    <t>ORD00096</t>
  </si>
  <si>
    <t>CUST664</t>
  </si>
  <si>
    <t>ORD00097</t>
  </si>
  <si>
    <t>CUST168</t>
  </si>
  <si>
    <t>ORD00098</t>
  </si>
  <si>
    <t>CUST631</t>
  </si>
  <si>
    <t>ORD00099</t>
  </si>
  <si>
    <t>CUST643</t>
  </si>
  <si>
    <t>ORD00100</t>
  </si>
  <si>
    <t>CUST540</t>
  </si>
  <si>
    <t>ORD00101</t>
  </si>
  <si>
    <t>CUST796</t>
  </si>
  <si>
    <t>ORD00102</t>
  </si>
  <si>
    <t>CUST371</t>
  </si>
  <si>
    <t>ORD00103</t>
  </si>
  <si>
    <t>CUST769</t>
  </si>
  <si>
    <t>ORD00104</t>
  </si>
  <si>
    <t>CUST785</t>
  </si>
  <si>
    <t>ORD00105</t>
  </si>
  <si>
    <t>CUST968</t>
  </si>
  <si>
    <t>ORD00106</t>
  </si>
  <si>
    <t>CUST430</t>
  </si>
  <si>
    <t>ORD00107</t>
  </si>
  <si>
    <t>CUST756</t>
  </si>
  <si>
    <t>ORD00108</t>
  </si>
  <si>
    <t>CUST755</t>
  </si>
  <si>
    <t>ORD00109</t>
  </si>
  <si>
    <t>CUST588</t>
  </si>
  <si>
    <t>ORD00110</t>
  </si>
  <si>
    <t>CUST680</t>
  </si>
  <si>
    <t>ORD00111</t>
  </si>
  <si>
    <t>CUST923</t>
  </si>
  <si>
    <t>ORD00112</t>
  </si>
  <si>
    <t>CUST454</t>
  </si>
  <si>
    <t>ORD00113</t>
  </si>
  <si>
    <t>ORD00114</t>
  </si>
  <si>
    <t>CUST299</t>
  </si>
  <si>
    <t>ORD00115</t>
  </si>
  <si>
    <t>CUST447</t>
  </si>
  <si>
    <t>ORD00116</t>
  </si>
  <si>
    <t>CUST732</t>
  </si>
  <si>
    <t>ORD00117</t>
  </si>
  <si>
    <t>CUST185</t>
  </si>
  <si>
    <t>ORD00118</t>
  </si>
  <si>
    <t>CUST728</t>
  </si>
  <si>
    <t>ORD00119</t>
  </si>
  <si>
    <t>ORD00120</t>
  </si>
  <si>
    <t>CUST201</t>
  </si>
  <si>
    <t>ORD00121</t>
  </si>
  <si>
    <t>CUST978</t>
  </si>
  <si>
    <t>ORD00122</t>
  </si>
  <si>
    <t>CUST939</t>
  </si>
  <si>
    <t>ORD00123</t>
  </si>
  <si>
    <t>CUST385</t>
  </si>
  <si>
    <t>ORD00124</t>
  </si>
  <si>
    <t>ORD00125</t>
  </si>
  <si>
    <t>CUST323</t>
  </si>
  <si>
    <t>ORD00126</t>
  </si>
  <si>
    <t>CUST813</t>
  </si>
  <si>
    <t>ORD00127</t>
  </si>
  <si>
    <t>CUST709</t>
  </si>
  <si>
    <t>ORD00128</t>
  </si>
  <si>
    <t>CUST865</t>
  </si>
  <si>
    <t>ORD00129</t>
  </si>
  <si>
    <t>CUST339</t>
  </si>
  <si>
    <t>ORD00130</t>
  </si>
  <si>
    <t>CUST389</t>
  </si>
  <si>
    <t>ORD00131</t>
  </si>
  <si>
    <t>CUST455</t>
  </si>
  <si>
    <t>ORD00132</t>
  </si>
  <si>
    <t>CUST831</t>
  </si>
  <si>
    <t>ORD00133</t>
  </si>
  <si>
    <t>CUST726</t>
  </si>
  <si>
    <t>ORD00134</t>
  </si>
  <si>
    <t>ORD00135</t>
  </si>
  <si>
    <t>CUST262</t>
  </si>
  <si>
    <t>ORD00136</t>
  </si>
  <si>
    <t>CUST905</t>
  </si>
  <si>
    <t>ORD00137</t>
  </si>
  <si>
    <t>CUST630</t>
  </si>
  <si>
    <t>ORD00138</t>
  </si>
  <si>
    <t>CUST336</t>
  </si>
  <si>
    <t>ORD00139</t>
  </si>
  <si>
    <t>ORD00140</t>
  </si>
  <si>
    <t>ORD00141</t>
  </si>
  <si>
    <t>CUST688</t>
  </si>
  <si>
    <t>ORD00142</t>
  </si>
  <si>
    <t>ORD00143</t>
  </si>
  <si>
    <t>ORD00144</t>
  </si>
  <si>
    <t>CUST345</t>
  </si>
  <si>
    <t>ORD00145</t>
  </si>
  <si>
    <t>CUST280</t>
  </si>
  <si>
    <t>ORD00146</t>
  </si>
  <si>
    <t>CUST463</t>
  </si>
  <si>
    <t>ORD00147</t>
  </si>
  <si>
    <t>CUST400</t>
  </si>
  <si>
    <t>ORD00148</t>
  </si>
  <si>
    <t>CUST204</t>
  </si>
  <si>
    <t>ORD00149</t>
  </si>
  <si>
    <t>CUST237</t>
  </si>
  <si>
    <t>ORD00150</t>
  </si>
  <si>
    <t>CUST635</t>
  </si>
  <si>
    <t>ORD00151</t>
  </si>
  <si>
    <t>CUST742</t>
  </si>
  <si>
    <t>ORD00152</t>
  </si>
  <si>
    <t>CUST493</t>
  </si>
  <si>
    <t>ORD00153</t>
  </si>
  <si>
    <t>ORD00154</t>
  </si>
  <si>
    <t>CUST437</t>
  </si>
  <si>
    <t>ORD00155</t>
  </si>
  <si>
    <t>CUST774</t>
  </si>
  <si>
    <t>ORD00156</t>
  </si>
  <si>
    <t>CUST652</t>
  </si>
  <si>
    <t>ORD00157</t>
  </si>
  <si>
    <t>CUST395</t>
  </si>
  <si>
    <t>ORD00158</t>
  </si>
  <si>
    <t>CUST116</t>
  </si>
  <si>
    <t>ORD00159</t>
  </si>
  <si>
    <t>CUST707</t>
  </si>
  <si>
    <t>ORD00160</t>
  </si>
  <si>
    <t>ORD00161</t>
  </si>
  <si>
    <t>CUST275</t>
  </si>
  <si>
    <t>ORD00162</t>
  </si>
  <si>
    <t>CUST133</t>
  </si>
  <si>
    <t>ORD00163</t>
  </si>
  <si>
    <t>ORD00164</t>
  </si>
  <si>
    <t>ORD00165</t>
  </si>
  <si>
    <t>CUST169</t>
  </si>
  <si>
    <t>ORD00166</t>
  </si>
  <si>
    <t>ORD00167</t>
  </si>
  <si>
    <t>CUST715</t>
  </si>
  <si>
    <t>ORD00168</t>
  </si>
  <si>
    <t>CUST634</t>
  </si>
  <si>
    <t>ORD00169</t>
  </si>
  <si>
    <t>CUST198</t>
  </si>
  <si>
    <t>ORD00170</t>
  </si>
  <si>
    <t>CUST119</t>
  </si>
  <si>
    <t>ORD00171</t>
  </si>
  <si>
    <t>CUST117</t>
  </si>
  <si>
    <t>ORD00172</t>
  </si>
  <si>
    <t>CUST260</t>
  </si>
  <si>
    <t>ORD00173</t>
  </si>
  <si>
    <t>ORD00174</t>
  </si>
  <si>
    <t>CUST343</t>
  </si>
  <si>
    <t>ORD00175</t>
  </si>
  <si>
    <t>CUST273</t>
  </si>
  <si>
    <t>ORD00176</t>
  </si>
  <si>
    <t>CUST899</t>
  </si>
  <si>
    <t>ORD00177</t>
  </si>
  <si>
    <t>CUST737</t>
  </si>
  <si>
    <t>ORD00178</t>
  </si>
  <si>
    <t>CUST387</t>
  </si>
  <si>
    <t>ORD00179</t>
  </si>
  <si>
    <t>CUST825</t>
  </si>
  <si>
    <t>ORD00180</t>
  </si>
  <si>
    <t>ORD00181</t>
  </si>
  <si>
    <t>ORD00182</t>
  </si>
  <si>
    <t>CUST374</t>
  </si>
  <si>
    <t>ORD00183</t>
  </si>
  <si>
    <t>CUST172</t>
  </si>
  <si>
    <t>ORD00184</t>
  </si>
  <si>
    <t>CUST922</t>
  </si>
  <si>
    <t>ORD00185</t>
  </si>
  <si>
    <t>ORD00186</t>
  </si>
  <si>
    <t>CUST130</t>
  </si>
  <si>
    <t>ORD00187</t>
  </si>
  <si>
    <t>ORD00188</t>
  </si>
  <si>
    <t>CUST542</t>
  </si>
  <si>
    <t>ORD00189</t>
  </si>
  <si>
    <t>CUST301</t>
  </si>
  <si>
    <t>ORD00190</t>
  </si>
  <si>
    <t>CUST210</t>
  </si>
  <si>
    <t>ORD00191</t>
  </si>
  <si>
    <t>CUST908</t>
  </si>
  <si>
    <t>ORD00192</t>
  </si>
  <si>
    <t>CUST584</t>
  </si>
  <si>
    <t>ORD00193</t>
  </si>
  <si>
    <t>CUST912</t>
  </si>
  <si>
    <t>ORD00194</t>
  </si>
  <si>
    <t>CUST248</t>
  </si>
  <si>
    <t>ORD00195</t>
  </si>
  <si>
    <t>CUST509</t>
  </si>
  <si>
    <t>ORD00196</t>
  </si>
  <si>
    <t>CUST642</t>
  </si>
  <si>
    <t>ORD00197</t>
  </si>
  <si>
    <t>CUST315</t>
  </si>
  <si>
    <t>ORD00198</t>
  </si>
  <si>
    <t>CUST105</t>
  </si>
  <si>
    <t>ORD00199</t>
  </si>
  <si>
    <t>ORD00200</t>
  </si>
  <si>
    <t>CUST651</t>
  </si>
  <si>
    <t>ORD00201</t>
  </si>
  <si>
    <t>ORD00202</t>
  </si>
  <si>
    <t>CUST499</t>
  </si>
  <si>
    <t>ORD00203</t>
  </si>
  <si>
    <t>CUST550</t>
  </si>
  <si>
    <t>ORD00204</t>
  </si>
  <si>
    <t>CUST480</t>
  </si>
  <si>
    <t>ORD00205</t>
  </si>
  <si>
    <t>CUST402</t>
  </si>
  <si>
    <t>ORD00206</t>
  </si>
  <si>
    <t>CUST684</t>
  </si>
  <si>
    <t>ORD00207</t>
  </si>
  <si>
    <t>CUST510</t>
  </si>
  <si>
    <t>ORD00208</t>
  </si>
  <si>
    <t>CUST801</t>
  </si>
  <si>
    <t>ORD00209</t>
  </si>
  <si>
    <t>CUST132</t>
  </si>
  <si>
    <t>ORD00210</t>
  </si>
  <si>
    <t>ORD00211</t>
  </si>
  <si>
    <t>CUST485</t>
  </si>
  <si>
    <t>ORD00212</t>
  </si>
  <si>
    <t>CUST845</t>
  </si>
  <si>
    <t>ORD00213</t>
  </si>
  <si>
    <t>CUST164</t>
  </si>
  <si>
    <t>ORD00214</t>
  </si>
  <si>
    <t>ORD00215</t>
  </si>
  <si>
    <t>CUST155</t>
  </si>
  <si>
    <t>ORD00216</t>
  </si>
  <si>
    <t>CUST786</t>
  </si>
  <si>
    <t>ORD00217</t>
  </si>
  <si>
    <t>CUST870</t>
  </si>
  <si>
    <t>ORD00218</t>
  </si>
  <si>
    <t>CUST984</t>
  </si>
  <si>
    <t>ORD00219</t>
  </si>
  <si>
    <t>CUST500</t>
  </si>
  <si>
    <t>ORD00220</t>
  </si>
  <si>
    <t>CUST188</t>
  </si>
  <si>
    <t>ORD00221</t>
  </si>
  <si>
    <t>CUST969</t>
  </si>
  <si>
    <t>ORD00222</t>
  </si>
  <si>
    <t>CUST348</t>
  </si>
  <si>
    <t>ORD00223</t>
  </si>
  <si>
    <t>CUST897</t>
  </si>
  <si>
    <t>ORD00224</t>
  </si>
  <si>
    <t>CUST382</t>
  </si>
  <si>
    <t>ORD00225</t>
  </si>
  <si>
    <t>CUST507</t>
  </si>
  <si>
    <t>ORD00226</t>
  </si>
  <si>
    <t>CUST531</t>
  </si>
  <si>
    <t>ORD00227</t>
  </si>
  <si>
    <t>CUST528</t>
  </si>
  <si>
    <t>ORD00228</t>
  </si>
  <si>
    <t>CUST799</t>
  </si>
  <si>
    <t>ORD00229</t>
  </si>
  <si>
    <t>CUST311</t>
  </si>
  <si>
    <t>ORD00230</t>
  </si>
  <si>
    <t>CUST907</t>
  </si>
  <si>
    <t>ORD00231</t>
  </si>
  <si>
    <t>CUST934</t>
  </si>
  <si>
    <t>ORD00232</t>
  </si>
  <si>
    <t>ORD00233</t>
  </si>
  <si>
    <t>CUST860</t>
  </si>
  <si>
    <t>ORD00234</t>
  </si>
  <si>
    <t>CUST265</t>
  </si>
  <si>
    <t>ORD00235</t>
  </si>
  <si>
    <t>ORD00236</t>
  </si>
  <si>
    <t>CUST313</t>
  </si>
  <si>
    <t>ORD00237</t>
  </si>
  <si>
    <t>CUST218</t>
  </si>
  <si>
    <t>ORD00238</t>
  </si>
  <si>
    <t>ORD00239</t>
  </si>
  <si>
    <t>ORD00240</t>
  </si>
  <si>
    <t>ORD00241</t>
  </si>
  <si>
    <t>CUST997</t>
  </si>
  <si>
    <t>ORD00242</t>
  </si>
  <si>
    <t>CUST611</t>
  </si>
  <si>
    <t>ORD00243</t>
  </si>
  <si>
    <t>CUST885</t>
  </si>
  <si>
    <t>ORD00244</t>
  </si>
  <si>
    <t>CUST146</t>
  </si>
  <si>
    <t>ORD00245</t>
  </si>
  <si>
    <t>ORD00246</t>
  </si>
  <si>
    <t>CUST541</t>
  </si>
  <si>
    <t>ORD00247</t>
  </si>
  <si>
    <t>CUST161</t>
  </si>
  <si>
    <t>ORD00248</t>
  </si>
  <si>
    <t>CUST982</t>
  </si>
  <si>
    <t>ORD00249</t>
  </si>
  <si>
    <t>CUST564</t>
  </si>
  <si>
    <t>ORD00250</t>
  </si>
  <si>
    <t>CUST433</t>
  </si>
  <si>
    <t>ORD00251</t>
  </si>
  <si>
    <t>CUST671</t>
  </si>
  <si>
    <t>ORD00252</t>
  </si>
  <si>
    <t>CUST768</t>
  </si>
  <si>
    <t>ORD00253</t>
  </si>
  <si>
    <t>ORD00254</t>
  </si>
  <si>
    <t>CUST629</t>
  </si>
  <si>
    <t>ORD00255</t>
  </si>
  <si>
    <t>CUST717</t>
  </si>
  <si>
    <t>ORD00256</t>
  </si>
  <si>
    <t>CUST102</t>
  </si>
  <si>
    <t>ORD00257</t>
  </si>
  <si>
    <t>CUST579</t>
  </si>
  <si>
    <t>ORD00258</t>
  </si>
  <si>
    <t>CUST505</t>
  </si>
  <si>
    <t>ORD00259</t>
  </si>
  <si>
    <t>CUST841</t>
  </si>
  <si>
    <t>ORD00260</t>
  </si>
  <si>
    <t>CUST247</t>
  </si>
  <si>
    <t>ORD00261</t>
  </si>
  <si>
    <t>CUST916</t>
  </si>
  <si>
    <t>ORD00262</t>
  </si>
  <si>
    <t>CUST137</t>
  </si>
  <si>
    <t>ORD00263</t>
  </si>
  <si>
    <t>CUST655</t>
  </si>
  <si>
    <t>ORD00264</t>
  </si>
  <si>
    <t>CUST566</t>
  </si>
  <si>
    <t>ORD00265</t>
  </si>
  <si>
    <t>ORD00266</t>
  </si>
  <si>
    <t>CUST111</t>
  </si>
  <si>
    <t>ORD00267</t>
  </si>
  <si>
    <t>CUST919</t>
  </si>
  <si>
    <t>ORD00268</t>
  </si>
  <si>
    <t>ORD00269</t>
  </si>
  <si>
    <t>CUST708</t>
  </si>
  <si>
    <t>ORD00270</t>
  </si>
  <si>
    <t>CUST178</t>
  </si>
  <si>
    <t>ORD00271</t>
  </si>
  <si>
    <t>ORD00272</t>
  </si>
  <si>
    <t>ORD00273</t>
  </si>
  <si>
    <t>CUST187</t>
  </si>
  <si>
    <t>ORD00274</t>
  </si>
  <si>
    <t>CUST626</t>
  </si>
  <si>
    <t>ORD00275</t>
  </si>
  <si>
    <t>ORD00276</t>
  </si>
  <si>
    <t>CUST981</t>
  </si>
  <si>
    <t>ORD00277</t>
  </si>
  <si>
    <t>CUST425</t>
  </si>
  <si>
    <t>ORD00278</t>
  </si>
  <si>
    <t>ORD00279</t>
  </si>
  <si>
    <t>CUST741</t>
  </si>
  <si>
    <t>ORD00280</t>
  </si>
  <si>
    <t>ORD00281</t>
  </si>
  <si>
    <t>CUST112</t>
  </si>
  <si>
    <t>ORD00282</t>
  </si>
  <si>
    <t>CUST422</t>
  </si>
  <si>
    <t>ORD00283</t>
  </si>
  <si>
    <t>ORD00284</t>
  </si>
  <si>
    <t>CUST243</t>
  </si>
  <si>
    <t>ORD00285</t>
  </si>
  <si>
    <t>ORD00286</t>
  </si>
  <si>
    <t>CUST360</t>
  </si>
  <si>
    <t>ORD00287</t>
  </si>
  <si>
    <t>CUST789</t>
  </si>
  <si>
    <t>ORD00288</t>
  </si>
  <si>
    <t>CUST460</t>
  </si>
  <si>
    <t>ORD00289</t>
  </si>
  <si>
    <t>CUST266</t>
  </si>
  <si>
    <t>ORD00290</t>
  </si>
  <si>
    <t>CUST795</t>
  </si>
  <si>
    <t>ORD00291</t>
  </si>
  <si>
    <t>CUST337</t>
  </si>
  <si>
    <t>ORD00292</t>
  </si>
  <si>
    <t>CUST874</t>
  </si>
  <si>
    <t>ORD00293</t>
  </si>
  <si>
    <t>CUST936</t>
  </si>
  <si>
    <t>ORD00294</t>
  </si>
  <si>
    <t>CUST341</t>
  </si>
  <si>
    <t>ORD00295</t>
  </si>
  <si>
    <t>CUST947</t>
  </si>
  <si>
    <t>ORD00296</t>
  </si>
  <si>
    <t>CUST793</t>
  </si>
  <si>
    <t>ORD00297</t>
  </si>
  <si>
    <t>ORD00298</t>
  </si>
  <si>
    <t>CUST308</t>
  </si>
  <si>
    <t>ORD00299</t>
  </si>
  <si>
    <t>ORD00300</t>
  </si>
  <si>
    <t>CUST637</t>
  </si>
  <si>
    <t>ORD00301</t>
  </si>
  <si>
    <t>CUST353</t>
  </si>
  <si>
    <t>ORD00302</t>
  </si>
  <si>
    <t>CUST453</t>
  </si>
  <si>
    <t>ORD00303</t>
  </si>
  <si>
    <t>ORD00304</t>
  </si>
  <si>
    <t>CUST144</t>
  </si>
  <si>
    <t>ORD00305</t>
  </si>
  <si>
    <t>CUST457</t>
  </si>
  <si>
    <t>ORD00306</t>
  </si>
  <si>
    <t>CUST753</t>
  </si>
  <si>
    <t>ORD00307</t>
  </si>
  <si>
    <t>CUST705</t>
  </si>
  <si>
    <t>ORD00308</t>
  </si>
  <si>
    <t>CUST989</t>
  </si>
  <si>
    <t>ORD00309</t>
  </si>
  <si>
    <t>CUST565</t>
  </si>
  <si>
    <t>ORD00310</t>
  </si>
  <si>
    <t>ORD00311</t>
  </si>
  <si>
    <t>ORD00312</t>
  </si>
  <si>
    <t>ORD00313</t>
  </si>
  <si>
    <t>CUST970</t>
  </si>
  <si>
    <t>ORD00314</t>
  </si>
  <si>
    <t>CUST184</t>
  </si>
  <si>
    <t>ORD00315</t>
  </si>
  <si>
    <t>CUST894</t>
  </si>
  <si>
    <t>ORD00316</t>
  </si>
  <si>
    <t>CUST663</t>
  </si>
  <si>
    <t>ORD00317</t>
  </si>
  <si>
    <t>ORD00318</t>
  </si>
  <si>
    <t>CUST358</t>
  </si>
  <si>
    <t>ORD00319</t>
  </si>
  <si>
    <t>CUST603</t>
  </si>
  <si>
    <t>ORD00320</t>
  </si>
  <si>
    <t>CUST234</t>
  </si>
  <si>
    <t>ORD00321</t>
  </si>
  <si>
    <t>CUST370</t>
  </si>
  <si>
    <t>ORD00322</t>
  </si>
  <si>
    <t>CUST720</t>
  </si>
  <si>
    <t>ORD00323</t>
  </si>
  <si>
    <t>CUST508</t>
  </si>
  <si>
    <t>ORD00324</t>
  </si>
  <si>
    <t>CUST943</t>
  </si>
  <si>
    <t>ORD00325</t>
  </si>
  <si>
    <t>ORD00326</t>
  </si>
  <si>
    <t>ORD00327</t>
  </si>
  <si>
    <t>CUST186</t>
  </si>
  <si>
    <t>ORD00328</t>
  </si>
  <si>
    <t>ORD00329</t>
  </si>
  <si>
    <t>CUST203</t>
  </si>
  <si>
    <t>ORD00330</t>
  </si>
  <si>
    <t>CUST372</t>
  </si>
  <si>
    <t>ORD00331</t>
  </si>
  <si>
    <t>CUST444</t>
  </si>
  <si>
    <t>ORD00332</t>
  </si>
  <si>
    <t>ORD00333</t>
  </si>
  <si>
    <t>CUST278</t>
  </si>
  <si>
    <t>ORD00334</t>
  </si>
  <si>
    <t>CUST520</t>
  </si>
  <si>
    <t>ORD00335</t>
  </si>
  <si>
    <t>ORD00336</t>
  </si>
  <si>
    <t>ORD00337</t>
  </si>
  <si>
    <t>CUST976</t>
  </si>
  <si>
    <t>ORD00338</t>
  </si>
  <si>
    <t>ORD00339</t>
  </si>
  <si>
    <t>CUST712</t>
  </si>
  <si>
    <t>ORD00340</t>
  </si>
  <si>
    <t>CUST421</t>
  </si>
  <si>
    <t>ORD00341</t>
  </si>
  <si>
    <t>CUST272</t>
  </si>
  <si>
    <t>ORD00342</t>
  </si>
  <si>
    <t>CUST610</t>
  </si>
  <si>
    <t>ORD00343</t>
  </si>
  <si>
    <t>ORD00344</t>
  </si>
  <si>
    <t>ORD00345</t>
  </si>
  <si>
    <t>CUST568</t>
  </si>
  <si>
    <t>ORD00346</t>
  </si>
  <si>
    <t>ORD00347</t>
  </si>
  <si>
    <t>CUST269</t>
  </si>
  <si>
    <t>ORD00348</t>
  </si>
  <si>
    <t>CUST911</t>
  </si>
  <si>
    <t>ORD00349</t>
  </si>
  <si>
    <t>ORD00350</t>
  </si>
  <si>
    <t>ORD00351</t>
  </si>
  <si>
    <t>CUST213</t>
  </si>
  <si>
    <t>ORD00352</t>
  </si>
  <si>
    <t>CUST200</t>
  </si>
  <si>
    <t>ORD00353</t>
  </si>
  <si>
    <t>ORD00354</t>
  </si>
  <si>
    <t>ORD00355</t>
  </si>
  <si>
    <t>CUST408</t>
  </si>
  <si>
    <t>ORD00356</t>
  </si>
  <si>
    <t>ORD00357</t>
  </si>
  <si>
    <t>ORD00358</t>
  </si>
  <si>
    <t>CUST792</t>
  </si>
  <si>
    <t>ORD00359</t>
  </si>
  <si>
    <t>CUST810</t>
  </si>
  <si>
    <t>ORD00360</t>
  </si>
  <si>
    <t>CUST364</t>
  </si>
  <si>
    <t>ORD00361</t>
  </si>
  <si>
    <t>CUST474</t>
  </si>
  <si>
    <t>ORD00362</t>
  </si>
  <si>
    <t>CUST932</t>
  </si>
  <si>
    <t>ORD00363</t>
  </si>
  <si>
    <t>CUST719</t>
  </si>
  <si>
    <t>ORD00364</t>
  </si>
  <si>
    <t>ORD00365</t>
  </si>
  <si>
    <t>CUST721</t>
  </si>
  <si>
    <t>ORD00366</t>
  </si>
  <si>
    <t>CUST980</t>
  </si>
  <si>
    <t>ORD00367</t>
  </si>
  <si>
    <t>CUST713</t>
  </si>
  <si>
    <t>ORD00368</t>
  </si>
  <si>
    <t>CUST227</t>
  </si>
  <si>
    <t>ORD00369</t>
  </si>
  <si>
    <t>ORD00370</t>
  </si>
  <si>
    <t>CUST356</t>
  </si>
  <si>
    <t>ORD00371</t>
  </si>
  <si>
    <t>CUST878</t>
  </si>
  <si>
    <t>ORD00372</t>
  </si>
  <si>
    <t>CUST118</t>
  </si>
  <si>
    <t>ORD00373</t>
  </si>
  <si>
    <t>ORD00374</t>
  </si>
  <si>
    <t>CUST840</t>
  </si>
  <si>
    <t>ORD00375</t>
  </si>
  <si>
    <t>CUST350</t>
  </si>
  <si>
    <t>ORD00376</t>
  </si>
  <si>
    <t>CUST824</t>
  </si>
  <si>
    <t>ORD00377</t>
  </si>
  <si>
    <t>ORD00378</t>
  </si>
  <si>
    <t>CUST423</t>
  </si>
  <si>
    <t>ORD00379</t>
  </si>
  <si>
    <t>ORD00380</t>
  </si>
  <si>
    <t>CUST362</t>
  </si>
  <si>
    <t>ORD00381</t>
  </si>
  <si>
    <t>CUST618</t>
  </si>
  <si>
    <t>ORD00382</t>
  </si>
  <si>
    <t>CUST933</t>
  </si>
  <si>
    <t>ORD00383</t>
  </si>
  <si>
    <t>ORD00384</t>
  </si>
  <si>
    <t>CUST823</t>
  </si>
  <si>
    <t>ORD00385</t>
  </si>
  <si>
    <t>CUST259</t>
  </si>
  <si>
    <t>ORD00386</t>
  </si>
  <si>
    <t>CUST289</t>
  </si>
  <si>
    <t>ORD00387</t>
  </si>
  <si>
    <t>CUST854</t>
  </si>
  <si>
    <t>ORD00388</t>
  </si>
  <si>
    <t>CUST913</t>
  </si>
  <si>
    <t>ORD00389</t>
  </si>
  <si>
    <t>CUST779</t>
  </si>
  <si>
    <t>ORD00390</t>
  </si>
  <si>
    <t>ORD00391</t>
  </si>
  <si>
    <t>ORD00392</t>
  </si>
  <si>
    <t>CUST238</t>
  </si>
  <si>
    <t>ORD00393</t>
  </si>
  <si>
    <t>CUST677</t>
  </si>
  <si>
    <t>ORD00394</t>
  </si>
  <si>
    <t>CUST686</t>
  </si>
  <si>
    <t>ORD00395</t>
  </si>
  <si>
    <t>ORD00396</t>
  </si>
  <si>
    <t>ORD00397</t>
  </si>
  <si>
    <t>CUST271</t>
  </si>
  <si>
    <t>ORD00398</t>
  </si>
  <si>
    <t>CUST254</t>
  </si>
  <si>
    <t>ORD00399</t>
  </si>
  <si>
    <t>CUST999</t>
  </si>
  <si>
    <t>ORD00400</t>
  </si>
  <si>
    <t>CUST317</t>
  </si>
  <si>
    <t>ORD00401</t>
  </si>
  <si>
    <t>CUST465</t>
  </si>
  <si>
    <t>ORD00402</t>
  </si>
  <si>
    <t>CUST747</t>
  </si>
  <si>
    <t>ORD00403</t>
  </si>
  <si>
    <t>CUST285</t>
  </si>
  <si>
    <t>ORD00404</t>
  </si>
  <si>
    <t>CUST445</t>
  </si>
  <si>
    <t>ORD00405</t>
  </si>
  <si>
    <t>CUST598</t>
  </si>
  <si>
    <t>ORD00406</t>
  </si>
  <si>
    <t>CUST304</t>
  </si>
  <si>
    <t>ORD00407</t>
  </si>
  <si>
    <t>ORD00408</t>
  </si>
  <si>
    <t>ORD00409</t>
  </si>
  <si>
    <t>CUST881</t>
  </si>
  <si>
    <t>ORD00410</t>
  </si>
  <si>
    <t>CUST394</t>
  </si>
  <si>
    <t>ORD00411</t>
  </si>
  <si>
    <t>CUST749</t>
  </si>
  <si>
    <t>ORD00412</t>
  </si>
  <si>
    <t>CUST950</t>
  </si>
  <si>
    <t>ORD00413</t>
  </si>
  <si>
    <t>ORD00414</t>
  </si>
  <si>
    <t>ORD00415</t>
  </si>
  <si>
    <t>CUST282</t>
  </si>
  <si>
    <t>ORD00416</t>
  </si>
  <si>
    <t>CUST151</t>
  </si>
  <si>
    <t>ORD00417</t>
  </si>
  <si>
    <t>ORD00418</t>
  </si>
  <si>
    <t>ORD00419</t>
  </si>
  <si>
    <t>CUST407</t>
  </si>
  <si>
    <t>ORD00420</t>
  </si>
  <si>
    <t>CUST173</t>
  </si>
  <si>
    <t>ORD00421</t>
  </si>
  <si>
    <t>CUST876</t>
  </si>
  <si>
    <t>ORD00422</t>
  </si>
  <si>
    <t>ORD00423</t>
  </si>
  <si>
    <t>CUST867</t>
  </si>
  <si>
    <t>ORD00424</t>
  </si>
  <si>
    <t>CUST212</t>
  </si>
  <si>
    <t>ORD00425</t>
  </si>
  <si>
    <t>CUST649</t>
  </si>
  <si>
    <t>ORD00426</t>
  </si>
  <si>
    <t>ORD00427</t>
  </si>
  <si>
    <t>CUST108</t>
  </si>
  <si>
    <t>ORD00428</t>
  </si>
  <si>
    <t>CUST739</t>
  </si>
  <si>
    <t>ORD00429</t>
  </si>
  <si>
    <t>ORD00430</t>
  </si>
  <si>
    <t>CUST191</t>
  </si>
  <si>
    <t>ORD00431</t>
  </si>
  <si>
    <t>CUST850</t>
  </si>
  <si>
    <t>ORD00432</t>
  </si>
  <si>
    <t>CUST746</t>
  </si>
  <si>
    <t>ORD00433</t>
  </si>
  <si>
    <t>ORD00434</t>
  </si>
  <si>
    <t>CUST277</t>
  </si>
  <si>
    <t>ORD00435</t>
  </si>
  <si>
    <t>CUST851</t>
  </si>
  <si>
    <t>ORD00436</t>
  </si>
  <si>
    <t>CUST914</t>
  </si>
  <si>
    <t>ORD00437</t>
  </si>
  <si>
    <t>CUST567</t>
  </si>
  <si>
    <t>ORD00438</t>
  </si>
  <si>
    <t>ORD00439</t>
  </si>
  <si>
    <t>CUST645</t>
  </si>
  <si>
    <t>ORD00440</t>
  </si>
  <si>
    <t>CUST690</t>
  </si>
  <si>
    <t>ORD00441</t>
  </si>
  <si>
    <t>CUST578</t>
  </si>
  <si>
    <t>ORD00442</t>
  </si>
  <si>
    <t>ORD00443</t>
  </si>
  <si>
    <t>CUST109</t>
  </si>
  <si>
    <t>ORD00444</t>
  </si>
  <si>
    <t>CUST435</t>
  </si>
  <si>
    <t>ORD00445</t>
  </si>
  <si>
    <t>CUST772</t>
  </si>
  <si>
    <t>ORD00446</t>
  </si>
  <si>
    <t>ORD00447</t>
  </si>
  <si>
    <t>ORD00448</t>
  </si>
  <si>
    <t>CUST207</t>
  </si>
  <si>
    <t>ORD00449</t>
  </si>
  <si>
    <t>ORD00450</t>
  </si>
  <si>
    <t>CUST764</t>
  </si>
  <si>
    <t>ORD00451</t>
  </si>
  <si>
    <t>CUST804</t>
  </si>
  <si>
    <t>ORD00452</t>
  </si>
  <si>
    <t>CUST633</t>
  </si>
  <si>
    <t>ORD00453</t>
  </si>
  <si>
    <t>ORD00454</t>
  </si>
  <si>
    <t>CUST448</t>
  </si>
  <si>
    <t>ORD00455</t>
  </si>
  <si>
    <t>CUST889</t>
  </si>
  <si>
    <t>ORD00456</t>
  </si>
  <si>
    <t>ORD00457</t>
  </si>
  <si>
    <t>CUST174</t>
  </si>
  <si>
    <t>ORD00458</t>
  </si>
  <si>
    <t>CUST208</t>
  </si>
  <si>
    <t>ORD00459</t>
  </si>
  <si>
    <t>CUST503</t>
  </si>
  <si>
    <t>ORD00460</t>
  </si>
  <si>
    <t>CUST569</t>
  </si>
  <si>
    <t>ORD00461</t>
  </si>
  <si>
    <t>CUST359</t>
  </si>
  <si>
    <t>ORD00462</t>
  </si>
  <si>
    <t>CUST698</t>
  </si>
  <si>
    <t>ORD00463</t>
  </si>
  <si>
    <t>CUST957</t>
  </si>
  <si>
    <t>ORD00464</t>
  </si>
  <si>
    <t>ORD00465</t>
  </si>
  <si>
    <t>ORD00466</t>
  </si>
  <si>
    <t>CUST391</t>
  </si>
  <si>
    <t>ORD00467</t>
  </si>
  <si>
    <t>ORD00468</t>
  </si>
  <si>
    <t>CUST150</t>
  </si>
  <si>
    <t>ORD00469</t>
  </si>
  <si>
    <t>ORD00470</t>
  </si>
  <si>
    <t>ORD00471</t>
  </si>
  <si>
    <t>ORD00472</t>
  </si>
  <si>
    <t>ORD00473</t>
  </si>
  <si>
    <t>CUST586</t>
  </si>
  <si>
    <t>ORD00474</t>
  </si>
  <si>
    <t>CUST156</t>
  </si>
  <si>
    <t>ORD00475</t>
  </si>
  <si>
    <t>CUST781</t>
  </si>
  <si>
    <t>ORD00476</t>
  </si>
  <si>
    <t>CUST381</t>
  </si>
  <si>
    <t>ORD00477</t>
  </si>
  <si>
    <t>CUST124</t>
  </si>
  <si>
    <t>ORD00478</t>
  </si>
  <si>
    <t>CUST363</t>
  </si>
  <si>
    <t>ORD00479</t>
  </si>
  <si>
    <t>ORD00480</t>
  </si>
  <si>
    <t>ORD00481</t>
  </si>
  <si>
    <t>CUST614</t>
  </si>
  <si>
    <t>ORD00482</t>
  </si>
  <si>
    <t>CUST239</t>
  </si>
  <si>
    <t>ORD00483</t>
  </si>
  <si>
    <t>CUST477</t>
  </si>
  <si>
    <t>ORD00484</t>
  </si>
  <si>
    <t>CUST128</t>
  </si>
  <si>
    <t>ORD00485</t>
  </si>
  <si>
    <t>CUST113</t>
  </si>
  <si>
    <t>ORD00486</t>
  </si>
  <si>
    <t>ORD00487</t>
  </si>
  <si>
    <t>ORD00488</t>
  </si>
  <si>
    <t>CUST494</t>
  </si>
  <si>
    <t>ORD00489</t>
  </si>
  <si>
    <t>CUST202</t>
  </si>
  <si>
    <t>ORD00490</t>
  </si>
  <si>
    <t>ORD00491</t>
  </si>
  <si>
    <t>CUST636</t>
  </si>
  <si>
    <t>ORD00492</t>
  </si>
  <si>
    <t>ORD00493</t>
  </si>
  <si>
    <t>ORD00494</t>
  </si>
  <si>
    <t>ORD00495</t>
  </si>
  <si>
    <t>ORD00496</t>
  </si>
  <si>
    <t>CUST302</t>
  </si>
  <si>
    <t>ORD00497</t>
  </si>
  <si>
    <t>CUST549</t>
  </si>
  <si>
    <t>ORD00498</t>
  </si>
  <si>
    <t>CUST384</t>
  </si>
  <si>
    <t>ORD00499</t>
  </si>
  <si>
    <t>CUST559</t>
  </si>
  <si>
    <t>ORD00500</t>
  </si>
  <si>
    <t>ORD00501</t>
  </si>
  <si>
    <t>CUST497</t>
  </si>
  <si>
    <t>ORD00502</t>
  </si>
  <si>
    <t>ORD00503</t>
  </si>
  <si>
    <t>CUST157</t>
  </si>
  <si>
    <t>ORD00504</t>
  </si>
  <si>
    <t>CUST469</t>
  </si>
  <si>
    <t>ORD00505</t>
  </si>
  <si>
    <t>ORD00506</t>
  </si>
  <si>
    <t>ORD00507</t>
  </si>
  <si>
    <t>CUST523</t>
  </si>
  <si>
    <t>ORD00508</t>
  </si>
  <si>
    <t>ORD00509</t>
  </si>
  <si>
    <t>CUST258</t>
  </si>
  <si>
    <t>ORD00510</t>
  </si>
  <si>
    <t>ORD00511</t>
  </si>
  <si>
    <t>CUST140</t>
  </si>
  <si>
    <t>ORD00512</t>
  </si>
  <si>
    <t>CUST676</t>
  </si>
  <si>
    <t>ORD00513</t>
  </si>
  <si>
    <t>CUST214</t>
  </si>
  <si>
    <t>ORD00514</t>
  </si>
  <si>
    <t>CUST420</t>
  </si>
  <si>
    <t>ORD00515</t>
  </si>
  <si>
    <t>CUST167</t>
  </si>
  <si>
    <t>ORD00516</t>
  </si>
  <si>
    <t>CUST735</t>
  </si>
  <si>
    <t>ORD00517</t>
  </si>
  <si>
    <t>CUST722</t>
  </si>
  <si>
    <t>ORD00518</t>
  </si>
  <si>
    <t>CUST326</t>
  </si>
  <si>
    <t>ORD00519</t>
  </si>
  <si>
    <t>ORD00520</t>
  </si>
  <si>
    <t>ORD00521</t>
  </si>
  <si>
    <t>ORD00522</t>
  </si>
  <si>
    <t>ORD00523</t>
  </si>
  <si>
    <t>CUST464</t>
  </si>
  <si>
    <t>ORD00524</t>
  </si>
  <si>
    <t>CUST436</t>
  </si>
  <si>
    <t>ORD00525</t>
  </si>
  <si>
    <t>ORD00526</t>
  </si>
  <si>
    <t>CUST440</t>
  </si>
  <si>
    <t>ORD00527</t>
  </si>
  <si>
    <t>CUST543</t>
  </si>
  <si>
    <t>ORD00528</t>
  </si>
  <si>
    <t>ORD00529</t>
  </si>
  <si>
    <t>ORD00530</t>
  </si>
  <si>
    <t>CUST276</t>
  </si>
  <si>
    <t>ORD00531</t>
  </si>
  <si>
    <t>CUST597</t>
  </si>
  <si>
    <t>ORD00532</t>
  </si>
  <si>
    <t>ORD00533</t>
  </si>
  <si>
    <t>ORD00534</t>
  </si>
  <si>
    <t>CUST694</t>
  </si>
  <si>
    <t>ORD00535</t>
  </si>
  <si>
    <t>CUST607</t>
  </si>
  <si>
    <t>ORD00536</t>
  </si>
  <si>
    <t>ORD00537</t>
  </si>
  <si>
    <t>CUST871</t>
  </si>
  <si>
    <t>ORD00538</t>
  </si>
  <si>
    <t>CUST927</t>
  </si>
  <si>
    <t>ORD00539</t>
  </si>
  <si>
    <t>ORD00540</t>
  </si>
  <si>
    <t>ORD00541</t>
  </si>
  <si>
    <t>CUST504</t>
  </si>
  <si>
    <t>ORD00542</t>
  </si>
  <si>
    <t>ORD00543</t>
  </si>
  <si>
    <t>CUST784</t>
  </si>
  <si>
    <t>ORD00544</t>
  </si>
  <si>
    <t>CUST625</t>
  </si>
  <si>
    <t>ORD00545</t>
  </si>
  <si>
    <t>ORD00546</t>
  </si>
  <si>
    <t>ORD00547</t>
  </si>
  <si>
    <t>ORD00548</t>
  </si>
  <si>
    <t>CUST159</t>
  </si>
  <si>
    <t>ORD00549</t>
  </si>
  <si>
    <t>CUST754</t>
  </si>
  <si>
    <t>ORD00550</t>
  </si>
  <si>
    <t>ORD00551</t>
  </si>
  <si>
    <t>CUST399</t>
  </si>
  <si>
    <t>ORD00552</t>
  </si>
  <si>
    <t>CUST233</t>
  </si>
  <si>
    <t>ORD00553</t>
  </si>
  <si>
    <t>ORD00554</t>
  </si>
  <si>
    <t>CUST624</t>
  </si>
  <si>
    <t>ORD00555</t>
  </si>
  <si>
    <t>CUST410</t>
  </si>
  <si>
    <t>ORD00556</t>
  </si>
  <si>
    <t>CUST994</t>
  </si>
  <si>
    <t>ORD00557</t>
  </si>
  <si>
    <t>CUST131</t>
  </si>
  <si>
    <t>ORD00558</t>
  </si>
  <si>
    <t>ORD00559</t>
  </si>
  <si>
    <t>ORD00560</t>
  </si>
  <si>
    <t>ORD00561</t>
  </si>
  <si>
    <t>CUST242</t>
  </si>
  <si>
    <t>ORD00562</t>
  </si>
  <si>
    <t>ORD00563</t>
  </si>
  <si>
    <t>CUST246</t>
  </si>
  <si>
    <t>ORD00564</t>
  </si>
  <si>
    <t>CUST316</t>
  </si>
  <si>
    <t>ORD00565</t>
  </si>
  <si>
    <t>ORD00566</t>
  </si>
  <si>
    <t>ORD00567</t>
  </si>
  <si>
    <t>CUST990</t>
  </si>
  <si>
    <t>ORD00568</t>
  </si>
  <si>
    <t>CUST662</t>
  </si>
  <si>
    <t>ORD00569</t>
  </si>
  <si>
    <t>CUST179</t>
  </si>
  <si>
    <t>ORD00570</t>
  </si>
  <si>
    <t>ORD00571</t>
  </si>
  <si>
    <t>ORD00572</t>
  </si>
  <si>
    <t>ORD00573</t>
  </si>
  <si>
    <t>ORD00574</t>
  </si>
  <si>
    <t>ORD00575</t>
  </si>
  <si>
    <t>ORD00576</t>
  </si>
  <si>
    <t>ORD00577</t>
  </si>
  <si>
    <t>ORD00578</t>
  </si>
  <si>
    <t>CUST858</t>
  </si>
  <si>
    <t>ORD00579</t>
  </si>
  <si>
    <t>ORD00580</t>
  </si>
  <si>
    <t>CUST839</t>
  </si>
  <si>
    <t>ORD00581</t>
  </si>
  <si>
    <t>CUST585</t>
  </si>
  <si>
    <t>ORD00582</t>
  </si>
  <si>
    <t>CUST817</t>
  </si>
  <si>
    <t>ORD00583</t>
  </si>
  <si>
    <t>ORD00584</t>
  </si>
  <si>
    <t>ORD00585</t>
  </si>
  <si>
    <t>ORD00586</t>
  </si>
  <si>
    <t>ORD00587</t>
  </si>
  <si>
    <t>CUST910</t>
  </si>
  <si>
    <t>ORD00588</t>
  </si>
  <si>
    <t>ORD00589</t>
  </si>
  <si>
    <t>CUST536</t>
  </si>
  <si>
    <t>ORD00590</t>
  </si>
  <si>
    <t>ORD00591</t>
  </si>
  <si>
    <t>ORD00592</t>
  </si>
  <si>
    <t>CUST759</t>
  </si>
  <si>
    <t>ORD00593</t>
  </si>
  <si>
    <t>ORD00594</t>
  </si>
  <si>
    <t>ORD00595</t>
  </si>
  <si>
    <t>ORD00596</t>
  </si>
  <si>
    <t>CUST638</t>
  </si>
  <si>
    <t>ORD00597</t>
  </si>
  <si>
    <t>CUST376</t>
  </si>
  <si>
    <t>ORD00598</t>
  </si>
  <si>
    <t>ORD00599</t>
  </si>
  <si>
    <t>CUST439</t>
  </si>
  <si>
    <t>ORD00600</t>
  </si>
  <si>
    <t>CUST431</t>
  </si>
  <si>
    <t>ORD00601</t>
  </si>
  <si>
    <t>CUST143</t>
  </si>
  <si>
    <t>ORD00602</t>
  </si>
  <si>
    <t>ORD00603</t>
  </si>
  <si>
    <t>CUST767</t>
  </si>
  <si>
    <t>ORD00604</t>
  </si>
  <si>
    <t>ORD00605</t>
  </si>
  <si>
    <t>CUST351</t>
  </si>
  <si>
    <t>ORD00606</t>
  </si>
  <si>
    <t>CUST699</t>
  </si>
  <si>
    <t>ORD00607</t>
  </si>
  <si>
    <t>ORD00608</t>
  </si>
  <si>
    <t>ORD00609</t>
  </si>
  <si>
    <t>ORD00610</t>
  </si>
  <si>
    <t>ORD00611</t>
  </si>
  <si>
    <t>ORD00612</t>
  </si>
  <si>
    <t>CUST760</t>
  </si>
  <si>
    <t>ORD00613</t>
  </si>
  <si>
    <t>CUST673</t>
  </si>
  <si>
    <t>ORD00614</t>
  </si>
  <si>
    <t>ORD00615</t>
  </si>
  <si>
    <t>ORD00616</t>
  </si>
  <si>
    <t>CUST751</t>
  </si>
  <si>
    <t>ORD00617</t>
  </si>
  <si>
    <t>ORD00618</t>
  </si>
  <si>
    <t>CUST120</t>
  </si>
  <si>
    <t>ORD00619</t>
  </si>
  <si>
    <t>ORD00620</t>
  </si>
  <si>
    <t>ORD00621</t>
  </si>
  <si>
    <t>CUST808</t>
  </si>
  <si>
    <t>ORD00622</t>
  </si>
  <si>
    <t>ORD00623</t>
  </si>
  <si>
    <t>CUST972</t>
  </si>
  <si>
    <t>ORD00624</t>
  </si>
  <si>
    <t>CUST314</t>
  </si>
  <si>
    <t>ORD00625</t>
  </si>
  <si>
    <t>ORD00626</t>
  </si>
  <si>
    <t>CUST682</t>
  </si>
  <si>
    <t>ORD00627</t>
  </si>
  <si>
    <t>CUST901</t>
  </si>
  <si>
    <t>ORD00628</t>
  </si>
  <si>
    <t>CUST367</t>
  </si>
  <si>
    <t>ORD00629</t>
  </si>
  <si>
    <t>CUST491</t>
  </si>
  <si>
    <t>ORD00630</t>
  </si>
  <si>
    <t>CUST815</t>
  </si>
  <si>
    <t>ORD00631</t>
  </si>
  <si>
    <t>ORD00632</t>
  </si>
  <si>
    <t>CUST617</t>
  </si>
  <si>
    <t>ORD00633</t>
  </si>
  <si>
    <t>CUST306</t>
  </si>
  <si>
    <t>ORD00634</t>
  </si>
  <si>
    <t>ORD00635</t>
  </si>
  <si>
    <t>CUST946</t>
  </si>
  <si>
    <t>ORD00636</t>
  </si>
  <si>
    <t>CUST310</t>
  </si>
  <si>
    <t>ORD00637</t>
  </si>
  <si>
    <t>CUST101</t>
  </si>
  <si>
    <t>ORD00638</t>
  </si>
  <si>
    <t>CUST483</t>
  </si>
  <si>
    <t>ORD00639</t>
  </si>
  <si>
    <t>CUST612</t>
  </si>
  <si>
    <t>ORD00640</t>
  </si>
  <si>
    <t>ORD00641</t>
  </si>
  <si>
    <t>CUST944</t>
  </si>
  <si>
    <t>ORD00642</t>
  </si>
  <si>
    <t>ORD00643</t>
  </si>
  <si>
    <t>ORD00644</t>
  </si>
  <si>
    <t>CUST461</t>
  </si>
  <si>
    <t>ORD00645</t>
  </si>
  <si>
    <t>CUST121</t>
  </si>
  <si>
    <t>ORD00646</t>
  </si>
  <si>
    <t>ORD00647</t>
  </si>
  <si>
    <t>ORD00648</t>
  </si>
  <si>
    <t>ORD00649</t>
  </si>
  <si>
    <t>ORD00650</t>
  </si>
  <si>
    <t>ORD00651</t>
  </si>
  <si>
    <t>CUST659</t>
  </si>
  <si>
    <t>ORD00652</t>
  </si>
  <si>
    <t>ORD00653</t>
  </si>
  <si>
    <t>ORD00654</t>
  </si>
  <si>
    <t>ORD00655</t>
  </si>
  <si>
    <t>ORD00656</t>
  </si>
  <si>
    <t>ORD00657</t>
  </si>
  <si>
    <t>CUST328</t>
  </si>
  <si>
    <t>ORD00658</t>
  </si>
  <si>
    <t>CUST412</t>
  </si>
  <si>
    <t>ORD00659</t>
  </si>
  <si>
    <t>ORD00660</t>
  </si>
  <si>
    <t>ORD00661</t>
  </si>
  <si>
    <t>ORD00662</t>
  </si>
  <si>
    <t>ORD00663</t>
  </si>
  <si>
    <t>CUST604</t>
  </si>
  <si>
    <t>ORD00664</t>
  </si>
  <si>
    <t>CUST334</t>
  </si>
  <si>
    <t>ORD00665</t>
  </si>
  <si>
    <t>CUST718</t>
  </si>
  <si>
    <t>ORD00666</t>
  </si>
  <si>
    <t>ORD00667</t>
  </si>
  <si>
    <t>CUST424</t>
  </si>
  <si>
    <t>ORD00668</t>
  </si>
  <si>
    <t>CUST826</t>
  </si>
  <si>
    <t>ORD00669</t>
  </si>
  <si>
    <t>ORD00670</t>
  </si>
  <si>
    <t>CUST802</t>
  </si>
  <si>
    <t>ORD00671</t>
  </si>
  <si>
    <t>ORD00672</t>
  </si>
  <si>
    <t>CUST650</t>
  </si>
  <si>
    <t>ORD00673</t>
  </si>
  <si>
    <t>CUST513</t>
  </si>
  <si>
    <t>ORD00674</t>
  </si>
  <si>
    <t>ORD00675</t>
  </si>
  <si>
    <t>ORD00676</t>
  </si>
  <si>
    <t>CUST296</t>
  </si>
  <si>
    <t>ORD00677</t>
  </si>
  <si>
    <t>CUST344</t>
  </si>
  <si>
    <t>ORD00678</t>
  </si>
  <si>
    <t>ORD00679</t>
  </si>
  <si>
    <t>CUST683</t>
  </si>
  <si>
    <t>ORD00680</t>
  </si>
  <si>
    <t>ORD00681</t>
  </si>
  <si>
    <t>ORD00682</t>
  </si>
  <si>
    <t>ORD00683</t>
  </si>
  <si>
    <t>CUST996</t>
  </si>
  <si>
    <t>ORD00684</t>
  </si>
  <si>
    <t>CUST667</t>
  </si>
  <si>
    <t>ORD00685</t>
  </si>
  <si>
    <t>CUST835</t>
  </si>
  <si>
    <t>ORD00686</t>
  </si>
  <si>
    <t>ORD00687</t>
  </si>
  <si>
    <t>ORD00688</t>
  </si>
  <si>
    <t>ORD00689</t>
  </si>
  <si>
    <t>CUST700</t>
  </si>
  <si>
    <t>ORD00690</t>
  </si>
  <si>
    <t>ORD00691</t>
  </si>
  <si>
    <t>CUST195</t>
  </si>
  <si>
    <t>ORD00692</t>
  </si>
  <si>
    <t>CUST176</t>
  </si>
  <si>
    <t>ORD00693</t>
  </si>
  <si>
    <t>CUST511</t>
  </si>
  <si>
    <t>ORD00694</t>
  </si>
  <si>
    <t>CUST471</t>
  </si>
  <si>
    <t>ORD00695</t>
  </si>
  <si>
    <t>CUST451</t>
  </si>
  <si>
    <t>ORD00696</t>
  </si>
  <si>
    <t>ORD00697</t>
  </si>
  <si>
    <t>CUST104</t>
  </si>
  <si>
    <t>ORD00698</t>
  </si>
  <si>
    <t>ORD00699</t>
  </si>
  <si>
    <t>CUST149</t>
  </si>
  <si>
    <t>ORD00700</t>
  </si>
  <si>
    <t>ORD00701</t>
  </si>
  <si>
    <t>CUST724</t>
  </si>
  <si>
    <t>ORD00702</t>
  </si>
  <si>
    <t>CUST758</t>
  </si>
  <si>
    <t>ORD00703</t>
  </si>
  <si>
    <t>CUST573</t>
  </si>
  <si>
    <t>ORD00704</t>
  </si>
  <si>
    <t>ORD00705</t>
  </si>
  <si>
    <t>CUST915</t>
  </si>
  <si>
    <t>ORD00706</t>
  </si>
  <si>
    <t>CUST482</t>
  </si>
  <si>
    <t>ORD00707</t>
  </si>
  <si>
    <t>CUST346</t>
  </si>
  <si>
    <t>ORD00708</t>
  </si>
  <si>
    <t>ORD00709</t>
  </si>
  <si>
    <t>ORD00710</t>
  </si>
  <si>
    <t>ORD00711</t>
  </si>
  <si>
    <t>ORD00712</t>
  </si>
  <si>
    <t>ORD00713</t>
  </si>
  <si>
    <t>ORD00714</t>
  </si>
  <si>
    <t>CUST834</t>
  </si>
  <si>
    <t>ORD00715</t>
  </si>
  <si>
    <t>ORD00716</t>
  </si>
  <si>
    <t>CUST170</t>
  </si>
  <si>
    <t>ORD00717</t>
  </si>
  <si>
    <t>CUST898</t>
  </si>
  <si>
    <t>ORD00718</t>
  </si>
  <si>
    <t>ORD00719</t>
  </si>
  <si>
    <t>CUST189</t>
  </si>
  <si>
    <t>ORD00720</t>
  </si>
  <si>
    <t>ORD00721</t>
  </si>
  <si>
    <t>ORD00722</t>
  </si>
  <si>
    <t>CUST711</t>
  </si>
  <si>
    <t>ORD00723</t>
  </si>
  <si>
    <t>ORD00724</t>
  </si>
  <si>
    <t>ORD00725</t>
  </si>
  <si>
    <t>CUST628</t>
  </si>
  <si>
    <t>ORD00726</t>
  </si>
  <si>
    <t>ORD00727</t>
  </si>
  <si>
    <t>ORD00728</t>
  </si>
  <si>
    <t>ORD00729</t>
  </si>
  <si>
    <t>CUST403</t>
  </si>
  <si>
    <t>ORD00730</t>
  </si>
  <si>
    <t>CUST369</t>
  </si>
  <si>
    <t>ORD00731</t>
  </si>
  <si>
    <t>ORD00732</t>
  </si>
  <si>
    <t>ORD00733</t>
  </si>
  <si>
    <t>CUST192</t>
  </si>
  <si>
    <t>ORD00734</t>
  </si>
  <si>
    <t>ORD00735</t>
  </si>
  <si>
    <t>CUST693</t>
  </si>
  <si>
    <t>ORD00736</t>
  </si>
  <si>
    <t>ORD00737</t>
  </si>
  <si>
    <t>ORD00738</t>
  </si>
  <si>
    <t>ORD00739</t>
  </si>
  <si>
    <t>CUST426</t>
  </si>
  <si>
    <t>ORD00740</t>
  </si>
  <si>
    <t>ORD00741</t>
  </si>
  <si>
    <t>ORD00742</t>
  </si>
  <si>
    <t>ORD00743</t>
  </si>
  <si>
    <t>ORD00744</t>
  </si>
  <si>
    <t>ORD00745</t>
  </si>
  <si>
    <t>CUST327</t>
  </si>
  <si>
    <t>ORD00746</t>
  </si>
  <si>
    <t>CUST679</t>
  </si>
  <si>
    <t>ORD00747</t>
  </si>
  <si>
    <t>ORD00748</t>
  </si>
  <si>
    <t>ORD00749</t>
  </si>
  <si>
    <t>ORD00750</t>
  </si>
  <si>
    <t>ORD00751</t>
  </si>
  <si>
    <t>CUST875</t>
  </si>
  <si>
    <t>ORD00752</t>
  </si>
  <si>
    <t>ORD00753</t>
  </si>
  <si>
    <t>ORD00754</t>
  </si>
  <si>
    <t>ORD00755</t>
  </si>
  <si>
    <t>CUST701</t>
  </si>
  <si>
    <t>ORD00756</t>
  </si>
  <si>
    <t>ORD00757</t>
  </si>
  <si>
    <t>ORD00758</t>
  </si>
  <si>
    <t>ORD00759</t>
  </si>
  <si>
    <t>CUST518</t>
  </si>
  <si>
    <t>ORD00760</t>
  </si>
  <si>
    <t>ORD00761</t>
  </si>
  <si>
    <t>ORD00762</t>
  </si>
  <si>
    <t>ORD00763</t>
  </si>
  <si>
    <t>CUST836</t>
  </si>
  <si>
    <t>ORD00764</t>
  </si>
  <si>
    <t>ORD00765</t>
  </si>
  <si>
    <t>CUST438</t>
  </si>
  <si>
    <t>ORD00766</t>
  </si>
  <si>
    <t>ORD00767</t>
  </si>
  <si>
    <t>ORD00768</t>
  </si>
  <si>
    <t>ORD00769</t>
  </si>
  <si>
    <t>CUST849</t>
  </si>
  <si>
    <t>ORD00770</t>
  </si>
  <si>
    <t>ORD00771</t>
  </si>
  <si>
    <t>ORD00772</t>
  </si>
  <si>
    <t>CUST492</t>
  </si>
  <si>
    <t>ORD00773</t>
  </si>
  <si>
    <t>ORD00774</t>
  </si>
  <si>
    <t>ORD00775</t>
  </si>
  <si>
    <t>ORD00776</t>
  </si>
  <si>
    <t>ORD00777</t>
  </si>
  <si>
    <t>ORD00778</t>
  </si>
  <si>
    <t>ORD00779</t>
  </si>
  <si>
    <t>ORD00780</t>
  </si>
  <si>
    <t>CUST357</t>
  </si>
  <si>
    <t>ORD00781</t>
  </si>
  <si>
    <t>ORD00782</t>
  </si>
  <si>
    <t>CUST249</t>
  </si>
  <si>
    <t>ORD00783</t>
  </si>
  <si>
    <t>CUST417</t>
  </si>
  <si>
    <t>ORD00784</t>
  </si>
  <si>
    <t>ORD00785</t>
  </si>
  <si>
    <t>ORD00786</t>
  </si>
  <si>
    <t>ORD00787</t>
  </si>
  <si>
    <t>CUST942</t>
  </si>
  <si>
    <t>ORD00788</t>
  </si>
  <si>
    <t>CUST538</t>
  </si>
  <si>
    <t>ORD00789</t>
  </si>
  <si>
    <t>CUST882</t>
  </si>
  <si>
    <t>ORD00790</t>
  </si>
  <si>
    <t>ORD00791</t>
  </si>
  <si>
    <t>CUST545</t>
  </si>
  <si>
    <t>ORD00792</t>
  </si>
  <si>
    <t>ORD00793</t>
  </si>
  <si>
    <t>CUST641</t>
  </si>
  <si>
    <t>ORD00794</t>
  </si>
  <si>
    <t>ORD00795</t>
  </si>
  <si>
    <t>ORD00796</t>
  </si>
  <si>
    <t>CUST414</t>
  </si>
  <si>
    <t>ORD00797</t>
  </si>
  <si>
    <t>CUST487</t>
  </si>
  <si>
    <t>ORD00798</t>
  </si>
  <si>
    <t>ORD00799</t>
  </si>
  <si>
    <t>CUST552</t>
  </si>
  <si>
    <t>ORD00800</t>
  </si>
  <si>
    <t>ORD00801</t>
  </si>
  <si>
    <t>ORD00802</t>
  </si>
  <si>
    <t>ORD00803</t>
  </si>
  <si>
    <t>CUST818</t>
  </si>
  <si>
    <t>ORD00804</t>
  </si>
  <si>
    <t>ORD00805</t>
  </si>
  <si>
    <t>ORD00806</t>
  </si>
  <si>
    <t>ORD00807</t>
  </si>
  <si>
    <t>CUST827</t>
  </si>
  <si>
    <t>ORD00808</t>
  </si>
  <si>
    <t>CUST654</t>
  </si>
  <si>
    <t>ORD00809</t>
  </si>
  <si>
    <t>ORD00810</t>
  </si>
  <si>
    <t>CUST917</t>
  </si>
  <si>
    <t>ORD00811</t>
  </si>
  <si>
    <t>CUST745</t>
  </si>
  <si>
    <t>ORD00812</t>
  </si>
  <si>
    <t>ORD00813</t>
  </si>
  <si>
    <t>CUST765</t>
  </si>
  <si>
    <t>ORD00814</t>
  </si>
  <si>
    <t>ORD00815</t>
  </si>
  <si>
    <t>ORD00816</t>
  </si>
  <si>
    <t>ORD00817</t>
  </si>
  <si>
    <t>ORD00818</t>
  </si>
  <si>
    <t>CUST514</t>
  </si>
  <si>
    <t>ORD00819</t>
  </si>
  <si>
    <t>ORD00820</t>
  </si>
  <si>
    <t>ORD00821</t>
  </si>
  <si>
    <t>CUST190</t>
  </si>
  <si>
    <t>ORD00822</t>
  </si>
  <si>
    <t>ORD00823</t>
  </si>
  <si>
    <t>ORD00824</t>
  </si>
  <si>
    <t>ORD00825</t>
  </si>
  <si>
    <t>CUST869</t>
  </si>
  <si>
    <t>ORD00826</t>
  </si>
  <si>
    <t>CUST730</t>
  </si>
  <si>
    <t>ORD00827</t>
  </si>
  <si>
    <t>ORD00828</t>
  </si>
  <si>
    <t>ORD00829</t>
  </si>
  <si>
    <t>CUST773</t>
  </si>
  <si>
    <t>ORD00830</t>
  </si>
  <si>
    <t>ORD00831</t>
  </si>
  <si>
    <t>ORD00832</t>
  </si>
  <si>
    <t>ORD00833</t>
  </si>
  <si>
    <t>ORD00834</t>
  </si>
  <si>
    <t>ORD00835</t>
  </si>
  <si>
    <t>CUST594</t>
  </si>
  <si>
    <t>ORD00836</t>
  </si>
  <si>
    <t>CUST305</t>
  </si>
  <si>
    <t>ORD00837</t>
  </si>
  <si>
    <t>ORD00838</t>
  </si>
  <si>
    <t>ORD00839</t>
  </si>
  <si>
    <t>ORD00840</t>
  </si>
  <si>
    <t>ORD00841</t>
  </si>
  <si>
    <t>CUST397</t>
  </si>
  <si>
    <t>ORD00842</t>
  </si>
  <si>
    <t>CUST288</t>
  </si>
  <si>
    <t>ORD00843</t>
  </si>
  <si>
    <t>ORD00844</t>
  </si>
  <si>
    <t>ORD00845</t>
  </si>
  <si>
    <t>CUST162</t>
  </si>
  <si>
    <t>ORD00846</t>
  </si>
  <si>
    <t>CUST459</t>
  </si>
  <si>
    <t>ORD00847</t>
  </si>
  <si>
    <t>ORD00848</t>
  </si>
  <si>
    <t>CUST891</t>
  </si>
  <si>
    <t>ORD00849</t>
  </si>
  <si>
    <t>CUST681</t>
  </si>
  <si>
    <t>ORD00850</t>
  </si>
  <si>
    <t>ORD00851</t>
  </si>
  <si>
    <t>ORD00852</t>
  </si>
  <si>
    <t>CUST495</t>
  </si>
  <si>
    <t>ORD00853</t>
  </si>
  <si>
    <t>ORD00854</t>
  </si>
  <si>
    <t>ORD00855</t>
  </si>
  <si>
    <t>CUST177</t>
  </si>
  <si>
    <t>ORD00856</t>
  </si>
  <si>
    <t>CUST219</t>
  </si>
  <si>
    <t>ORD00857</t>
  </si>
  <si>
    <t>CUST763</t>
  </si>
  <si>
    <t>ORD00858</t>
  </si>
  <si>
    <t>CUST418</t>
  </si>
  <si>
    <t>ORD00859</t>
  </si>
  <si>
    <t>CUST830</t>
  </si>
  <si>
    <t>ORD00860</t>
  </si>
  <si>
    <t>ORD00861</t>
  </si>
  <si>
    <t>CUST312</t>
  </si>
  <si>
    <t>ORD00862</t>
  </si>
  <si>
    <t>ORD00863</t>
  </si>
  <si>
    <t>ORD00864</t>
  </si>
  <si>
    <t>CUST293</t>
  </si>
  <si>
    <t>ORD00865</t>
  </si>
  <si>
    <t>ORD00866</t>
  </si>
  <si>
    <t>CUST379</t>
  </si>
  <si>
    <t>ORD00867</t>
  </si>
  <si>
    <t>CUST366</t>
  </si>
  <si>
    <t>ORD00868</t>
  </si>
  <si>
    <t>CUST770</t>
  </si>
  <si>
    <t>ORD00869</t>
  </si>
  <si>
    <t>ORD00870</t>
  </si>
  <si>
    <t>CUST103</t>
  </si>
  <si>
    <t>ORD00871</t>
  </si>
  <si>
    <t>ORD00872</t>
  </si>
  <si>
    <t>CUST685</t>
  </si>
  <si>
    <t>ORD00873</t>
  </si>
  <si>
    <t>ORD00874</t>
  </si>
  <si>
    <t>ORD00875</t>
  </si>
  <si>
    <t>ORD00876</t>
  </si>
  <si>
    <t>CUST458</t>
  </si>
  <si>
    <t>ORD00877</t>
  </si>
  <si>
    <t>CUST929</t>
  </si>
  <si>
    <t>ORD00878</t>
  </si>
  <si>
    <t>ORD00879</t>
  </si>
  <si>
    <t>CUST419</t>
  </si>
  <si>
    <t>ORD00880</t>
  </si>
  <si>
    <t>ORD00881</t>
  </si>
  <si>
    <t>ORD00882</t>
  </si>
  <si>
    <t>ORD00883</t>
  </si>
  <si>
    <t>CUST321</t>
  </si>
  <si>
    <t>ORD00884</t>
  </si>
  <si>
    <t>CUST575</t>
  </si>
  <si>
    <t>ORD00885</t>
  </si>
  <si>
    <t>CUST250</t>
  </si>
  <si>
    <t>ORD00886</t>
  </si>
  <si>
    <t>ORD00887</t>
  </si>
  <si>
    <t>CUST553</t>
  </si>
  <si>
    <t>ORD00888</t>
  </si>
  <si>
    <t>ORD00889</t>
  </si>
  <si>
    <t>ORD00890</t>
  </si>
  <si>
    <t>CUST935</t>
  </si>
  <si>
    <t>ORD00891</t>
  </si>
  <si>
    <t>ORD00892</t>
  </si>
  <si>
    <t>ORD00893</t>
  </si>
  <si>
    <t>ORD00894</t>
  </si>
  <si>
    <t>ORD00895</t>
  </si>
  <si>
    <t>CUST900</t>
  </si>
  <si>
    <t>ORD00896</t>
  </si>
  <si>
    <t>ORD00897</t>
  </si>
  <si>
    <t>ORD00898</t>
  </si>
  <si>
    <t>ORD00899</t>
  </si>
  <si>
    <t>ORD00900</t>
  </si>
  <si>
    <t>CUST294</t>
  </si>
  <si>
    <t>ORD00901</t>
  </si>
  <si>
    <t>ORD00902</t>
  </si>
  <si>
    <t>ORD00903</t>
  </si>
  <si>
    <t>ORD00904</t>
  </si>
  <si>
    <t>CUST702</t>
  </si>
  <si>
    <t>ORD00905</t>
  </si>
  <si>
    <t>CUST703</t>
  </si>
  <si>
    <t>ORD00906</t>
  </si>
  <si>
    <t>ORD00907</t>
  </si>
  <si>
    <t>ORD00908</t>
  </si>
  <si>
    <t>CUST853</t>
  </si>
  <si>
    <t>ORD00909</t>
  </si>
  <si>
    <t>ORD00910</t>
  </si>
  <si>
    <t>ORD00911</t>
  </si>
  <si>
    <t>ORD00912</t>
  </si>
  <si>
    <t>ORD00913</t>
  </si>
  <si>
    <t>CUST107</t>
  </si>
  <si>
    <t>ORD00914</t>
  </si>
  <si>
    <t>ORD00915</t>
  </si>
  <si>
    <t>CUST605</t>
  </si>
  <si>
    <t>ORD00916</t>
  </si>
  <si>
    <t>ORD00917</t>
  </si>
  <si>
    <t>CUST223</t>
  </si>
  <si>
    <t>ORD00918</t>
  </si>
  <si>
    <t>CUST283</t>
  </si>
  <si>
    <t>ORD00919</t>
  </si>
  <si>
    <t>ORD00920</t>
  </si>
  <si>
    <t>ORD00921</t>
  </si>
  <si>
    <t>ORD00922</t>
  </si>
  <si>
    <t>CUST251</t>
  </si>
  <si>
    <t>ORD00923</t>
  </si>
  <si>
    <t>CUST613</t>
  </si>
  <si>
    <t>ORD00924</t>
  </si>
  <si>
    <t>ORD00925</t>
  </si>
  <si>
    <t>ORD00926</t>
  </si>
  <si>
    <t>CUST300</t>
  </si>
  <si>
    <t>ORD00927</t>
  </si>
  <si>
    <t>ORD00928</t>
  </si>
  <si>
    <t>ORD00929</t>
  </si>
  <si>
    <t>ORD00930</t>
  </si>
  <si>
    <t>CUST222</t>
  </si>
  <si>
    <t>ORD00931</t>
  </si>
  <si>
    <t>ORD00932</t>
  </si>
  <si>
    <t>ORD00933</t>
  </si>
  <si>
    <t>ORD00934</t>
  </si>
  <si>
    <t>ORD00935</t>
  </si>
  <si>
    <t>ORD00936</t>
  </si>
  <si>
    <t>CUST368</t>
  </si>
  <si>
    <t>ORD00937</t>
  </si>
  <si>
    <t>ORD00938</t>
  </si>
  <si>
    <t>ORD00939</t>
  </si>
  <si>
    <t>ORD00940</t>
  </si>
  <si>
    <t>CUST232</t>
  </si>
  <si>
    <t>ORD00941</t>
  </si>
  <si>
    <t>CUST928</t>
  </si>
  <si>
    <t>ORD00942</t>
  </si>
  <si>
    <t>ORD00943</t>
  </si>
  <si>
    <t>ORD00944</t>
  </si>
  <si>
    <t>CUST621</t>
  </si>
  <si>
    <t>ORD00945</t>
  </si>
  <si>
    <t>ORD00946</t>
  </si>
  <si>
    <t>CUST501</t>
  </si>
  <si>
    <t>ORD00947</t>
  </si>
  <si>
    <t>ORD00948</t>
  </si>
  <si>
    <t>ORD00949</t>
  </si>
  <si>
    <t>CUST787</t>
  </si>
  <si>
    <t>ORD00950</t>
  </si>
  <si>
    <t>CUST171</t>
  </si>
  <si>
    <t>ORD00951</t>
  </si>
  <si>
    <t>CUST398</t>
  </si>
  <si>
    <t>ORD00952</t>
  </si>
  <si>
    <t>ORD00953</t>
  </si>
  <si>
    <t>ORD00954</t>
  </si>
  <si>
    <t>CUST761</t>
  </si>
  <si>
    <t>ORD00955</t>
  </si>
  <si>
    <t>ORD00956</t>
  </si>
  <si>
    <t>ORD00957</t>
  </si>
  <si>
    <t>ORD00958</t>
  </si>
  <si>
    <t>ORD00959</t>
  </si>
  <si>
    <t>ORD00960</t>
  </si>
  <si>
    <t>ORD00961</t>
  </si>
  <si>
    <t>ORD00962</t>
  </si>
  <si>
    <t>ORD00963</t>
  </si>
  <si>
    <t>ORD00964</t>
  </si>
  <si>
    <t>ORD00965</t>
  </si>
  <si>
    <t>CUST175</t>
  </si>
  <si>
    <t>ORD00966</t>
  </si>
  <si>
    <t>ORD00967</t>
  </si>
  <si>
    <t>ORD00968</t>
  </si>
  <si>
    <t>ORD00969</t>
  </si>
  <si>
    <t>CUST466</t>
  </si>
  <si>
    <t>ORD00970</t>
  </si>
  <si>
    <t>CUST886</t>
  </si>
  <si>
    <t>ORD00971</t>
  </si>
  <si>
    <t>CUST692</t>
  </si>
  <si>
    <t>ORD00972</t>
  </si>
  <si>
    <t>ORD00973</t>
  </si>
  <si>
    <t>CUST798</t>
  </si>
  <si>
    <t>ORD00974</t>
  </si>
  <si>
    <t>ORD00975</t>
  </si>
  <si>
    <t>ORD00976</t>
  </si>
  <si>
    <t>ORD00977</t>
  </si>
  <si>
    <t>ORD00978</t>
  </si>
  <si>
    <t>ORD00979</t>
  </si>
  <si>
    <t>ORD00980</t>
  </si>
  <si>
    <t>ORD00981</t>
  </si>
  <si>
    <t>CUST139</t>
  </si>
  <si>
    <t>ORD00982</t>
  </si>
  <si>
    <t>CUST106</t>
  </si>
  <si>
    <t>ORD00983</t>
  </si>
  <si>
    <t>ORD00984</t>
  </si>
  <si>
    <t>CUST396</t>
  </si>
  <si>
    <t>ORD00985</t>
  </si>
  <si>
    <t>ORD00986</t>
  </si>
  <si>
    <t>CUST180</t>
  </si>
  <si>
    <t>ORD00987</t>
  </si>
  <si>
    <t>CUST544</t>
  </si>
  <si>
    <t>ORD00988</t>
  </si>
  <si>
    <t>ORD00989</t>
  </si>
  <si>
    <t>CUST852</t>
  </si>
  <si>
    <t>ORD00990</t>
  </si>
  <si>
    <t>ORD00991</t>
  </si>
  <si>
    <t>ORD00992</t>
  </si>
  <si>
    <t>ORD00993</t>
  </si>
  <si>
    <t>CUST225</t>
  </si>
  <si>
    <t>ORD00994</t>
  </si>
  <si>
    <t>ORD00995</t>
  </si>
  <si>
    <t>CUST205</t>
  </si>
  <si>
    <t>ORD00996</t>
  </si>
  <si>
    <t>ORD00997</t>
  </si>
  <si>
    <t>CUST522</t>
  </si>
  <si>
    <t>ORD00998</t>
  </si>
  <si>
    <t>CUST640</t>
  </si>
  <si>
    <t>ORD00999</t>
  </si>
  <si>
    <t>ORD01000</t>
  </si>
  <si>
    <t>Row Labels</t>
  </si>
  <si>
    <t>Grand Total</t>
  </si>
  <si>
    <t>Jan</t>
  </si>
  <si>
    <t>Feb</t>
  </si>
  <si>
    <t>Mar</t>
  </si>
  <si>
    <t>Apr</t>
  </si>
  <si>
    <t>May</t>
  </si>
  <si>
    <t>Jun</t>
  </si>
  <si>
    <t>Jul</t>
  </si>
  <si>
    <t>Aug</t>
  </si>
  <si>
    <t>Sep</t>
  </si>
  <si>
    <t>Oct</t>
  </si>
  <si>
    <t>Nov</t>
  </si>
  <si>
    <t>Dec</t>
  </si>
  <si>
    <t>Sum of TotalAmount</t>
  </si>
  <si>
    <t>Average of DeliveryDays</t>
  </si>
  <si>
    <t>Average of Rating</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</si>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</sst>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_ * #,##0_ ;_ * \-#,##0_ ;_ * &quot;-&quot;??_ ;_ @_ "/>
  </numFmts>
  <fonts count="3" x14ac:knownFonts="1">
    <font>
      <sz val="11"/>
      <color theme="1"/>
      <name val="Calibri"/>
      <family val="2"/>
      <scheme val="minor"/>
    </font>
    <font>
      <b/>
      <sz val="11"/>
      <color rgb="FFFFFFFF"/>
      <name val="Calibri"/>
      <family val="2"/>
      <scheme val="minor"/>
    </font>
    <font>
      <b/>
      <sz val="11"/>
      <color theme="0"/>
      <name val="Calibri"/>
      <family val="2"/>
      <scheme val="minor"/>
    </font>
  </fonts>
  <fills count="3">
    <fill>
      <patternFill patternType="none"/>
    </fill>
    <fill>
      <patternFill patternType="gray125"/>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xf numFmtId="15" fontId="0" fillId="0" borderId="1" xfId="0" applyNumberFormat="1" applyBorder="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 fontId="0" fillId="0" borderId="0" xfId="0" applyNumberFormat="1"/>
    <xf numFmtId="165" fontId="0" fillId="0" borderId="0" xfId="0" applyNumberFormat="1"/>
    <xf numFmtId="0" fontId="1" fillId="0" borderId="0" xfId="0" applyFont="1" applyAlignment="1">
      <alignment horizontal="center" vertical="center"/>
    </xf>
    <xf numFmtId="0" fontId="2" fillId="2" borderId="1" xfId="0" applyFont="1" applyFill="1" applyBorder="1"/>
  </cellXfs>
  <cellStyles count="1">
    <cellStyle name="Normal" xfId="0" builtinId="0"/>
  </cellStyles>
  <dxfs count="4">
    <dxf>
      <numFmt numFmtId="1" formatCode="0"/>
    </dxf>
    <dxf>
      <numFmt numFmtId="164" formatCode="0.0"/>
    </dxf>
    <dxf>
      <numFmt numFmtId="165" formatCode="_ * #,##0_ ;_ * \-#,##0_ ;_ * &quot;-&quot;??_ ;_ @_ "/>
    </dxf>
    <dxf>
      <font>
        <b/>
        <i val="0"/>
        <color theme="1"/>
      </font>
      <fill>
        <patternFill>
          <bgColor theme="5" tint="-0.24994659260841701"/>
        </patternFill>
      </fill>
    </dxf>
  </dxfs>
  <tableStyles count="1" defaultTableStyle="TableStyleMedium2" defaultPivotStyle="PivotStyleLight16">
    <tableStyle name="Slicer Style 1" pivot="0" table="0" count="1" xr9:uid="{A2C88019-0DFE-47E9-B855-B7C29D8FC9BA}">
      <tableStyleElement type="wholeTable" dxfId="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learning.xlsx]KPI!Month</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025590551181101E-2"/>
          <c:y val="7.407407407407407E-2"/>
          <c:w val="0.84610629921259839"/>
          <c:h val="0.8416746864975212"/>
        </c:manualLayout>
      </c:layout>
      <c:barChart>
        <c:barDir val="bar"/>
        <c:grouping val="clustered"/>
        <c:varyColors val="0"/>
        <c:ser>
          <c:idx val="0"/>
          <c:order val="0"/>
          <c:tx>
            <c:strRef>
              <c:f>KPI!$B$3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0.00%</c:formatCode>
                <c:ptCount val="12"/>
                <c:pt idx="0">
                  <c:v>8.56446883512961E-2</c:v>
                </c:pt>
                <c:pt idx="1">
                  <c:v>6.2402314359933889E-2</c:v>
                </c:pt>
                <c:pt idx="2">
                  <c:v>8.407114888656364E-2</c:v>
                </c:pt>
                <c:pt idx="3">
                  <c:v>8.0622742011264376E-2</c:v>
                </c:pt>
                <c:pt idx="4">
                  <c:v>7.8644186091685345E-2</c:v>
                </c:pt>
                <c:pt idx="5">
                  <c:v>6.8126935856369378E-2</c:v>
                </c:pt>
                <c:pt idx="6">
                  <c:v>8.9830498646926327E-2</c:v>
                </c:pt>
                <c:pt idx="7">
                  <c:v>8.8095021606248089E-2</c:v>
                </c:pt>
                <c:pt idx="8">
                  <c:v>8.9153586182441749E-2</c:v>
                </c:pt>
                <c:pt idx="9">
                  <c:v>8.6356432973028044E-2</c:v>
                </c:pt>
                <c:pt idx="10">
                  <c:v>8.2522954184893166E-2</c:v>
                </c:pt>
                <c:pt idx="11">
                  <c:v>0.10452949084934995</c:v>
                </c:pt>
              </c:numCache>
            </c:numRef>
          </c:val>
          <c:extLst>
            <c:ext xmlns:c16="http://schemas.microsoft.com/office/drawing/2014/chart" uri="{C3380CC4-5D6E-409C-BE32-E72D297353CC}">
              <c16:uniqueId val="{00000000-841F-4F5D-AFFF-F970C1083A8D}"/>
            </c:ext>
          </c:extLst>
        </c:ser>
        <c:dLbls>
          <c:dLblPos val="outEnd"/>
          <c:showLegendKey val="0"/>
          <c:showVal val="1"/>
          <c:showCatName val="0"/>
          <c:showSerName val="0"/>
          <c:showPercent val="0"/>
          <c:showBubbleSize val="0"/>
        </c:dLbls>
        <c:gapWidth val="182"/>
        <c:axId val="599646031"/>
        <c:axId val="599639791"/>
      </c:barChart>
      <c:catAx>
        <c:axId val="599646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639791"/>
        <c:crosses val="autoZero"/>
        <c:auto val="1"/>
        <c:lblAlgn val="ctr"/>
        <c:lblOffset val="100"/>
        <c:noMultiLvlLbl val="0"/>
      </c:catAx>
      <c:valAx>
        <c:axId val="59963979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64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learning.xlsx]KPI!Brand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28283020513675"/>
          <c:y val="1.244750656167979E-2"/>
          <c:w val="0.70927801698503701"/>
          <c:h val="0.8416746864975212"/>
        </c:manualLayout>
      </c:layout>
      <c:barChart>
        <c:barDir val="bar"/>
        <c:grouping val="clustered"/>
        <c:varyColors val="0"/>
        <c:ser>
          <c:idx val="0"/>
          <c:order val="0"/>
          <c:tx>
            <c:strRef>
              <c:f>KPI!$J$3</c:f>
              <c:strCache>
                <c:ptCount val="1"/>
                <c:pt idx="0">
                  <c:v>Total</c:v>
                </c:pt>
              </c:strCache>
            </c:strRef>
          </c:tx>
          <c:spPr>
            <a:solidFill>
              <a:schemeClr val="accent1"/>
            </a:solidFill>
            <a:ln>
              <a:noFill/>
            </a:ln>
            <a:effectLst/>
          </c:spPr>
          <c:invertIfNegative val="0"/>
          <c:cat>
            <c:strRef>
              <c:f>KPI!$I$4:$I$14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KPI!$J$4:$J$14</c:f>
              <c:numCache>
                <c:formatCode>0.00%</c:formatCode>
                <c:ptCount val="10"/>
                <c:pt idx="0">
                  <c:v>7.5605540794069045E-2</c:v>
                </c:pt>
                <c:pt idx="1">
                  <c:v>9.8825594954492446E-2</c:v>
                </c:pt>
                <c:pt idx="2">
                  <c:v>0.11045782681432896</c:v>
                </c:pt>
                <c:pt idx="3">
                  <c:v>0.11831345304834903</c:v>
                </c:pt>
                <c:pt idx="4">
                  <c:v>9.4789188088422544E-2</c:v>
                </c:pt>
                <c:pt idx="5">
                  <c:v>9.7033368233294004E-2</c:v>
                </c:pt>
                <c:pt idx="6">
                  <c:v>0.10066246753645394</c:v>
                </c:pt>
                <c:pt idx="7">
                  <c:v>0.10197751335383029</c:v>
                </c:pt>
                <c:pt idx="8">
                  <c:v>8.4144933724196513E-2</c:v>
                </c:pt>
                <c:pt idx="9">
                  <c:v>0.11819011345256311</c:v>
                </c:pt>
              </c:numCache>
            </c:numRef>
          </c:val>
          <c:extLst>
            <c:ext xmlns:c16="http://schemas.microsoft.com/office/drawing/2014/chart" uri="{C3380CC4-5D6E-409C-BE32-E72D297353CC}">
              <c16:uniqueId val="{00000000-930F-4BB7-9C4B-093B939A63B8}"/>
            </c:ext>
          </c:extLst>
        </c:ser>
        <c:dLbls>
          <c:showLegendKey val="0"/>
          <c:showVal val="0"/>
          <c:showCatName val="0"/>
          <c:showSerName val="0"/>
          <c:showPercent val="0"/>
          <c:showBubbleSize val="0"/>
        </c:dLbls>
        <c:gapWidth val="182"/>
        <c:axId val="1273508863"/>
        <c:axId val="1273509823"/>
      </c:barChart>
      <c:catAx>
        <c:axId val="127350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09823"/>
        <c:crosses val="autoZero"/>
        <c:auto val="1"/>
        <c:lblAlgn val="ctr"/>
        <c:lblOffset val="100"/>
        <c:noMultiLvlLbl val="0"/>
      </c:catAx>
      <c:valAx>
        <c:axId val="127350982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50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learning.xlsx]KPI!Payment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KPI!$N$3</c:f>
              <c:strCache>
                <c:ptCount val="1"/>
                <c:pt idx="0">
                  <c:v>Total</c:v>
                </c:pt>
              </c:strCache>
            </c:strRef>
          </c:tx>
          <c:spPr>
            <a:solidFill>
              <a:schemeClr val="accent1"/>
            </a:solidFill>
            <a:ln>
              <a:noFill/>
            </a:ln>
            <a:effectLst/>
          </c:spPr>
          <c:invertIfNegative val="0"/>
          <c:cat>
            <c:strRef>
              <c:f>KPI!$M$4:$M$8</c:f>
              <c:strCache>
                <c:ptCount val="4"/>
                <c:pt idx="0">
                  <c:v>Card</c:v>
                </c:pt>
                <c:pt idx="1">
                  <c:v>Cash on Delivery</c:v>
                </c:pt>
                <c:pt idx="2">
                  <c:v>Net Banking</c:v>
                </c:pt>
                <c:pt idx="3">
                  <c:v>UPI</c:v>
                </c:pt>
              </c:strCache>
            </c:strRef>
          </c:cat>
          <c:val>
            <c:numRef>
              <c:f>KPI!$N$4:$N$8</c:f>
              <c:numCache>
                <c:formatCode>0.00%</c:formatCode>
                <c:ptCount val="4"/>
                <c:pt idx="0">
                  <c:v>0.23484261593252237</c:v>
                </c:pt>
                <c:pt idx="1">
                  <c:v>0.24382527603609319</c:v>
                </c:pt>
                <c:pt idx="2">
                  <c:v>0.25601057741513</c:v>
                </c:pt>
                <c:pt idx="3">
                  <c:v>0.26532153061625435</c:v>
                </c:pt>
              </c:numCache>
            </c:numRef>
          </c:val>
          <c:extLst>
            <c:ext xmlns:c16="http://schemas.microsoft.com/office/drawing/2014/chart" uri="{C3380CC4-5D6E-409C-BE32-E72D297353CC}">
              <c16:uniqueId val="{00000000-6B74-4BE8-9E2B-84EF39A059E6}"/>
            </c:ext>
          </c:extLst>
        </c:ser>
        <c:dLbls>
          <c:showLegendKey val="0"/>
          <c:showVal val="0"/>
          <c:showCatName val="0"/>
          <c:showSerName val="0"/>
          <c:showPercent val="0"/>
          <c:showBubbleSize val="0"/>
        </c:dLbls>
        <c:gapWidth val="219"/>
        <c:overlap val="-27"/>
        <c:axId val="174297135"/>
        <c:axId val="174290415"/>
      </c:barChart>
      <c:catAx>
        <c:axId val="17429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0415"/>
        <c:crosses val="autoZero"/>
        <c:auto val="1"/>
        <c:lblAlgn val="ctr"/>
        <c:lblOffset val="100"/>
        <c:noMultiLvlLbl val="0"/>
      </c:catAx>
      <c:valAx>
        <c:axId val="1742904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learning.xlsx]KPI!OrderChanel</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s>
    <c:plotArea>
      <c:layout/>
      <c:pieChart>
        <c:varyColors val="1"/>
        <c:ser>
          <c:idx val="0"/>
          <c:order val="0"/>
          <c:tx>
            <c:strRef>
              <c:f>KPI!$R$3</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A303-4FB4-ADF1-73D53D102723}"/>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A303-4FB4-ADF1-73D53D102723}"/>
              </c:ext>
            </c:extLst>
          </c:dPt>
          <c:cat>
            <c:strRef>
              <c:f>KPI!$Q$4:$Q$6</c:f>
              <c:strCache>
                <c:ptCount val="2"/>
                <c:pt idx="0">
                  <c:v>Mobile App</c:v>
                </c:pt>
                <c:pt idx="1">
                  <c:v>Website</c:v>
                </c:pt>
              </c:strCache>
            </c:strRef>
          </c:cat>
          <c:val>
            <c:numRef>
              <c:f>KPI!$R$4:$R$6</c:f>
              <c:numCache>
                <c:formatCode>0.00%</c:formatCode>
                <c:ptCount val="2"/>
                <c:pt idx="0">
                  <c:v>0.50859993267120218</c:v>
                </c:pt>
                <c:pt idx="1">
                  <c:v>0.49140006732879776</c:v>
                </c:pt>
              </c:numCache>
            </c:numRef>
          </c:val>
          <c:extLst>
            <c:ext xmlns:c16="http://schemas.microsoft.com/office/drawing/2014/chart" uri="{C3380CC4-5D6E-409C-BE32-E72D297353CC}">
              <c16:uniqueId val="{00000000-20C9-4FA2-BE09-B437007183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learning.xlsx]KPI!Return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tint val="77000"/>
            </a:schemeClr>
          </a:solidFill>
          <a:ln w="19050">
            <a:solidFill>
              <a:schemeClr val="lt1"/>
            </a:solidFill>
          </a:ln>
          <a:effectLst/>
        </c:spPr>
      </c:pivotFmt>
      <c:pivotFmt>
        <c:idx val="2"/>
        <c:spPr>
          <a:solidFill>
            <a:schemeClr val="accent1">
              <a:shade val="76000"/>
            </a:schemeClr>
          </a:solidFill>
          <a:ln w="19050">
            <a:solidFill>
              <a:schemeClr val="lt1"/>
            </a:solidFill>
          </a:ln>
          <a:effectLst/>
        </c:spPr>
      </c:pivotFmt>
    </c:pivotFmts>
    <c:plotArea>
      <c:layout/>
      <c:doughnutChart>
        <c:varyColors val="1"/>
        <c:ser>
          <c:idx val="0"/>
          <c:order val="0"/>
          <c:tx>
            <c:strRef>
              <c:f>KPI!$Z$3</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C821-480A-903E-C09BC574B5DF}"/>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C821-480A-903E-C09BC574B5DF}"/>
              </c:ext>
            </c:extLst>
          </c:dPt>
          <c:cat>
            <c:strRef>
              <c:f>KPI!$Y$4:$Y$6</c:f>
              <c:strCache>
                <c:ptCount val="2"/>
                <c:pt idx="0">
                  <c:v>No Return</c:v>
                </c:pt>
                <c:pt idx="1">
                  <c:v>Returned</c:v>
                </c:pt>
              </c:strCache>
            </c:strRef>
          </c:cat>
          <c:val>
            <c:numRef>
              <c:f>KPI!$Z$4:$Z$6</c:f>
              <c:numCache>
                <c:formatCode>0.00%</c:formatCode>
                <c:ptCount val="2"/>
                <c:pt idx="0">
                  <c:v>0.50130134262318327</c:v>
                </c:pt>
                <c:pt idx="1">
                  <c:v>0.49869865737681679</c:v>
                </c:pt>
              </c:numCache>
            </c:numRef>
          </c:val>
          <c:extLst>
            <c:ext xmlns:c16="http://schemas.microsoft.com/office/drawing/2014/chart" uri="{C3380CC4-5D6E-409C-BE32-E72D297353CC}">
              <c16:uniqueId val="{00000000-BC21-4CAC-8F74-42382C7D480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learning.xlsx]KPI!Brand</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14341193697939"/>
          <c:y val="5.3096986828514554E-2"/>
          <c:w val="0.70927801698503701"/>
          <c:h val="0.8416746864975212"/>
        </c:manualLayout>
      </c:layout>
      <c:barChart>
        <c:barDir val="bar"/>
        <c:grouping val="clustered"/>
        <c:varyColors val="0"/>
        <c:ser>
          <c:idx val="0"/>
          <c:order val="0"/>
          <c:tx>
            <c:strRef>
              <c:f>KPI!$J$3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KPI!$J$4:$J$14</c:f>
              <c:numCache>
                <c:formatCode>0.00%</c:formatCode>
                <c:ptCount val="10"/>
                <c:pt idx="0">
                  <c:v>7.5605540794069045E-2</c:v>
                </c:pt>
                <c:pt idx="1">
                  <c:v>9.8825594954492446E-2</c:v>
                </c:pt>
                <c:pt idx="2">
                  <c:v>0.11045782681432896</c:v>
                </c:pt>
                <c:pt idx="3">
                  <c:v>0.11831345304834903</c:v>
                </c:pt>
                <c:pt idx="4">
                  <c:v>9.4789188088422544E-2</c:v>
                </c:pt>
                <c:pt idx="5">
                  <c:v>9.7033368233294004E-2</c:v>
                </c:pt>
                <c:pt idx="6">
                  <c:v>0.10066246753645394</c:v>
                </c:pt>
                <c:pt idx="7">
                  <c:v>0.10197751335383029</c:v>
                </c:pt>
                <c:pt idx="8">
                  <c:v>8.4144933724196513E-2</c:v>
                </c:pt>
                <c:pt idx="9">
                  <c:v>0.11819011345256311</c:v>
                </c:pt>
              </c:numCache>
            </c:numRef>
          </c:val>
          <c:extLst>
            <c:ext xmlns:c16="http://schemas.microsoft.com/office/drawing/2014/chart" uri="{C3380CC4-5D6E-409C-BE32-E72D297353CC}">
              <c16:uniqueId val="{00000000-563E-4B53-B88F-7C1DBE2D55A6}"/>
            </c:ext>
          </c:extLst>
        </c:ser>
        <c:dLbls>
          <c:dLblPos val="inEnd"/>
          <c:showLegendKey val="0"/>
          <c:showVal val="1"/>
          <c:showCatName val="0"/>
          <c:showSerName val="0"/>
          <c:showPercent val="0"/>
          <c:showBubbleSize val="0"/>
        </c:dLbls>
        <c:gapWidth val="65"/>
        <c:axId val="1273508863"/>
        <c:axId val="1273509823"/>
      </c:barChart>
      <c:catAx>
        <c:axId val="12735088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273509823"/>
        <c:crosses val="autoZero"/>
        <c:auto val="1"/>
        <c:lblAlgn val="ctr"/>
        <c:lblOffset val="100"/>
        <c:noMultiLvlLbl val="0"/>
      </c:catAx>
      <c:valAx>
        <c:axId val="12735098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7350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learning.xlsx]KPI!Payment</c:name>
    <c:fmtId val="7"/>
  </c:pivotSource>
  <c:chart>
    <c:autoTitleDeleted val="1"/>
    <c:pivotFmts>
      <c:pivotFmt>
        <c:idx val="0"/>
      </c:pivotFmt>
      <c:pivotFmt>
        <c:idx val="1"/>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08658882210332"/>
          <c:y val="6.7059442223392191E-2"/>
          <c:w val="0.82294440232519384"/>
          <c:h val="0.85716714631917268"/>
        </c:manualLayout>
      </c:layout>
      <c:barChart>
        <c:barDir val="col"/>
        <c:grouping val="clustered"/>
        <c:varyColors val="0"/>
        <c:ser>
          <c:idx val="0"/>
          <c:order val="0"/>
          <c:tx>
            <c:strRef>
              <c:f>KPI!$N$3</c:f>
              <c:strCache>
                <c:ptCount val="1"/>
                <c:pt idx="0">
                  <c:v>Total</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KPI!$M$4:$M$8</c:f>
              <c:strCache>
                <c:ptCount val="4"/>
                <c:pt idx="0">
                  <c:v>Card</c:v>
                </c:pt>
                <c:pt idx="1">
                  <c:v>Cash on Delivery</c:v>
                </c:pt>
                <c:pt idx="2">
                  <c:v>Net Banking</c:v>
                </c:pt>
                <c:pt idx="3">
                  <c:v>UPI</c:v>
                </c:pt>
              </c:strCache>
            </c:strRef>
          </c:cat>
          <c:val>
            <c:numRef>
              <c:f>KPI!$N$4:$N$8</c:f>
              <c:numCache>
                <c:formatCode>0.00%</c:formatCode>
                <c:ptCount val="4"/>
                <c:pt idx="0">
                  <c:v>0.23484261593252237</c:v>
                </c:pt>
                <c:pt idx="1">
                  <c:v>0.24382527603609319</c:v>
                </c:pt>
                <c:pt idx="2">
                  <c:v>0.25601057741513</c:v>
                </c:pt>
                <c:pt idx="3">
                  <c:v>0.26532153061625435</c:v>
                </c:pt>
              </c:numCache>
            </c:numRef>
          </c:val>
          <c:extLst>
            <c:ext xmlns:c16="http://schemas.microsoft.com/office/drawing/2014/chart" uri="{C3380CC4-5D6E-409C-BE32-E72D297353CC}">
              <c16:uniqueId val="{00000000-5C7D-443C-A61E-405EB87C3716}"/>
            </c:ext>
          </c:extLst>
        </c:ser>
        <c:dLbls>
          <c:dLblPos val="outEnd"/>
          <c:showLegendKey val="0"/>
          <c:showVal val="1"/>
          <c:showCatName val="0"/>
          <c:showSerName val="0"/>
          <c:showPercent val="0"/>
          <c:showBubbleSize val="0"/>
        </c:dLbls>
        <c:gapWidth val="355"/>
        <c:overlap val="-70"/>
        <c:axId val="174297135"/>
        <c:axId val="174290415"/>
      </c:barChart>
      <c:catAx>
        <c:axId val="17429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74290415"/>
        <c:crosses val="autoZero"/>
        <c:auto val="1"/>
        <c:lblAlgn val="ctr"/>
        <c:lblOffset val="100"/>
        <c:noMultiLvlLbl val="0"/>
      </c:catAx>
      <c:valAx>
        <c:axId val="1742904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7429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667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learning.xlsx]KPI!Return</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noFill/>
          </a:ln>
          <a:effectLst/>
          <a:scene3d>
            <a:camera prst="orthographicFront"/>
            <a:lightRig rig="threePt" dir="t"/>
          </a:scene3d>
          <a:sp3d>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w="19050">
            <a:noFill/>
          </a:ln>
          <a:effectLst/>
          <a:scene3d>
            <a:camera prst="orthographicFront"/>
            <a:lightRig rig="threePt" dir="t"/>
          </a:scene3d>
          <a:sp3d>
            <a:bevelT w="165100" prst="coolSlant"/>
          </a:sp3d>
        </c:spPr>
      </c:pivotFmt>
      <c:pivotFmt>
        <c:idx val="6"/>
        <c:spPr>
          <a:solidFill>
            <a:schemeClr val="accent4">
              <a:lumMod val="75000"/>
            </a:schemeClr>
          </a:solidFill>
          <a:ln w="19050">
            <a:noFill/>
          </a:ln>
          <a:effectLst/>
          <a:scene3d>
            <a:camera prst="orthographicFront"/>
            <a:lightRig rig="threePt" dir="t"/>
          </a:scene3d>
          <a:sp3d>
            <a:bevelT w="165100" prst="coolSlant"/>
          </a:sp3d>
        </c:spPr>
      </c:pivotFmt>
    </c:pivotFmts>
    <c:plotArea>
      <c:layout>
        <c:manualLayout>
          <c:layoutTarget val="inner"/>
          <c:xMode val="edge"/>
          <c:yMode val="edge"/>
          <c:x val="0.1079410652916004"/>
          <c:y val="6.1912948692767943E-2"/>
          <c:w val="0.6391645077588044"/>
          <c:h val="0.8869725097240454"/>
        </c:manualLayout>
      </c:layout>
      <c:doughnutChart>
        <c:varyColors val="1"/>
        <c:ser>
          <c:idx val="0"/>
          <c:order val="0"/>
          <c:tx>
            <c:strRef>
              <c:f>KPI!$Z$3</c:f>
              <c:strCache>
                <c:ptCount val="1"/>
                <c:pt idx="0">
                  <c:v>Total</c:v>
                </c:pt>
              </c:strCache>
            </c:strRef>
          </c:tx>
          <c:spPr>
            <a:ln>
              <a:noFill/>
            </a:ln>
            <a:effectLst/>
            <a:scene3d>
              <a:camera prst="orthographicFront"/>
              <a:lightRig rig="threePt" dir="t"/>
            </a:scene3d>
            <a:sp3d>
              <a:bevelT w="165100" prst="coolSlant"/>
            </a:sp3d>
          </c:spPr>
          <c:dPt>
            <c:idx val="0"/>
            <c:bubble3D val="0"/>
            <c:spPr>
              <a:solidFill>
                <a:schemeClr val="accent1">
                  <a:lumMod val="75000"/>
                </a:schemeClr>
              </a:solidFill>
              <a:ln w="19050">
                <a:noFill/>
              </a:ln>
              <a:effectLst/>
              <a:scene3d>
                <a:camera prst="orthographicFront"/>
                <a:lightRig rig="threePt" dir="t"/>
              </a:scene3d>
              <a:sp3d>
                <a:bevelT w="165100" prst="coolSlant"/>
              </a:sp3d>
            </c:spPr>
            <c:extLst>
              <c:ext xmlns:c16="http://schemas.microsoft.com/office/drawing/2014/chart" uri="{C3380CC4-5D6E-409C-BE32-E72D297353CC}">
                <c16:uniqueId val="{00000001-E6DC-43D2-B753-A12BF255414A}"/>
              </c:ext>
            </c:extLst>
          </c:dPt>
          <c:dPt>
            <c:idx val="1"/>
            <c:bubble3D val="0"/>
            <c:spPr>
              <a:solidFill>
                <a:schemeClr val="accent4">
                  <a:lumMod val="75000"/>
                </a:schemeClr>
              </a:solidFill>
              <a:ln w="19050">
                <a:noFill/>
              </a:ln>
              <a:effectLst/>
              <a:scene3d>
                <a:camera prst="orthographicFront"/>
                <a:lightRig rig="threePt" dir="t"/>
              </a:scene3d>
              <a:sp3d>
                <a:bevelT w="165100" prst="coolSlant"/>
              </a:sp3d>
            </c:spPr>
            <c:extLst>
              <c:ext xmlns:c16="http://schemas.microsoft.com/office/drawing/2014/chart" uri="{C3380CC4-5D6E-409C-BE32-E72D297353CC}">
                <c16:uniqueId val="{00000003-E6DC-43D2-B753-A12BF255414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KPI!$Y$4:$Y$6</c:f>
              <c:strCache>
                <c:ptCount val="2"/>
                <c:pt idx="0">
                  <c:v>No Return</c:v>
                </c:pt>
                <c:pt idx="1">
                  <c:v>Returned</c:v>
                </c:pt>
              </c:strCache>
            </c:strRef>
          </c:cat>
          <c:val>
            <c:numRef>
              <c:f>KPI!$Z$4:$Z$6</c:f>
              <c:numCache>
                <c:formatCode>0.00%</c:formatCode>
                <c:ptCount val="2"/>
                <c:pt idx="0">
                  <c:v>0.50130134262318327</c:v>
                </c:pt>
                <c:pt idx="1">
                  <c:v>0.49869865737681679</c:v>
                </c:pt>
              </c:numCache>
            </c:numRef>
          </c:val>
          <c:extLst>
            <c:ext xmlns:c16="http://schemas.microsoft.com/office/drawing/2014/chart" uri="{C3380CC4-5D6E-409C-BE32-E72D297353CC}">
              <c16:uniqueId val="{00000004-E6DC-43D2-B753-A12BF255414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learning.xlsx]KPI!Month</c:name>
    <c:fmtId val="4"/>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alpha val="85000"/>
            </a:schemeClr>
          </a:solidFill>
          <a:ln w="9525" cap="flat" cmpd="sng" algn="ctr">
            <a:solidFill>
              <a:schemeClr val="lt1">
                <a:alpha val="50000"/>
              </a:schemeClr>
            </a:solidFill>
            <a:round/>
          </a:ln>
          <a:effectLst/>
        </c:spPr>
        <c:marker>
          <c:symbol val="none"/>
        </c:marke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Lst>
        </c:dLbl>
      </c:pivotFmt>
      <c:pivotFmt>
        <c:idx val="4"/>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Lst>
        </c:dLbl>
      </c:pivotFmt>
      <c:pivotFmt>
        <c:idx val="5"/>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Lst>
        </c:dLbl>
      </c:pivotFmt>
      <c:pivotFmt>
        <c:idx val="6"/>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Lst>
        </c:dLbl>
      </c:pivotFmt>
      <c:pivotFmt>
        <c:idx val="7"/>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Lst>
        </c:dLbl>
      </c:pivotFmt>
      <c:pivotFmt>
        <c:idx val="8"/>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Lst>
        </c:dLbl>
      </c:pivotFmt>
      <c:pivotFmt>
        <c:idx val="9"/>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Lst>
        </c:dLbl>
      </c:pivotFmt>
      <c:pivotFmt>
        <c:idx val="10"/>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Lst>
        </c:dLbl>
      </c:pivotFmt>
      <c:pivotFmt>
        <c:idx val="11"/>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Lst>
        </c:dLbl>
      </c:pivotFmt>
      <c:pivotFmt>
        <c:idx val="12"/>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Lst>
        </c:dLbl>
      </c:pivotFmt>
      <c:pivotFmt>
        <c:idx val="13"/>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Lst>
        </c:dLbl>
      </c:pivotFmt>
      <c:pivotFmt>
        <c:idx val="14"/>
        <c:spPr>
          <a:solidFill>
            <a:schemeClr val="accent5">
              <a:lumMod val="50000"/>
              <a:alpha val="85000"/>
            </a:schemeClr>
          </a:solidFill>
          <a:ln w="9525" cap="flat" cmpd="sng" algn="ctr">
            <a:solidFill>
              <a:schemeClr val="lt1">
                <a:alpha val="50000"/>
              </a:schemeClr>
            </a:solidFill>
            <a:round/>
          </a:ln>
          <a:effectLst/>
        </c:spPr>
        <c:dLbl>
          <c:idx val="0"/>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017156145031074"/>
                  <c:h val="4.8170242233177063E-2"/>
                </c:manualLayout>
              </c15:layout>
            </c:ext>
          </c:extLst>
        </c:dLbl>
      </c:pivotFmt>
    </c:pivotFmts>
    <c:plotArea>
      <c:layout>
        <c:manualLayout>
          <c:layoutTarget val="inner"/>
          <c:xMode val="edge"/>
          <c:yMode val="edge"/>
          <c:x val="9.7669421591668484E-2"/>
          <c:y val="4.4258123128669009E-2"/>
          <c:w val="0.84610629921259839"/>
          <c:h val="0.8416746864975212"/>
        </c:manualLayout>
      </c:layout>
      <c:barChart>
        <c:barDir val="bar"/>
        <c:grouping val="clustered"/>
        <c:varyColors val="0"/>
        <c:ser>
          <c:idx val="0"/>
          <c:order val="0"/>
          <c:tx>
            <c:strRef>
              <c:f>KPI!$B$3</c:f>
              <c:strCache>
                <c:ptCount val="1"/>
                <c:pt idx="0">
                  <c:v>Total</c:v>
                </c:pt>
              </c:strCache>
            </c:strRef>
          </c:tx>
          <c:spPr>
            <a:solidFill>
              <a:schemeClr val="accent5">
                <a:lumMod val="50000"/>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327E-44E8-9FB2-26D32AA2811A}"/>
              </c:ext>
            </c:extLst>
          </c:dPt>
          <c:dPt>
            <c:idx val="1"/>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327E-44E8-9FB2-26D32AA2811A}"/>
              </c:ext>
            </c:extLst>
          </c:dPt>
          <c:dPt>
            <c:idx val="2"/>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327E-44E8-9FB2-26D32AA2811A}"/>
              </c:ext>
            </c:extLst>
          </c:dPt>
          <c:dPt>
            <c:idx val="3"/>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327E-44E8-9FB2-26D32AA2811A}"/>
              </c:ext>
            </c:extLst>
          </c:dPt>
          <c:dPt>
            <c:idx val="4"/>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327E-44E8-9FB2-26D32AA2811A}"/>
              </c:ext>
            </c:extLst>
          </c:dPt>
          <c:dPt>
            <c:idx val="5"/>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6-327E-44E8-9FB2-26D32AA2811A}"/>
              </c:ext>
            </c:extLst>
          </c:dPt>
          <c:dPt>
            <c:idx val="6"/>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327E-44E8-9FB2-26D32AA2811A}"/>
              </c:ext>
            </c:extLst>
          </c:dPt>
          <c:dPt>
            <c:idx val="7"/>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8-327E-44E8-9FB2-26D32AA2811A}"/>
              </c:ext>
            </c:extLst>
          </c:dPt>
          <c:dPt>
            <c:idx val="8"/>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327E-44E8-9FB2-26D32AA2811A}"/>
              </c:ext>
            </c:extLst>
          </c:dPt>
          <c:dPt>
            <c:idx val="9"/>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A-327E-44E8-9FB2-26D32AA2811A}"/>
              </c:ext>
            </c:extLst>
          </c:dPt>
          <c:dPt>
            <c:idx val="10"/>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327E-44E8-9FB2-26D32AA2811A}"/>
              </c:ext>
            </c:extLst>
          </c:dPt>
          <c:dPt>
            <c:idx val="11"/>
            <c:invertIfNegative val="0"/>
            <c:bubble3D val="0"/>
            <c:spPr>
              <a:solidFill>
                <a:schemeClr val="accent5">
                  <a:lumMod val="5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C-327E-44E8-9FB2-26D32AA2811A}"/>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 xmlns:c16="http://schemas.microsoft.com/office/drawing/2014/chart" uri="{C3380CC4-5D6E-409C-BE32-E72D297353CC}">
                  <c16:uniqueId val="{00000001-327E-44E8-9FB2-26D32AA2811A}"/>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 xmlns:c16="http://schemas.microsoft.com/office/drawing/2014/chart" uri="{C3380CC4-5D6E-409C-BE32-E72D297353CC}">
                  <c16:uniqueId val="{00000002-327E-44E8-9FB2-26D32AA2811A}"/>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 xmlns:c16="http://schemas.microsoft.com/office/drawing/2014/chart" uri="{C3380CC4-5D6E-409C-BE32-E72D297353CC}">
                  <c16:uniqueId val="{00000003-327E-44E8-9FB2-26D32AA2811A}"/>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 xmlns:c16="http://schemas.microsoft.com/office/drawing/2014/chart" uri="{C3380CC4-5D6E-409C-BE32-E72D297353CC}">
                  <c16:uniqueId val="{00000004-327E-44E8-9FB2-26D32AA2811A}"/>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 xmlns:c16="http://schemas.microsoft.com/office/drawing/2014/chart" uri="{C3380CC4-5D6E-409C-BE32-E72D297353CC}">
                  <c16:uniqueId val="{00000005-327E-44E8-9FB2-26D32AA2811A}"/>
                </c:ext>
              </c:extLst>
            </c:dLbl>
            <c:dLbl>
              <c:idx val="5"/>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 xmlns:c16="http://schemas.microsoft.com/office/drawing/2014/chart" uri="{C3380CC4-5D6E-409C-BE32-E72D297353CC}">
                  <c16:uniqueId val="{00000006-327E-44E8-9FB2-26D32AA2811A}"/>
                </c:ext>
              </c:extLst>
            </c:dLbl>
            <c:dLbl>
              <c:idx val="6"/>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 xmlns:c16="http://schemas.microsoft.com/office/drawing/2014/chart" uri="{C3380CC4-5D6E-409C-BE32-E72D297353CC}">
                  <c16:uniqueId val="{00000007-327E-44E8-9FB2-26D32AA2811A}"/>
                </c:ext>
              </c:extLst>
            </c:dLbl>
            <c:dLbl>
              <c:idx val="7"/>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 xmlns:c16="http://schemas.microsoft.com/office/drawing/2014/chart" uri="{C3380CC4-5D6E-409C-BE32-E72D297353CC}">
                  <c16:uniqueId val="{00000008-327E-44E8-9FB2-26D32AA2811A}"/>
                </c:ext>
              </c:extLst>
            </c:dLbl>
            <c:dLbl>
              <c:idx val="8"/>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 xmlns:c16="http://schemas.microsoft.com/office/drawing/2014/chart" uri="{C3380CC4-5D6E-409C-BE32-E72D297353CC}">
                  <c16:uniqueId val="{00000009-327E-44E8-9FB2-26D32AA2811A}"/>
                </c:ext>
              </c:extLst>
            </c:dLbl>
            <c:dLbl>
              <c:idx val="9"/>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 xmlns:c16="http://schemas.microsoft.com/office/drawing/2014/chart" uri="{C3380CC4-5D6E-409C-BE32-E72D297353CC}">
                  <c16:uniqueId val="{0000000A-327E-44E8-9FB2-26D32AA2811A}"/>
                </c:ext>
              </c:extLst>
            </c:dLbl>
            <c:dLbl>
              <c:idx val="10"/>
              <c:dLblPos val="inEnd"/>
              <c:showLegendKey val="0"/>
              <c:showVal val="1"/>
              <c:showCatName val="0"/>
              <c:showSerName val="0"/>
              <c:showPercent val="0"/>
              <c:showBubbleSize val="0"/>
              <c:extLst>
                <c:ext xmlns:c15="http://schemas.microsoft.com/office/drawing/2012/chart" uri="{CE6537A1-D6FC-4f65-9D91-7224C49458BB}">
                  <c15:layout>
                    <c:manualLayout>
                      <c:w val="8.7485532672788566E-2"/>
                      <c:h val="4.8170242233177063E-2"/>
                    </c:manualLayout>
                  </c15:layout>
                </c:ext>
                <c:ext xmlns:c16="http://schemas.microsoft.com/office/drawing/2014/chart" uri="{C3380CC4-5D6E-409C-BE32-E72D297353CC}">
                  <c16:uniqueId val="{0000000B-327E-44E8-9FB2-26D32AA2811A}"/>
                </c:ext>
              </c:extLst>
            </c:dLbl>
            <c:dLbl>
              <c:idx val="11"/>
              <c:dLblPos val="inEnd"/>
              <c:showLegendKey val="0"/>
              <c:showVal val="1"/>
              <c:showCatName val="0"/>
              <c:showSerName val="0"/>
              <c:showPercent val="0"/>
              <c:showBubbleSize val="0"/>
              <c:extLst>
                <c:ext xmlns:c15="http://schemas.microsoft.com/office/drawing/2012/chart" uri="{CE6537A1-D6FC-4f65-9D91-7224C49458BB}">
                  <c15:layout>
                    <c:manualLayout>
                      <c:w val="0.1017156145031074"/>
                      <c:h val="4.8170242233177063E-2"/>
                    </c:manualLayout>
                  </c15:layout>
                </c:ext>
                <c:ext xmlns:c16="http://schemas.microsoft.com/office/drawing/2014/chart" uri="{C3380CC4-5D6E-409C-BE32-E72D297353CC}">
                  <c16:uniqueId val="{0000000C-327E-44E8-9FB2-26D32AA2811A}"/>
                </c:ext>
              </c:extLst>
            </c:dLbl>
            <c:spPr>
              <a:solidFill>
                <a:schemeClr val="accent4">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0.00%</c:formatCode>
                <c:ptCount val="12"/>
                <c:pt idx="0">
                  <c:v>8.56446883512961E-2</c:v>
                </c:pt>
                <c:pt idx="1">
                  <c:v>6.2402314359933889E-2</c:v>
                </c:pt>
                <c:pt idx="2">
                  <c:v>8.407114888656364E-2</c:v>
                </c:pt>
                <c:pt idx="3">
                  <c:v>8.0622742011264376E-2</c:v>
                </c:pt>
                <c:pt idx="4">
                  <c:v>7.8644186091685345E-2</c:v>
                </c:pt>
                <c:pt idx="5">
                  <c:v>6.8126935856369378E-2</c:v>
                </c:pt>
                <c:pt idx="6">
                  <c:v>8.9830498646926327E-2</c:v>
                </c:pt>
                <c:pt idx="7">
                  <c:v>8.8095021606248089E-2</c:v>
                </c:pt>
                <c:pt idx="8">
                  <c:v>8.9153586182441749E-2</c:v>
                </c:pt>
                <c:pt idx="9">
                  <c:v>8.6356432973028044E-2</c:v>
                </c:pt>
                <c:pt idx="10">
                  <c:v>8.2522954184893166E-2</c:v>
                </c:pt>
                <c:pt idx="11">
                  <c:v>0.10452949084934995</c:v>
                </c:pt>
              </c:numCache>
            </c:numRef>
          </c:val>
          <c:extLst>
            <c:ext xmlns:c16="http://schemas.microsoft.com/office/drawing/2014/chart" uri="{C3380CC4-5D6E-409C-BE32-E72D297353CC}">
              <c16:uniqueId val="{00000000-327E-44E8-9FB2-26D32AA2811A}"/>
            </c:ext>
          </c:extLst>
        </c:ser>
        <c:dLbls>
          <c:dLblPos val="inEnd"/>
          <c:showLegendKey val="0"/>
          <c:showVal val="1"/>
          <c:showCatName val="0"/>
          <c:showSerName val="0"/>
          <c:showPercent val="0"/>
          <c:showBubbleSize val="0"/>
        </c:dLbls>
        <c:gapWidth val="65"/>
        <c:axId val="599646031"/>
        <c:axId val="599639791"/>
      </c:barChart>
      <c:catAx>
        <c:axId val="5996460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crossAx val="599639791"/>
        <c:crosses val="autoZero"/>
        <c:auto val="1"/>
        <c:lblAlgn val="ctr"/>
        <c:lblOffset val="100"/>
        <c:noMultiLvlLbl val="0"/>
      </c:catAx>
      <c:valAx>
        <c:axId val="5996397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effectLst>
                  <a:glow>
                    <a:schemeClr val="accent1">
                      <a:lumMod val="75000"/>
                    </a:schemeClr>
                  </a:glow>
                  <a:innerShdw blurRad="63500" dist="101600">
                    <a:prstClr val="black">
                      <a:alpha val="50000"/>
                    </a:prstClr>
                  </a:innerShdw>
                </a:effectLst>
                <a:latin typeface="+mn-lt"/>
                <a:ea typeface="+mn-ea"/>
                <a:cs typeface="+mn-cs"/>
              </a:defRPr>
            </a:pPr>
            <a:endParaRPr lang="en-US"/>
          </a:p>
        </c:txPr>
        <c:crossAx val="59964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31750" cap="flat" cmpd="sng" algn="ctr">
      <a:solidFill>
        <a:schemeClr val="accent1">
          <a:lumMod val="50000"/>
        </a:schemeClr>
      </a:solidFill>
      <a:round/>
    </a:ln>
    <a:effectLst/>
  </c:spPr>
  <c:txPr>
    <a:bodyPr/>
    <a:lstStyle/>
    <a:p>
      <a:pPr>
        <a:defRPr>
          <a:solidFill>
            <a:srgbClr val="FFC000"/>
          </a:solidFill>
          <a:effectLst>
            <a:glow>
              <a:schemeClr val="accent1">
                <a:lumMod val="75000"/>
              </a:schemeClr>
            </a:glow>
            <a:innerShdw blurRad="63500" dist="101600">
              <a:prstClr val="black">
                <a:alpha val="50000"/>
              </a:prst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learning.xlsx]KPI!OrderChanel</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76000"/>
            </a:schemeClr>
          </a:solidFill>
          <a:ln w="19050">
            <a:solidFill>
              <a:schemeClr val="lt1"/>
            </a:solidFill>
          </a:ln>
          <a:effectLst/>
        </c:spPr>
      </c:pivotFmt>
      <c:pivotFmt>
        <c:idx val="3"/>
        <c:spPr>
          <a:solidFill>
            <a:schemeClr val="accent1">
              <a:tint val="77000"/>
            </a:schemeClr>
          </a:solidFill>
          <a:ln w="19050">
            <a:solidFill>
              <a:schemeClr val="lt1"/>
            </a:solidFill>
          </a:ln>
          <a:effectLst/>
        </c:spPr>
      </c:pivotFmt>
      <c:pivotFmt>
        <c:idx val="4"/>
        <c:spPr>
          <a:solidFill>
            <a:schemeClr val="accent1"/>
          </a:solidFill>
          <a:ln w="19050">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noFill/>
          </a:ln>
          <a:effectLst/>
          <a:scene3d>
            <a:camera prst="orthographicFront"/>
            <a:lightRig rig="threePt" dir="t"/>
          </a:scene3d>
          <a:sp3d>
            <a:bevelT/>
          </a:sp3d>
        </c:spPr>
      </c:pivotFmt>
      <c:pivotFmt>
        <c:idx val="6"/>
        <c:spPr>
          <a:solidFill>
            <a:schemeClr val="accent4">
              <a:lumMod val="75000"/>
            </a:schemeClr>
          </a:solidFill>
          <a:ln w="19050">
            <a:noFill/>
          </a:ln>
          <a:effectLst/>
          <a:scene3d>
            <a:camera prst="orthographicFront"/>
            <a:lightRig rig="threePt" dir="t"/>
          </a:scene3d>
          <a:sp3d>
            <a:bevelT/>
          </a:sp3d>
        </c:spPr>
      </c:pivotFmt>
    </c:pivotFmts>
    <c:plotArea>
      <c:layout/>
      <c:pieChart>
        <c:varyColors val="1"/>
        <c:ser>
          <c:idx val="0"/>
          <c:order val="0"/>
          <c:tx>
            <c:strRef>
              <c:f>KPI!$R$3</c:f>
              <c:strCache>
                <c:ptCount val="1"/>
                <c:pt idx="0">
                  <c:v>Total</c:v>
                </c:pt>
              </c:strCache>
            </c:strRef>
          </c:tx>
          <c:spPr>
            <a:ln>
              <a:noFill/>
            </a:ln>
            <a:scene3d>
              <a:camera prst="orthographicFront"/>
              <a:lightRig rig="threePt" dir="t"/>
            </a:scene3d>
            <a:sp3d>
              <a:bevelT/>
            </a:sp3d>
          </c:spPr>
          <c:dPt>
            <c:idx val="0"/>
            <c:bubble3D val="0"/>
            <c:spPr>
              <a:solidFill>
                <a:schemeClr val="accent1">
                  <a:shade val="76000"/>
                </a:schemeClr>
              </a:solidFill>
              <a:ln w="19050">
                <a:noFill/>
              </a:ln>
              <a:effectLst/>
              <a:scene3d>
                <a:camera prst="orthographicFront"/>
                <a:lightRig rig="threePt" dir="t"/>
              </a:scene3d>
              <a:sp3d>
                <a:bevelT/>
              </a:sp3d>
            </c:spPr>
            <c:extLst>
              <c:ext xmlns:c16="http://schemas.microsoft.com/office/drawing/2014/chart" uri="{C3380CC4-5D6E-409C-BE32-E72D297353CC}">
                <c16:uniqueId val="{00000001-6C0F-44C9-8C60-7B5A10690A9A}"/>
              </c:ext>
            </c:extLst>
          </c:dPt>
          <c:dPt>
            <c:idx val="1"/>
            <c:bubble3D val="0"/>
            <c:spPr>
              <a:solidFill>
                <a:schemeClr val="accent4">
                  <a:lumMod val="75000"/>
                </a:schemeClr>
              </a:solidFill>
              <a:ln w="19050">
                <a:noFill/>
              </a:ln>
              <a:effectLst/>
              <a:scene3d>
                <a:camera prst="orthographicFront"/>
                <a:lightRig rig="threePt" dir="t"/>
              </a:scene3d>
              <a:sp3d>
                <a:bevelT/>
              </a:sp3d>
            </c:spPr>
            <c:extLst>
              <c:ext xmlns:c16="http://schemas.microsoft.com/office/drawing/2014/chart" uri="{C3380CC4-5D6E-409C-BE32-E72D297353CC}">
                <c16:uniqueId val="{00000003-6C0F-44C9-8C60-7B5A10690A9A}"/>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KPI!$Q$4:$Q$6</c:f>
              <c:strCache>
                <c:ptCount val="2"/>
                <c:pt idx="0">
                  <c:v>Mobile App</c:v>
                </c:pt>
                <c:pt idx="1">
                  <c:v>Website</c:v>
                </c:pt>
              </c:strCache>
            </c:strRef>
          </c:cat>
          <c:val>
            <c:numRef>
              <c:f>KPI!$R$4:$R$6</c:f>
              <c:numCache>
                <c:formatCode>0.00%</c:formatCode>
                <c:ptCount val="2"/>
                <c:pt idx="0">
                  <c:v>0.50859993267120218</c:v>
                </c:pt>
                <c:pt idx="1">
                  <c:v>0.49140006732879776</c:v>
                </c:pt>
              </c:numCache>
            </c:numRef>
          </c:val>
          <c:extLst>
            <c:ext xmlns:c16="http://schemas.microsoft.com/office/drawing/2014/chart" uri="{C3380CC4-5D6E-409C-BE32-E72D297353CC}">
              <c16:uniqueId val="{00000004-6C0F-44C9-8C60-7B5A10690A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1000"/>
            <a:lumOff val="39000"/>
          </a:schemeClr>
        </a:gs>
        <a:gs pos="25000">
          <a:srgbClr val="DFE6F3"/>
        </a:gs>
        <a:gs pos="86031">
          <a:srgbClr val="EAEDF2"/>
        </a:gs>
        <a:gs pos="50000">
          <a:schemeClr val="bg1"/>
        </a:gs>
        <a:gs pos="77636">
          <a:srgbClr val="EFF1F5"/>
        </a:gs>
        <a:gs pos="100000">
          <a:schemeClr val="accent1">
            <a:lumMod val="20000"/>
            <a:lumOff val="80000"/>
          </a:schemeClr>
        </a:gs>
        <a:gs pos="100000">
          <a:schemeClr val="bg1">
            <a:lumMod val="95000"/>
          </a:schemeClr>
        </a:gs>
      </a:gsLst>
      <a:lin ang="5400000" scaled="1"/>
    </a:gradFill>
    <a:ln w="4127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9C5F7A7B-CCB4-4F21-BE66-B2EDEC614AFD}">
          <cx:tx>
            <cx:txData>
              <cx:f>_xlchart.v1.5</cx:f>
              <cx:v>Sum of TotalAmount</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effectLst>
              <a:outerShdw blurRad="50800" dist="38100" dir="18900000" algn="bl" rotWithShape="0">
                <a:schemeClr val="bg2">
                  <a:lumMod val="25000"/>
                  <a:alpha val="40000"/>
                </a:schemeClr>
              </a:outerShdw>
            </a:effectLst>
          </cx:spPr>
        </cx:plotSurface>
        <cx:series layoutId="regionMap" uniqueId="{6CAD38F2-6E01-476E-AED2-B4328CE97151}">
          <cx:tx>
            <cx:txData>
              <cx:f>_xlchart.v5.2</cx:f>
              <cx:v>Sum of TotalAmount</cx:v>
            </cx:txData>
          </cx:tx>
          <cx:spPr>
            <a:effectLst>
              <a:outerShdw blurRad="50800" dist="38100" dir="5400000" algn="t" rotWithShape="0">
                <a:prstClr val="black">
                  <a:alpha val="40000"/>
                </a:prstClr>
              </a:outerShdw>
            </a:effectLst>
          </cx:spPr>
          <cx:dataId val="0"/>
          <cx:layoutPr>
            <cx:geography cultureLanguage="en-US" cultureRegion="IN" attribution="Powered by Bing">
              <cx:geoCache provider="{E9337A44-BEBE-4D9F-B70C-5C5E7DAFC167}">
                <cx:binary>1H1rc9w20u5fSfnzoUPcga3NW3U4w6Ely7Z8i+N8Ycm2zDsJAgRvv/70ONmUhZWsXdTWqXf9JRVJ
0wS7++luNB70/P3z+rfP7e2N+Wnt2t7+7fP6y5NymvTffv7Zfi5vuxv7tKs+m8EOX6enn4fu5+Hr
1+rz7c9fzM1S9cXPOEb058/ljZlu1yf/83eQVtwOV8Pnm6ka+tfu1mxvbq1rJ/uD3937q59uvnRV
f6zsZKrPE/rlyfG2LasnP932UzVt7zZ9+8uTO3/y5KeffUH/9NCfWljX5L7AZ7F8yikhKuY8/vYP
PfmpHfriz18L8RQhRoVkSH37x//x6Jc3HXz80dV8W8vNly/m1lp4l2///etjdxYOP7168tPnwfXT
WVsFKO6XJxf9l+rmyU+VHQ5//OIwnFd98fLba/58V8//83fvB/Di3k++M4Wvpcd+9U+WeH5j+pvp
poH1/aesgehTgWKKKcX3WoM/RVwoxMBg3/6Rfzz6D2v8Syu63yLffdSzyvP/+19llRc3gMIbW07m
P2kX9ZQyHEvC1EN2iaUimP5hFsXu2uVfXNP9lrnzYc82L579V9nm/TRBhL02N19ubfkPFf0HYhh/
qjBhHKE/jBOjOzFMxk8Z54RheT9q/uVV3W8f7+Oehd5f/1dZ6Nr19c2n/5xpSPxUUoyYwuKOTQR7
ShGXsYrFvZHs8XXcb4x/fM6zwnXyv9oK9ye975PKnb/4d1M8fgrOzxBH4t7gpZ4STjgVlP1hCi/F
/5mCH17N/Zb482N3Fv6/O5+/ualv7FTe9P8598f8KZOUUKzur64IoAOULumflvHy+b+0ovvV/91H
PSy8ufz/i4WHK7C/6tIjlFHpt4L2uyLsx7/99tZQY3sfvVOJ3fG9fxj14ssvTxACRf9VJp9F/Pm5
P8qoOx7/19/fgnP88kQJCFxIEMYI5VCLcfXkp+X2/BsunyIFZbKMoUiQOCaQhfrBTOUvT4h4GgvB
GXgBVwSKCPrkJzu486/4U8FjSpQUWEBEVAr/tX24HtqtGPq/9PDn///Uu+56qPrJ/vIE5Og//uq8
zAgjQLFg7Fx/6M83b2BnAn+E/o/N13xoKsWfleio2Cs7gw/89f7/htzz876Tq3A1c9uuIp1Y2ZbJ
vm/bhxLz9Y/y/I/q/N8QD1b5XnwtomZb1l6kpRmNebPwPS7eFes+fP3x8iGC3asWfFe+6vZGuibn
qcLM7q816lSclKRmKIlp3OGEknHKTz9+2EM2APN//zIWbF8vRc/T1RJJEhmTwiTDxuXvP5YPifPe
l4nvyhdqjHWtNp46pOkLhBbavV3iOuZXm5z6NYvEzk3SbaN+8+MHPvBCEjz9+xfSMtazOD9wbpVY
L4fS5e5ArSur9McPOAu6x2ulvPsAWe1LPDnC0qWxYrnkG8nxQTcWl1esKWv8ArnGNYfRjv0mkril
aDzFfTkbqIp/5N3orLr7FnBW9XfurUVnG2Y3lrqimMeDxDITBH3VDRmXJhmLZe4St4noalgK1KQO
D4Psk6iQuIOt7I+W8JCOz5773QraYuvmli2gAonZgZjhq2BL9cj7PSTciwoDIHWR28TSbbPit3jY
hiSfXf0qbOnnp36/dFlX3BLD0oZU1W0MrZOrPqoadwgT78WGIVqYHkvG0nYS869oGWmy5rsIizzS
iwymXWqt8cjSaYj2PY3XaDZHrodBBC7fiwZ4LZDc2hqiwUBdfdg4X2kyjgClY5h+vHCA6y3qB6uj
rB82wa9tBVviX7tpih6JnQ84j/DQb2Xs4mVlMtsH1KVbQSOTrFVjzSMKOjvhPdgTHvjV0NDW4S3P
hkju3WkxSM9pu2yoOo5VSVXgYzyIEzrkctGRyKbJ4elZz4c+TvcetWuqq2lZw6AmPByPwzzmZO1k
pnGzv2vMVr7qBVfvfmzrh3TlAXlpVokWKDsyHK1V2lojyFVBt2H80DDZrI+o6iGLn3/+HaBLWehG
Ci0z09LtIur2+JUqkGlhbxUQ6gS5K37Iqy0G5fDMiRGvSVyv9CPfB52GifcQ7WYxCAldzmxuwQJT
W3QpdZHQgav38Owq0m/tVsuM2rkBG2xyjRIbb9Ue+AAPz42K2KhW0L5C3dhfaMT6JTW12JfrIAWd
C9fvzSvwRiyKVp4pW1a/Cmnt9VoV4/bI+s+efg+euYfnTs0Lq10hsq61Y/5GdN3ofiXjruLLKSqV
eA21LuEXYe/ioVpsBjraMROZJnSqnk07WVVSNt0Sh+GZe3heq23kEzYia2yh6YXt8CyT2lHzWG4+
q+U+dXmQ3oq6iLsF/GnMN22OdUGEuO6ifeaXxZR3TboWeOt/aztJfnd9sfSPaO6hmod7KG/XIhfD
vkDcbWWrL8vI5gIq+0ZBWSenpaZT0k/1Ph+qkuvu1Kx7IY6cLmR4O8cTd4EK9qLBlvNIyCbKs05E
7kiqRWRStOQRZ0RnWN6nXnzX2dk8rdWIR5WReDdDuqN8nlKW73v7TCsitleF7YavOqJL94zusmcv
V0Jw/wILKevfZIMZe2QpD0RV7gUO2ddMD0tFMy1ySw58V7d6XZcxLGhzL2y0hnC0rbXITKSXrJgQ
bZOCyOJLENCYFzQcMlzWdUGzQq/yI4NU+tLGURcWs5kXM0ZS9HUUCZWxFnYyB4dktyeuMpt9xMse
QBnz4oStxo3h1chs2pYcX0hqTPxp1QgQV+IyHpK+crpL8M518Vl3u8VhZmFe/CBL34ITGZ5xmXcu
0SO2XbI5GgWmC+bFj53uzei4EakbGUr5NhfHnQ/RMczsXpDguYr7elz3zLpiyvZe1Ak3un4kBj0A
CeZhn6O4jFZIDVmNq+6AJ1Qf823AgU7lQR92PYNE1bBnGPaNSVyiD31BH6taH1q6h2bEdU/Xttiz
QmzTC7f1MdQCY4nqQL/x4FzWbtLEbHsW5Z26wPPaHHMiaRZkVuqhmeiZ6akB6VOO6WEhwia2Q1XY
2qmHZtnjXc4CzBpNuDw0xM0JbwQNi6PUg3IdRyZecrtnI6rak1V9cZgZ3U8/1swZNvfkC+rhtc9Z
ue8oWrIlYrew7WzmE50a3WfTInjgG3iQJbOY+7rJl4wAcN+oaahTRIcmbDtOPchOPZRCy86XbKCM
X0jF3LHe+sBwQz3Ioqlrc7nXLitsS59XbSde6LUNXLqHWEjUedMgMmXjUOfoYBi2B1GuTXn8sXEf
AC31QMvywjbRDm0e3VfrZTMV05XL8zYQVB5koT8azcjV08m4YrFvyRLL9hUzkpdhfkM81Daomsdi
xiuUhG4/NJp93NTWP+L4D+iGeKBlddRQKfM5HdsSJcQ6nIxKucCle6AluqY4r+UMmo8+Ggz1Xa/W
PMysxMNso3cTRZb/uXSKR5ywmYcu3Ucrk7mTJZpTtUDTGJ+l23DFnM3x3V67iWedtxakr7UqD042
LuEc14Fq99BaUiaHGMcgneLbsaLtqaiKwM4W8dDaAIFKVgUIV7vrslYoAzsvvobVBudDlO8Vs05E
5O3WzCmb8iVZ0YwTpPMpLEURD6tdqXE/kNil/bz3yVJWt67eUZjWsYdTu5tJD+Xi0q4pacIp+xjN
FgcK93Aa58yQrYymVIxxf7RrdWPdbgOFezAdrVprqIRdWnNVJryu2sQZLAKlezgVpI6KKlKwdOXQ
CwvHI9e5KNqwIyrs4XR1FPcUJGc7AvpesveSs2M0RdKG+Qz2oIrHVXVOF3O20a43SUQ0y/SCp89B
yQl7WEVVjs2wdpBZc9teqtqio23qLQ2Tju/CyZlck2JjLpsU+R3V+LWl5HWYaB+pdqu7bYumrCqj
lxAeP25YBPYKsYdTVVWdQL2Ysnop5dGV7N3Q5EOYQZGH076xkVHSuSyqpurQ1uJK4DEOc3bk4RSO
hRdtVxmlfbt+qTb0AbPueZDCkYdSWS1FBPl6y0CsnZId25InmyVFWOhFHk7ngrmyoWbKgLEQ/0Yn
iAOJrXYUVmkgD6hubHHc5oPLusHsx2EVn8pK54Fq90Cay2oUc2VcxjazHbpOw9Kbx05ez0Lu2Ryc
yQPf5yTVc1rpqJsyOO1XL6Qt0Is2yvWHMLN6EMUTngyQf8Edy7xMSLf8JmQVaFIPozsdVJ2XjcsM
m0mC5PqxHeV12Lo9jNKFrktFQHZU23fUbS8YtS+CRMceQoclz4uJFFMa51F0iOr8qtrjwP5A7CEU
Ia3FHuEo5bF61W3iozRbGxZaYg+iUQl1uhlAJ23Zvx6K4ZR3ZVgkjz10Ur1sZIUGfjrs8zOz4OeU
hWXQ2AOm3tjEBw17O94VV3JYs97kYcessQfLqp3W0jlYtO7e77M71OLXMA/xINmq2ui9ASPSsvlk
VvVa7jwsTsUeHt04N+u28CnbbI3e7duEs9oRewxbuIdI0udrX1dqymwEVALcN89Urn4Lk+0hsmkr
y4BeHqWsguo2ivkNVSQssQFr7W4QBMcexzaGlFxWfE2YpdFRKTEHAYcqD5TSzmKibI7Skb81w1FC
FztEJ1R5iCyLcqRjuU2Zk0DmWIjVCRr5uzDhHiYXOO/atj63KSr1s6WFs/2R1FOQp1Cf02Wci5uo
BeGyZdfE6c8V3UygVjxcKsq2eJTKpqYj1wxkr24Ole1BEy2VIGRF0DbGJL5ysqgvR7ryQK146Cwt
nVuoZ8FR2M6TPa7ft7wMKrCo8rC5KkeXRgHyV7JN9SGmOR+OGCqgKii0UOUBVC8dzeGsZsoKqm+i
Zf4Ahw/vg1zRJ2vNhMSGE9CLcwU7jq6pEiKxCKojoCF0F/ymnAX0o1dY+LpeuyG+XOcxEKHSQ2jd
iZiKkthMNuRFC4TDVAqBwzQuPYS6wgDn0s1TFuv2NY3aQ23KoCKFSi9tGhb1W0E6m2HM8GHpkDkg
Wn8NM6cH0A1OFKzsJgtsBv6xsOtlJdjbMNEePlcz5Y3Ekck21C5JO4jx1Hd1GA2D+sSqgS29moEr
lMER0n7s9+GlIPYxjsH57f+5EKfSA6jT2DYlWkw2ANemTawz0fNojrc3YZrx4LlEBKIidWDRefti
oYJbrfwUJNpnU02QeErNB5s1vHizan0Rd12YH/pEqjmXDa9barJ9Hst0Xgp8jNr+c9i6PXBWO82t
WRubqVIfGrq97ORjZecZJ/cY06dMLRH0g2ctTFZ2M3OJEbx+MXK9JkuN3XYIW78HUtb0a98MzGRt
RX5vS/oh0s27MNEeRFdgPLZc5AbwP9tnszUoQTMNO6qjPluqwCWrDMGwcIo+dHPUJzTSv4at3M+h
66gbE5c2Y7iiS7oTt9Gkl23ZHMMe4OGUlkUhnWzBJdfoddXhd9UYtheHexN3M1FbsRE2zCA639Tr
Ka5e5YQHHUNRnyDVyi3vxnkzGck7nEUST69RsVRBTF/q86OwmGM2V+CJebxvyWbGjNBAdhrlHky7
NY+m1ZYm62cdJ/EsTuNShHWH4dbDXZVPhjpHFagcwuPzecPPW7aGYYh78FRL0bp6LEwm8qJPxL49
V6YKOzejPtNJgZfEK25Mhob5mqDxysRT4Lq9HGoqOJ3gSzRmlssPFTKv22YM2sRR7oEzX2nXFLo2
GQfNJApI6Mm4dTIsHvpspInUY1QPaoRzm3I8GNy8dpF6H4R6n4oUx7DP6lk8ZkVFujpZoFGRujji
YYrxqUh1rYCVVm+AG7V1B+k4f9NW8R5mUZ+KNNeM58C1G7NdGXxAlr6ETBp2ek59GpKLejmwdQB3
GRSNG4i1W2PLRKq5CerhwAn/XYwCFzhWxdqD7otyEYcemmdZntMx7ByB+nSjrXFOmi7XmYxsMx7m
RXdfnRJL4KaR0bvrRx2O6aIinZlys8eu4HUCGmKnIM/0CUdCrKuM51hnruX4EHMgsRPY/SZh0j3E
Ti0w8CzpdWapKKYE7bi5aba1LwLle9l0rQw3ywq6Gcp6SKqpe7+2KCznMT+d4mHpIuFA773UzzYb
29PSDuWzIM34fKOZzGTT7aKzOmf7h3jIi2cwakI3YYrxCUcE4iTDG5hV9floT8JJQhOWD3wMfICX
VuEwrhl6PYPmiV0ujJHvy7EN681Tn3Ikmg4Dx9joTNDpbVXY10szvQ3Tu5dWi3xbSNsWYyZ69Xs/
LCgpKX2MW3uG5D11u080GqFlLiPX6YyYWv4u4FDhmWu6OdBlvMw6xdG67YQNGSBVJRyoL0m0RSIN
U4wHVbNFcEbfgnQ2by5hSF82/WMspm8l6H2K8XA6VivQ6yQespk3RZ7AaXENwUZUa3MoOlU0zzq9
LW9dZ9sLYknEs6ksR/YOrriJ8Rr6f9a8VaLjzxo4lxye1U1PeSLaCprxxTrKeEl2Wo/m/TLiyB3i
beybm6Eso/HAobDER8Sg154K7VZ3bBF0yQ4cTqnXCzdGss6wWEt6kQ/1sh1QDN2E3yJg9m4nRGor
jkSsIHNpq2k/FaMqLdy2w7s7dRiv+9HOHel/XwWl+fVEeVR/soiNYyZ3rObMrPC+Rz3tLK3jmclD
LzBqDnwThXtWoKFQV1z2cC8sHnf8Fku1JDPm5kJX1uxZPCi5nZaunelxNrRg6SwWCi3stpzpoWh1
N0A9q9R2kKYiIumGyqDnS5/X6qIlaKLZDtpeDow088W+R91L088xPdJ4nvekzk2+v21RPYiwKoR6
AbNbqeONI0PGWTlA1ydKcEFUWLzxmV6E5hsUkq3OSt7d5rR5m4sqbN0+z2uGk5i1xbBu5vLMqvYy
ZyisOUi8KMlmYKYg6CBlWKk1ySPVJKpFQ6BOvMrGxAXhDRzaZQWu62Rtxq+8NmFFH/HiZA3XW+de
xEPmNqdfwm2w6tlApi4slBGvpil5Fbsec5sVpqFXFOpXYP676WNQKCNeoDRdMc+znoeskYX71chx
h2Z+L6dAtXuRcuyrCa6JqCFT0FROGK6vyr0Iu2lGfZJXDBBmVOoh2wadd8chXupsHeMqcJfj07xQ
X6E9IuCRvOjYmmLbuz0REWvGY5DyfarX1I1LHpXTkMFB1ddF00sW2bAbHRTLu6WwdouZx00MWRkr
4JFNVqztgagafw1buwfXmY07mR3WWTuqXSZiGAmcsUuMw7gYFHuIXXTfongtoECAoWmJE0udVlUV
WCD4fC8tlrzeC0jhcEZjDsAo4wcdLXEWphwPs0sMV6VZ1Q9wq7ZtLzmZ2ZTw0fAwfj/12V627gsg
Mg0QhnsnLsuexL/DnnYLawVjD7Ri7ca9s1CvQitrvchp7jIRTyLQ6b36BpPWqeqcneqqKw52GYvE
TV0XFnB8yhcyaHUr7JOzaOvJbQls89u9c10Y85P6pC+GSV+XdaMzxsUcXTSqR4c4Xxb2yNnhA/fq
qE/8grutec5b2Wd7i4h5p5tqHg656LE+LnaI3sGFs5dRpNr6CFVcow6Fgs3oqYwYG8Ks7/PD4FIw
j10N9eeyjaU8RF0NAyi6stdt2DbaJ4jxmOywZzlHpnxC+fOuKuDe2TZuUxzWnfIpYnvsDFyvxX1G
CKqaZF3qhSZ1Q+fAAgt58OZ270yP4QGbw0Bb3t0HYO9/DgodPkusnbptUm7vM216e1gL8nWfWOjC
PWQX446sbUSXQW17anFzibENawF8u0L5HRW9i6K4WGCCSDbR2R6aiMJRw7K/CVOKVy5PZWsKtMx9
ljsjU1fiIulYFZgqfZ7YImCGZA8WzSqzRp+6eiGfTQTpJmjtPlHM1rQfaI+6DGqtl2Len7dj8cgs
l7O/3bNV9HlixQrnjNwMfWZXXF6i1sgE5mEuYUnMp4otDa/k3JAuI40ciqSWcrwshevLMJj6hDGq
1oHwPu4ywfr6MCr5rKFoC8sDPmXM6L4oclX1maLlcmVNRw9iqufXP7bpubK/T/Fe1ayWZpsXBPm9
3ekIJX9sC5W2MRqGlMOurg+rsXwOmdx4Ljkphix2ZNJJyab6DK1YDWG5+Dzx8HtKahdVdpxVBb7J
8Fs3xW8KlAe6vQdZmGQxydjA2qG7xo6VgVb+7lAfZF4YyHh34T04Y9QAKzBFwuRv5i3Sb/uShd1m
gqlad6W3VY9cjG17jsHyte4Iy6aKySClE59LpqG7EOdd38JhOHQlhlG+jmhRBSrGq5rdNvWb26oW
GAIwwukAlw/Hj3urhjlQvrfXhYE0ea4n02a7EZ+gd/SiE+WHH4Pq/mhGztPNvndGOsdwWg03BOHS
6pDXyWjdfLuQMWz0BlEeZivYvvVlfla7ljk0HK286DhzQe5OYP7ancUPuHbrbmDxeVFC2wlhncBI
lbAMRXxKmeK72JiF/htaJrQd+wr4CIe67+s5qPkCUy/uLl/OS66hsm0zVPLtKIs4vh7gPt+bIMv6
rLKNV9DhWsboWKBiHS7rGMUvMdbMPbL6b52Wf47HxCeWwWhqvHLuwHW4Y92rEaHePauaeTQn2Ig5
fIJZetweR9auw1W0wa7gSot67D5iROjJcbxfCBptLFF77mC6whY1zauuZys+dOO4VYe9KPP905Bv
lTv1GnLuwbF6/Uw6Sp/Pup4ut6qcTyR3C4iAGRhlEncV3d+VCO63vG7Ocyre9ZXU9ggbNrrDb81y
KGNgfr6sdRntR/hrW70gOB/moEKS+IQ44DWO+HwhOS1yVL+cVaOucIWLsARLfErcEDVsgO5ok+E1
vuV4fK1QcR3mLl6Mgb3m1kV8aTKyA8+2xfQCD/axQRrnQHifq3hRxrmoK3a7NtmoYVbHhbF7uxzV
BqyH4wI7hOKCK96WQd01mNd3F1ZoVIzTmTVZpCOe0mZpT7tui/dhevJiTrnlDvaIpMnmgZbHKN8/
TDV+TE9nZd+nJ680QHFRuca4JuOtq94Cq5q+kmWx3qw1ih7pbD70CC/oxLkSBdZjk9qVNPxYTqMZ
q2Q20Gy/qBa40fbIpvoBk/usOaAnFG7mbZHCuPqmOTm2ImCHRW1adbvEB2B0h3WViE+iK0roneSm
BaX1OAKiG/8AgSgwgQmv4xbBwBFoBPRNhuA4biLLaSLokQD9gCV8Ep0gwOXc4Q7usSlGMV2o1rLT
IBWc+/NibuMgdgER56d/t0VkIJtXlYhgTAcMEoS77sVvahRhV1uJ8IBtNzVW1WbqTAg2nYBzLZO8
RGGbFeIT6eYKWpHEoTKrqKQnPW/dUaoqaB9HhAfkmGvUtqLNj2iuLuOcJHTggTr3YLyRuLXDBKL3
naa5Gk9dhYP2h8Tn0G0wda2yqsmPTYWfCxY9H3lYF4/4HDqgFZ4H4Vb5UdfLeFlbO2URI2+DwqZP
ocuZKOeNRODsqLCp1oYmm2rpKUy6h9JYNSZncVRlorL6ObBeP4zFFjYclvgcuoKLIpqxq7J2w+3J
qal/Fo9tGBWV+DS6aFvhPKUzVVbV9XjUpbyKhLFpmF48eK51PDpLBnWcOlqtJ4yX99o0TVhTESaR
340t5aCmsaW9Ovbz+LJph6w2Q1gS96l0W7muRVdAIdVOrkp618eHvWWPRN7z69+TZn0m3Qzs/B1u
+AGI7DwkwBo7aA4ThcN07iXYHYb02HnSFdxa6rZDX+hhTHLTqzBCGgykvqt01W1w56JhCi5aDTtO
ZJub58PaVGH3IInPpnO8z3sxEnXslh3ObF8DC+ARzXxr1d6jd59LR/mOYDhVUWZoi8j8PK46BheM
Chgc+g4mJQ1ZxdROEjHOHUs5dNeWwzg1bIZxnJpvp9GpeEx3jQp80wmG5yyXpBJBHXj4Roq7al2j
EcHcjem8XTJTcVGRWLq0tI3tj0F+4dPw+qqauESlOK6m5BCgttr1hxK+GYOE7T18Hp6ZGrfPuXap
G0qddpIuR61oUKeZ+DQ8KNkY0aRzKTrP/VrYCDe1qQjiV8MXHtzVvRYztfkEwmcHs5tbS8dkaHEY
x48wLxvT0sFteNe7FNdIH0iD6gQ6Ep/CrOqhfWikjGOST+mMyy6RUQQXuFYah+U1n4RXANc0phGZ
0gGYNcnQmOJlK8j0a9DafQ4eXbQmiI9TGik49aDNXqTVxsIU48/8qsyCBjiInVKYUYmv+25tPvF4
F2FlkE/A21m5jJObbdr3vD3A5GqYCEPzsKknhHo1c6smshPJbFqJ1ZxYPsF88agJO2MnPgmPLJjs
bTPZlCxdCYyr6R1cr14fibEPpDZ/2JdbRhiZJTabbgLtSRM35iCawFqFejhljeMRGUHrewfjWpZp
+xqbMuwuIfEnfUW77sa8JS4t4PbMUS1leYB4HHZ4T3zu1w7XIPJqhsJKaPzJduRtV+Kw69Xw/V53
w1fZQUt50NSlVWziZNU4T/McaHQ/RukD20Sf/dWiZsTNQOSJ5y2br0vXVd1p47g1J2o0ZMEfP+YB
x/GZYPlMcopqeAn4LqboOGNWHPrVhTHBiD/vS5e5mCYO0ouir44SaGAHNWxfwpbuwbWpIRwAn9Gk
etXboerG+mi7PCzx+UwwpWk8dYyZdG7cfOpKiRMYYLyHZT6fCbZ1sN3YzWLSqdzbE7LN+x3VLNCk
Hlz3sqP7AL2eVMtSHLp2rQ9ASQ2j/cOp/l2v78UmJiFznUZdZA71rvuE6C1schPcgL4rPae0Najm
Oq2msTzsrGsPEsbkh9ViPgfMoQ1azqaQp7ru93d7rNdf67h/bG79A1DyWWA5WRbkgKycMoPgPsq5
4NDwPVthEf785VzfN3TgG26gXb0pdaIRtM7n6PPQ9u+CgOSzvxqEUQ7fnyFOMOcrb5N5B3biVK72
tzDxHk5RO5Bhj406Md31QMCtV15ecdT2Mgyr/rgvbaWDKl6rk7IoqRW+bOPASswnf8EgrnHaMIju
KKS/Mx+iDyMkEp/5BV8GUeWlGNVpP48+ahZED7SUS6C7eDCt47ac9m2gR5jC9aw3+jrmYdMEiU/7
ihmQikjX0SMH+kPdR1e0r14Huco/Ub5gjFBpSE+P+P9x9mVLkttYlr/SpudmNbhgG2vVA0n3cI89
IjMilxdaLpHgTpAACYBfP8fVNdOttFKpTSY9KBUZvpAEcO+5Z2HrEF9luofuunbD+vLXXv+nYfOo
47nt14kfsyn2sFDPTHZ9ker9mZ/gZTH+k073Zz5XE3U6E65ix0FH5mSrbRvuDSdKHaBT5dVZDbur
7+xe/S+a699a1X/2pj+1sDwk1bi1c4+21bvRF3Hf9Ik+dB1WXX+sK9/1+TwNiKvJx3TG2e7bsIz8
PPWa1cMRjXXbDXm/d1s411WIqi9p6kC7GwkorV2etmF3LkeRo+fbjsVC322mcjE7+yjjc5cve6+i
JiepbFKVL5ZrFEITw63LqZwn9UUv9bDGedbxZjinewe75zKgoeeqDPPmlqILaevfwULObU1OO0T8
wOY7NN6MeSzXiGW5DLCG706x7his7wdglnbIoSvoV3xAw6fxRScDGpmWt+LHoAf872Wds61koPum
+Yor1BXb5pLmag+rR+pSR1IzfpkA2vI190tMYpdTwVT9aWyyTn4b1IqgHwg592kZcrh9teHjhaR3
0vsQfD7CNMoUzjUm7koO4WR12DGySQ5RUnlTVAJPmiw25gIdymTbKbmJxcbksaHrPkAXNk/hhJSA
seBMb+yuJWsjStKkLi1qzmZUYWIQpRhggJv7WbF5BH+znWpVWol+nxdASLya8MnmceG5SBiHbmRr
rqqMo2zEXsKG9Rp3a6qbfBGo7HIZR/1QrsOYfJ7twEoXds+/rc0e0qNeJtrd70si2Gs9J5zfp7ZK
09u9qsWqyn6HRiU7SrfGcETYGV/7Oyg0BO6XbhqND6fILtV6JHA1RjU2kGnvToGl3n2dxdBMqpg2
gMFnDgWSfB977k0o+jFDkpgS0cUGsl/70UVQsewgbcFBh6/begi4l9N0TiiAtOTMulHUecc6eWRd
PRYT825YgKaEyGyXynIzN2Q13cEt2KPu2aTW9r33iRoFHocpWY9tSo0vJlVnCVxi69CX6Gtq8UnY
dJxupN/R+NWUrH7JnbYA83MpKE9QQVmbpmkhkfPbPsWdWNgRBiudvxkTFwPVJhbeajvGzHZT0G6R
YJgFk5PBZI3069ekj6CZWTae6XecDrEo68rQ9it6H9Fj0QzZtJWmpZO571ai2HvQs+bh2AYOmZCc
yESvdxol3W1cu27/3oz9tEIxs0RTdj9j0daHUdchOeshbucPdTQIkmB76xSjOR8yqe+JtV38NWur
SoS8UnJQV85tG70mS5NNH1vHAi3geU+gRlcujSWsnSnrv1XWqU7l3dyJrzRls/4AdfleF5gu4eyC
zmMKd2D1GYFfnqLs29Qu234eEh3C+24ncVzoGivpW5vhMT+pLtnvrSTqSJJZtA9iWTk7ENHo+nnu
ar8/Ogg8kgiTaPgGiPLiRMzOxtlx/NFhclPftGxOw9U0tX11NScyXm7WWfKkaC+Zjp8EQ+Dv99h1
1T0k5NE1xkj7N0hbhrx1VJUKBkFR6ZtduGtkSGz7CeZB6cdeNpksdQ+l4xMPdT/ex6pq4rObmjUc
orlu/UmGhbArznxHPhBWddVzPUulCx1sBE/ElkgDEc3AEOS37YYud4bslpxTzXT/guCOanpYqeT1
kdTdxEvr2w17p6NiqY/gT8fL3Sw39q2HJ8BYVIAM3UPtyYKtpJ68OzA62UWVBNOq7aZrYXB8rNSq
Ia+J+Kbe18LI7DxorVluq2hhX+tatrpQo+lsm4sxrgiCjrLUn00/GFtal5CotGZM4nzsd6c/pVbi
E5SUqBh2hh6foomUWfLWR2Y8jBdLnhyGdnt3PzsI0w5UL+5zQoJjiFdTiIosEAXB7lAuqbcKS5gX
bV8nQ8EGR6cPYUY+IwyOhgGWZ3na7XtzdhYq2fcB+XRLldez5R77/a7dNOWtxTHtciDem/nm1i2l
r4jgWHAgdHCrkc89XuVyI7VdlwNCHDHpPIwuGWgO7edIr3oZy+6wbSrtQ65iK/Yb540CauERYyVP
pAqoEaFkq+uzQcpalO9L00TvGO2WpKwztkalIVssSx72vX1dyJ62p83uTl6twxRV5eySKtymCMt5
JLFpm3dAjpLQ5U3fW3mEa7yy17JDB3MfAImJY9Y1OO9sVdEZPO+s9reDIm1XTPsS2yLTC4+gW1hM
1Tio53YTP1vSDRBjjJm1j40nPDlNGBm39xOc7po530KGAB34iuezW2R8jlNp7AM1czR+SRov+lvW
pwbP2FgPff097cWOJ2GAZZs5TEo02xHfzLcHOnSZeWHdVlfXRjVteoaIlvV365Ig4OuA7ahnJXKZ
0upth1UyPM1N3dKTmRqlwG2GAgvPiICP0nXd2qBPuh1ScIYTcIjJwWikHuabDWPyDu8pXre4tv5z
D9N4aNJlUk9ZMcN+URUR9qeq8JX279qE2fQkpIbWhY4jyKrDtoioCHq1iJRbJuchINl4XGCgIOpH
fFxKH7wLqjlFY5JhctRUXbS+H4Z9Gq9B3a13VEXj7r/h1DBjB49UQuKny6QmJUVaz3y/24nMBoOd
eA/VWbS49TCaZUg3u3XYkOcHpF+Y5UxsLe3JWybp5eT2NTwBFC6jMbmVWOUEfnVqX1UxNy6Ep1T6
XuZITRPsyLMB+1vepa5dHoiNxfxlX4zO2ry3m6fnkKXE32d4+uuPrfGIoMGXTKfqoQMc5p5Fh4t4
vSft4ssxXak94fyPtMLFTYbt4HbOnULxZKcdN3NR23FzXTS88DjY4XHDNduu5xa00Id2a+qmyNp6
Mh+95gn9NCQ8iCGHQxgZNa5U2qvvIzxTySNc6zP5ZYLzSvd57ucuQX8FQ8S0GNqk5aeBWxNQv9VE
sCmfozXgKOw9jg9Ue7CMZRHdeGlg0jAFcPR49BWu8iErCA719ryvc/eer3i+Dx1xPSsavwNzHfiY
faAJeBFFGkTVFuhFM45ExImvV0nPKdvy1JNhvtf1XENyHMO+86hl20936aBd1OcMCqwv7TRbf6Rx
k20P8UgW+O9izirfZ2J09XHrkZTzOCd1+lEYpLyUJqsABYgmsuw+jLriR7K0LnnA/Ckdn/uOm/0m
bsd5woaZYW2AFg+imrjqYKK63FVDL7UvRJapxwDmS1R41gzbs9ndDEE0dK+JK2BjWHUFl3GjHzoD
jCmvB9XPhzRAV9sfIVGLD6JKx7FcSJXgTjR1H99lq74kuTJzKX4EqJW1KqTYaFIO60ziNe92Hz60
oodrUr4PUC2+1xC3pa/KsOl2GVdUXEWt2qiIW7jChQK7+5Zzx1L7IVlhe3BSzGmc99wTlOkpBLza
5iHNIntu8BHI0zqNlhcJZXPZhXodrzqPpf6JksVtx4R3fYxkkgWWZ3HWpKJMe9CDc5PG+1HiMHI2
X2jVmvsV1Ck5FgMbeH/bmSo8iHAJQN2XPb0xQnTkIJBg43GMouQolz3Dtu/6LVLnjo3Uvl/7Kt6e
x2WNC8xI5uRz6Cu3FZWrsxPKNaRmdlDRTEDa88W39am2GsYaGXTVOGzTYt+t1PmEMCRW2oUkJ4V6
4IMbeHqjYKU05Ey2synqOGEKnq06yacpa9m1cCp8z6D+ae8SLJ3ham/NLu/mKFkeiYPFK1qg1N4q
JpIdtVOcLY9bpEHbtZ4XDDLyO8xzINZGeGkKN3LIkO/CIpKXyUXq0CUt6/Jh8PZm63r5oBwc9MsO
j3FB/eqKpK6aU5Zl8nZlKlyr2Pefg9radzLtl6Ih7Kmny/BCWznKXBFtQDtZ+66bc08a6UyuUO2G
Y0BUXTixLVGvLPb62rZByBKPMyuGfd39cVxaeh1AX8xeXCT4O9U7sBbKxI48OlUD31yfV3hyBWTy
oSbfG1sF+0IpYyHfmsELUDnjzYWyufgBnPvgd9imiCUOGsm682wS9DFNOrWlYlscXW9xBjU2ZKWO
XC91XMl7E3ljjxt0/uR1Z33CChmyzd6smabqMyrXYT5Qm0TJSTe6yW5bv/UIe1Xj1ucu1ot4Tdde
k4c5XVN9gE1DGGFJYFh9nqJN9p+iGlnCbUFDQ5uSmLa2+UoblKLSrrwplh41isurNErTPg80rM03
L2g6325+2vavCKVyKIdqKyie7h5ri+q8hWCoPcBFp0quFtE37ZOP0fsfpjFLh6Pl2HdKdDSKn+cL
/e4w8yFJHyCqaekN+LNpXMbSU3mOIZvyPxqQsYeH1VihSRGk2uprM5uUsByGIgLj0b1N+vCE1pgn
6IJB2dxvjOkN9oV65C6+0wOW5LsOzar71NFOnrMJI7LUDI5/ik3aRZ8HDFjRJvuJInERIHRd4OlA
sZRX64bd3SyrL7dBLeIDg6bfvgqHvf2jMbNM2pLyOcJ5VY002t4xt7de5VGS8DS3tlqGQlZpn9yb
XfjwI4Pcv/++NFCzHUSL2MLn0NdewnCATssjMp5p5w/jBnfXK9lEyfTIsMqwI5J0mQW2p9pzgIX1
CFnzqU1J7U5pV3dkKLN9QQmQ94wxBRv4Cf0HKr52LsKmL7UIYlyse2rtsih3JTvVLa+9iabtOLWR
lWdj5Epxx3bplnJOer997iSFFonVnTSfrevm7agVGaJCdmt808yqYsWMQbi9DW2bKdwS3kAMaICy
F4veZhSlM4OdzOu6wyUXAum5up1UMl+5yovnOU2CRXVA910/hL7v8wXZoDlEYWpNkS8m2ukYnKCh
UIhTXc97atCg1XLlubFuinRuV+vME48dr39siDYRh70jpC6Zu5yruTLImDhVKLNvG1hz4alL4yG9
rlrks95oFaYPUuAilKm1WdznpAHl4dX0exuhSg0kuvI7nusr1AExv7Y4AtovzqXNFVqAWH6aYHHO
64JKRZpnvdG6hiV0PLBmzfGQ0bQQ2FUDurkIwrmd13FzL1pH9mLBgn/pYjoc+qphI5ZatV5PBAjG
HfCKlD6K0bPu2m2L/Aok5iNKD5swRKowUMAnZMQkz2Oiqs/ws2ibUg3YFJt26e6sJajMdhiMuHPP
RV3oPSBwBLIOcmr4kvZ3s01Nf7dUq7lZtZ7aLwiItm/R3BlT+jXCbcw8f+3W7DLc6QTOdp+5V4Za
wpZqn1Grg9dkfd47PhwhVpYsb7VTqA0wqtwQdic88FrshAb4jm3vHVQmSGAUF6QHwu/ltUMxlicU
DPQzoHRpbtNZzNFjykHiAymIj2o7b0wp2+OmrIEYKLqrtjl4koqWH1rBmic1Ixv+EEO9Mv/wW9Jt
RVQDufoMrwak4S5UmOww1klI8Gg2ybulQT9yFcbW5EmLDVTn27ogxU4la/1N0MEkr6lb660Ig4nR
7fCs33zebqKPPjVNXH0Vl9LkJDxU5i+B6Tfb9TZDuSvnGMXskHXrSSITRBSSLcPbRLFkc4HIjgKx
ICQ79DITv4F/XbrjIgRxgL9llaGVQaj60Sfc8Y9aRRL640ZWQAYjOcAZyWhYFJQoSgZ3Tdk0fet7
n8bY57K6HV/h1CbbIllql55am4XvaJ3VfrP0SfU21P0uKfK/w5bcDrXL5peoIoy+xYjMoN/RWtZA
RlpFb+W0dNg7SB2KRMWze1xkxTV0HZgtZYop8thEjAHNRulBbqiDoehRbgtLSm93kh42tpkt74fV
v4Mncpx90IvcnqIoMx9ExeMXcD/sfjVVEAGdogmNse8Hvx1YJmDou7eb/oBr3t2McQdaG2sRwA2P
k2w6T7WUc0H1OLhcR1X3EUpdn88U4i2tM8duFq+jR86cv2Nyr8VxqmC9cOhp8FczYiWuYt2Tc4ZM
Zux5Y2pea6loeNBqgnp42+D3k9N5rew7t8Li9TMMRNCcmeCy+iOg4ZTnbAu4DolrW2wLMo3TCRUH
h/5YEPtSe4YiMQWUoBSqjJZGsIfle1QuoMHTAxUKuIlDvDpySviyN1eJJvoV9utt95yICSJwjwSG
5wYfJE+bLdZrgW07WJcvwMbSB93VPCtSjY/zMk2Vm47tXLV1kWRcu68Xrut5GvthuPGc7z3eo4vM
cxdnrn9IFXco2EKTHoXQ0XQChZK7J0DR4wHbxDgeF0pbUyb11segyyEY9jA5gk0E/hjXuBeAIypN
J41224G0vIVgn01Ut1sx0jXur6NoG/Yr2I/t3yOK2KS8RzTkjdonj+VTCVyOzpFDJ7O1mGfrrtMp
RsFZN+NN0DV9Bnt5hkIA/o7AOWDUkGa8+hjtoJMfBRQy4QU4k99wEBkSf7diUQlHBk63Ax4w/arH
84gJRfO53mczFLhTELyLrkZljh2z34ainisN/3KYF8k7WKQJXkjH9Hr2UzaLK44McESjVhsTTR5R
2B4enUwvizBqN6WQrjijY8Lm05XtbqQ7W4gyZJ5M3vZYxph3va04O6uzXixR5QZHbQIm5pBk8euU
oUIrNyeXuuDZxqD1sSx0rw2DTU1J4DfffOwBaGT5MK51/UL8jt1DRRGLrxmPB1oMMumTcgIathXT
uAHayiGC8qpsIS4kD5meF/GEQJBmywNcoPVhDRWd8pDsGSoYqWP7LVqQqpBTSD3kE7JsNn5VB+34
N4Yv5T4YFKjslpq450XW8y557JUjME3WaArqxgzDc4CAvzsmrSFDyCnE9hsAzHrcFRp1C8gBD7VH
UYiM9mpGsLY01V09kWY/xxnx453UwGlzplMHv3RdL2+Epk19n+zVCF5SRbrxtIotSh6hm+QMa2pJ
d4f5zxj0EfmNbjmC6aaHAlMVun4d3WAiBCTuVpyjHnDKR9IPlzvE0PiU8SJ1CzEqGrDhfgV+2BXQ
V1iz5vBiiZMbwhKK5pLaaDw14FlsX10SpCkrxip75bBfu3KhWneHPk3FXCZIpLFdPi9DqI/oBnt5
U2WwXwP5sr/EgyEtbSrbupH+urKEiwI6ESVpCScGggXVVAPm2RiFTuqabT7dUbNYnZ0AEkyY1s+o
7XLgsHGXQzC6t+WMx6A/Zn6N5zfe0K6P0DvEmU2RdwsTkx+6G3rouTpMyCwO0wF1YlZE/SKvWKKT
4M9dLFLxCs/owd46tPZe44s3WZuhBvHp9EB50/sPEb6NjPI6tum0Hi9u1mhIN7Fv2f166aBvqmjq
PIov8GVhMBUqpR7CEBs0K8uaMizwrANmxQvMWii6VWIGOX5rArprcPsCH8jbYrdoRjHAKRqmyULb
uCGtZlqujZxW8UCxeSiUiqLdv3c1phGf29ZN3TFT2Rg5XF2djshiZkvzlKHcx1pOJM/oUaM0mt9q
nVEnchtLuDU7nq3ifQx8rkH8C/B/+1Uu2dq96midosdJYeDztF0aVTgWBNEnBd9m+BpDNqeX/lwP
mHvhIcl0elw4Gh92QI7iOt9AAaioK3bMkCZ0us3CG14Syqy4cRqTpFtU14LdoizKzLuxb7vlmqvU
TedoRTD755SQihTsUrMd12mI1rzniYtuJwJ3qqdoNWuDPQ429IVEZTwewjqI5b4xFkKXgRK+vd97
UBoLQQyGPE3aj7CYWVRkvwlmdPU+dQab/4h8g3bbr6Md8d0oWeFr2J+dVmlAPYWI6yLm3q6nMI0y
PS1A2d1V37GdvAJVpPS66TAJLDQZQAA4QE9MFlHi2dyBbV0Qteg4L0myFikb2ijHmrtj2oQMs0YK
e4wjiUGtno9NFGPew0aMeELeI2JN5GH2mpZLzWl2sn6V+0lnPiIjLN0St0pgegpZadMq4/aWxosx
r9TAVf2Nq2wdblHYNvzY03qV75zDaKbslWgV1IkgpD0249izm0r1Y/fOCVyYm5CIzlyTFZE6dxs+
a4JE87DTx3blg7r27SK7FzR6TbUVZEW1PJftJAbA1hk82hpSrFjMOirg/cGCLjEH5EIeO9ABLxbG
/BMcDImJCylhgDkcBoyCzHpGAbbgwlre6uUR5/QI4BlkHIzSULvJ8C7FZYe4StK6218wPan8ccNK
Psp957dooll0k0SVRGHHCNzrkssYTyRXpGVMX3Utn+nt3k9QXsdJmOwn16wSphXdCuuQo1XahzqP
HaMcM84EpCsyG7EVDMCG+TxssKx/nGC7YJLjxeo1BqbhKcLdxbLLrS3k4FxXhmG5JMpZw+7pUmXj
OYOS153mUa9pqbagx9vEwKcGECnBvHUKC1+PDUD8OI9MHEdHzChtU/ZCSbSdejYaFVI6NOkXz5Ei
f1PtqvXPsGTILLD3ulr27+lIU/VVdxPpzySF1PFMgPrOd3ANWOz7HpbUqG1GmvnbOItM+BFm2urb
EFRkAPD5RBS7RDmSA19eMVtpjAHZb7bZ3UoG4wobEBx6XvAR2nLdk6QrwI1nmJln2YVeu4mjBLP5
vt+QDPxCXKfM3WL3eLzmiL3bL3ebV9A6SBuQDG941n4FzBelZUtFpA3MWtHPFGbE0z4cUFl3OCCx
kV7afLdo9yCjZUuLEEXxgsUi5gVyCU0vV1BqwFWoJBYqHwzf+gh2Aw1vvq+X8/E7X2GfAC05Ved5
kiHOCfa7/l26LInF2lN0mG2uhYGqGhATgqJ4TRpSpgmNQK9J1VzdJzW37ohtFF6IWz8225ttvfa3
084H+mHxK8vQvMzteh0C3/0HwQe9PVw8HNOTGdYqH2B2M+eoRtUFLNd+w5mLAeajCEHya1NDaXCP
QckAwTtq4x3Q1twBtaIIrsyo/QLh6ixyCIsSd/BMd0Dtlrl+Bk0iRkW0IZT5uQWzEeciMjbg3Sg3
UclXrokE03wkmGdtV2O1zJPNG+j9snwS4BGkBWbfy/oGIEkBvAVgQ+wXoBV7E+XMonxtc4pd1gJD
7CeoPXKY1KPvPHrIQxEONPqM1Z+gsA7rkq8OITbz1bBZ2rSFm+EfjjqUME/jcklrUDnKfzeLhT1v
RMUVJlWpLQgYQSaPhJ2rAkbJ6UuK345uNlcrfZb1BftVaL+9vuyZWfUwJWY5AC3YV5Csoyo6/3u1
euKDyfoTjLq9LwlrpzXfQ00fMLAa15JVEH//NQbTz85CLGTjMI2mPxD5sc3es+2vket/NhSifbph
XIPXTZtnAdCioX9RQvOzndAEt0ZZNZwfcUwSgEhyI3cGu7X5Ew3vHxhWYWTwew4goLDEgpGGyUSE
9TfXU2NvBhdN8EA0iwbglGwtYgG4nJNHbwDdosFqI1JMkcd9+tcUqgur6J+xjX4ilimMaHwTLfw4
Ic20LxuIWu5AHpwL1GsYP2IWJ87/+p3+iEz1Exd0mQ0eNXCKjzAEmPk7G6ZqLbVCnVs6nExwJ4X9
Q4+q1IfxT67wH1A4f3YnasEPw2mS0CMTyOSwsJ05zMCa/+QL/dGr/8Q+00j0M7yWFMyR4Wu3xK9O
6OpP6OJ/9No/0UNRps+DVhU9BsR+5PUSzs3ap3/xxX9imNk4tuO0MnoEBn3AILXJqxjI47++zX/0
yX+ih1Z+ayyVDTsqEhmc6VuVxzVO/7/26pd3/R866KTTKdhBuC7JPsCb10qkTO7Tu3/94n/whJL0
9y/Olnhw2rd4XGouk+8GmJIrCAsJcoVEMuhcr2BjnyByovovxfOlP9sU1UI5Ds8WekQcKv2QzYu5
b2PAq//6C/22uf6T1f2zSRFvQwpYSGXHQcgaCLQcg8NwBf+8hdiy1wyVN/7PmMUju2p0+77dm/cx
njR6qkyz1uhVVH1AOuN3v6WIbs4tR0n2X5/uP775/6Pepsf/+hzm7/+JP3+bNJp9Vduf/vj399OA
f//z8jv//+/8/jf+fvU23X8Z3szPf+l3v4PX/cf7ll/sl9/94YC63Ian9W0Jz29m7e1vr49PePmb
/9sf/tvbb6/yPui3X3/58n1oxhJNz9J8s7/840fn77/+ErPkwhX9j//5Dv/48eUr/PrLzZdlxLt2
X/7Jb719MfbXX7j4G6UJE0QymSAn7JK05N5++0n2N3AXKGCImBCKIw1rYETuaY33FX/LKMSXBCV0
zDm/yBzMtP72o/hvILbFUuInGf4D0u3/9+l+d4f++47927gOj1MzWvPrLxctzH8/TzxjFGAHBsSQ
l+OV4NT/00oxNNJYfPaAxghwQXgA2vwjFuNxAw4VVfZpm7ofc2b/TKUgfrMi+N07gyoFln0sAP5S
fJfk9++saprubO/XA6vkAodmTnK0uBn4fXSL1TkhsOhGlZYxKFCbaH/2Rvv+3G/1ft/ERv/IqAwe
DFWQRvMRsr+PkwjTTZtkCQgPDSrtUikqW4AGQTxm/Yxp8Eq2+pjSKilAZp7Altz4daQsdjjM/Hcw
Wys4rQQFzRBbHpCnwkqWpt9aosZy7SBOABZb2KjGEGwen8MAv06ryIFFCbkBFYLkmV/aZ+T1gQfh
sczAdItiwFxxd8+Rk8zz1bfuHqOE90oKvF8VvEE+HhueAp0OnW5vWziI33Ual8LLPd6LyhNQWpsO
oAAoXk1XDNO8fUtZlL1YbkBnNWusHhoul1s6AsWLm1DlCWZAAxQOAcwADEHBG2jVa+Ni+czATDlU
e61LFLJXsUvWJwzFsrICcPIRoGKqim7JIvCPOmDO6RaJB4da/0flE7hRjxP2kEK1Vn632pnkAIZZ
lKtFkhdPdoP/BOuPlUjJrp8NZm09dqPQoZlIVAvwugsO0K2obxBl6G4cIt9uE0DkRRpRdu+bIXsA
lNfUh6QL9HGOOkzoM0NuG+PXYtV+fPTKqfViQmTHfJ+5BXI5YLSudTVeTdnqb7dWWLiAVnCFWlp5
bOHAfjP6Tb/Mo+CAhLWJVIkJ1/SagDqHCXokMHDp0HtBG77J6VEBLW3h798N/5e6M+mNnLmy6C/i
BwYZDJJbkjlLqdQ8bAiVBs7zzF/fJ23DbTfQaDTQmza8MIyqkpTKZMS799z70O6WoQ+DsWwKX3a1
23sjYOde6XpS+1Wsry8YtqT5cI2ivueOJTCmavYe3fHnpsYzplL8WJpt6ZtoGMvNaPXuJVYTA74O
N2H5w7UI1xKgHMzaUqEhV+m4i0YdsrvTDXMn6VGpg4rmuBdrGe11s6ZU4QVqLEMvnHvHuUJp1HhX
dr0cwqKzr0SBVd8OQ9x/NKXBGylr9LdIr+KfsLfrL16Z5KHLSveOuDqsVbPkS7lJ5BC/caOnrSkZ
kgj5tWTzg9LFeFHGwFdZjVjs6UZxe3/JbflBRXN3VGuqZj9kgWToJWMal0FsimXDlc/Ypl2+PBrV
aj6UwqEmehJGvwZpcRXt0AXmr6awFVWK0VTfj6FwPzqnil/bhFdvI522unXzPMMfcCP1MtL05dnD
IGYm0GT+LKq+e8byyw3PKFv12SRpU3q1rWWBEK2yfJWnre43ohE/WpeIR0iT4mW00vBezab9huxp
jF5s5tCmxmTqTxFuOKKtGDMk7dIqHtl4ITfdMqjJi5qoLrwQDKQLOnMozG0SO6B6qs01EaiZ1pYo
xqrfxLrh7ESMswfOswrIL0ffMwCP4y7O4vYBGqcBnon0/LRmGcU71RLyFKGDNJq8Ip+0u4WkVkE0
ycleyJ9wF9L1Kr3Kenb1pesIZoGyzGK/NleBQGipDcgxspJyYPIYPTIZSId16qQXDaTwYvS2ha3j
Wnbmr6WY7pPKMV/4lVpeRbMCZq5Tq01IbeYjXnccSGytjWVaxX0uknSz1p1SXq3m5g0KoALN5DH0
PulSffAw5zfqAIvFXgdEYfnSKTTXb0ayCqg/NRKD5hTgdHzIe9MHtFkOWt0fh0gtJThi6kI7jSWP
hRHisgoybR3PmILTSw7VtfqrzLFKw9E16r1uuMZ70nej5UeDZdUbXWhEUDAC01vSRMOFEbp+dpbZ
Qi4JR9vZhFMp36Zirb+baG3zoIgHHumJ7rLZoYcMW/06j1fLi5x2iQ4i1HB42LCanYuy0ONLRXtr
vIGpM48VPnC863Lg2+OCihpBBAg+XW1VJFCXTap9TmE7h/4ShaRYS1rGtl3ZERiaUHS20iTPEmBA
EwSAG9OkzxunHYMGvRs7o9IKANNJZ8ltWKFugHh3/BFhWbE3t85wA3/IXibo2KOLUenXhhPe8k5q
PyhcFrda1tovQ9oWR1qbstOaIvNxzql8r+KFEzQrh+WV8AwPPdjO6Sx73PRNkfGkxs8C7ALHahrP
tKT9XZVKPc5XjSmROt01U61nNR85u/1dhjG+ZxNqHftJmRKp193p7BST2PKDjihGVfFaVlF7jOhG
TVhIzbETUTGVeapcT4VBR4hmY/aDY5obk+/8E9D1PExxSJO5bi3eyvXrD7NRfqZeu5s2KKvYFRkl
EolPM56t78NowSPKBif81KPFbrxB0edxU6klx3ZTY/yqQxzyi74iPr4zzw40l+Bnm8N4eSMOpZ54
/NYop4baRWgk76y7FDfKiGawaFj2d+xjFz2/W20FpaXWyB9TG7HWwBtxvW4BlfcVuuHHNFj9Rdra
eA7n0Ljodmf9mAs0mBMm67PFB+nLVVoo/V5XyXau8p2Bw1n7TtWHBD3yvv1ekxEw3Wo620LmxcK8
/tKM+0Q2w2NVieFA4WaW3zTjaL9b+HS/a8bSc1/EzYgMm2cgXkMaA0R7PeEJeVhnOTaEJkLnbRG1
+uR0Se6VEPHMY4vEwewZA/xiUPW11uuUSWb2HYB11fhyXOUMpgGf42tmKwP4IiuYzbzjQwAsPXda
+gnFH56rsXodizYO2GQ+B3EqYMOKDpeKi0Gz+kOv2eNpiaV6VKt5bQhZLIDRIpTpto7hYIOCV0IU
4dJuBkROQGfD+WqM3jyVsXIsb7ZF1Pph5Xb7Bj/yZpACJTxsnrPZlH+czHDzva3zNtu4RgelIQwu
CZ4c7P7XYX1K4zWDTR5FEkp4QFiPwu3ApqQr1BqFXRDPQ8qn0xwAn4FnWt40I5Engg1pBrM5zFp1
GkYJbEhzjvAKUZZchHLJoa9z7LW5DkTkrOxc8TjgxW+bhWHFczqP3hKWo6y+Nsj5jshFZwQ6saRN
nCxRASRlC/Mmm4vlmDSJ9idMWtyKxJI0cWeto/s1PPDHNbqPkzEk2kekqUr5bHdNP4F0eQq4RgFm
z+oF8cg2KSn30Qgxw0G1Ts8TLjeHMSRpd1jIArkeb4Ep9LM0XaJbyGnzQSc64GzzCbPSS8jttP5g
ls2hV4b9XYSMwbMMfcfN8qBtatc3e6G21ijj1wn127O0lRtbS3OYlxVdBRMFS0x8iuGf9VBriiOm
fS0iqt91yy97iGt0yCuBjEkb9U6xlYm2eBDzBLzWmi9WR8YdtGvE48GKg8IcdRzwhb7HudxjY86p
t6SOvE9rTdtMbN7YonDmG9sNJUfuGF7wmjGb7cFZt6xO+yJyJF55J5q/aPPppsWR4xNW2e7FHtr2
Jo1nrKwlze2HVSxJtYGWiR81FqvcGsPE68eH4gW0iMcV7ist406XLq+hdLonpNlYD5LVmpcArLNj
Dylw+y+IxvAl47FUKMZdXPiVGeqdXzDd/JpON7b+qsXxk6wXSN+qM+Tt1GGNJQbwgs/+0RkWOJnK
OBDDMv0mmj0H9doUj9PKQ8WrS1piAsxSG/2GOh4ulX0/G/uBVAg+WTYvR8kbkUtvTvBtWjhp9SyO
K7z2xYw5xsomP6OODUWQwbXoB6vN200kVPJYZ432UC0E8FYbDGgt7NVheVBrbybDmfzKTU02kjTD
pMNSKO2Y5SHQ5rygl/AmVu5TFY5UAJnhwk2QgzJvgqgdc9KrAmMawl7FmIbUF3aBJhdeWltWz4JN
BtsaGENthqzWT5DD8bgh0uJ2fmR1+Stwndsd8Srjn8yO2tgjgsmtqKQTuMBgx3SG1jWqF30w86ep
051vo4iqPeD+XB8GjLm3kskYwo61WZ+prCJ9yxhr3U1Lhq1haiVsvxHp4gSpyfXQRRppeZUdx4SR
CCUPBylAemRVNfetM8GX9AVvQ69NVi7YA2iN38lWvxh20ohT7mAybwHo9Se7bE0Pjv2nXPPZ9uAF
YzJiwg6VNxZaGu0tFUFUtIAeVU/GECgVLPCYQO4c6ZziDQffkh361GovnRmxvQ1MiHijhB3yxrlO
d4kh9cPkRFbta1X6rexObz3TTvDK3da6V2lJXHElzdBUZLnIbM1x9hyvqiB9KNQGKGVX4gPskkrr
A4NqJm8y1F3HB+Au0UJns6i+9u1c6swNXD/aipSdt9h9BtCxMlisSRrEQ07ycpz0LQZLsisbUd5P
krBCsbRV0AtujWaBixXyZRaZ31SlSDYaDKZnL+TzljlVd6ZrdVv6ZvYDBxsZsGkTddl0KVWrv+hA
K/Tb6CkOdNu9luE4+H1iqIdROc4GsGLZWuV8Z8faPAWGNag9fIt7CG22cHA/MaKRJ5SrB27YJCch
Mpp42sRZN3pLQCx2Kve4ju0k/Sp0Q9hyp/xxOnvH2q/ut17i7BKNJKb6sbxClKNztGPDfGN/XPTt
cID6Ni/Q0OZYRL0c9IYYZRhbG/7FTLusyrRtf8a44sYbd/VTAYuzN8gK4qxhqT2ZRayd8rAcvBGL
Z2+reHyucZA+wkFfYcb1RfsdB7vsPsyMMYgLQILRWoaOvu7aNJscnqTGHPQJ1CRCcZ1/a6JvbxYR
c7McY5cDLJ2Fzm2gXrJpCytIApAYAcWz0km3ZFcGqj2nkRlHr03XHxJRhYyZ3BSC7Hpm1k6dWBRD
sETTcybixAF3pO5IUzyPnZ5v7Z1akHWEx0xCPZhnjTfFqBurtbcKxgRYXZMks1F1MgObH8zBM0uh
Pnog55/aSowQs9vNaE/uHPfgju7s7klPdJFvljGXaHbpqR+H8FeQoOScuqmbzks6r7YPOMvFdKBj
4ovQZV95EtKShcey2veDaT7IXh8LIqk6j0QK4acgwvhdcD47IqpJQTX0LklChvM0L0cDhs7Qb4a2
rveEeLg99Q7S+xa/pf/ql9Xpd38T/f6vlc/b5Kutuuq3/6/S57+ppf+P9FFDuVdx/b/XRy9DmX7+
+Vdx9B9/5R/iqPrLpeQcudxEDlRMGP8UR82/HCB+13GURORDKP2nOGoaf1kCVdS1HUtYkFT/1EYN
9y9LGkLnL1o2ligq/P9GG3WuTta/apQ6mSXW2TBnSov//tdGriiK2P/AbLcb6LbatyIbPstE1cyP
Zngxc6074fAuQa7J6lSO0P5WUUaHdnbSE8V6wmdqdV6ccrG+3RYqpWF82NqClXrAnfNJy8p4s0pN
EcOxwqNkCQwj9PqpBnmpYKu5tS6emouTpnHicpAwrGK1ea2bnK/JJH9ckxejkt8hwCPrlYpj1mE2
GkVO1ZSpZ/O2qQfbB1tJNkkKEZtDBzs46nF+NFdZ3tbZst6Vwi6+BlgJXzlK/VkSI97z9aa72l20
rSG1iGegktGLoTOItxrjqCSCEUDrZh9WMeSw2XzVsDC5+FJ7WH+PujkeJAUDrwT3poNWVmZgk0EJ
mrK4r5OsYqVr3B9TsRSHqXXmu0FzHJL31mx6XUcBhJdV83CJ83neawSMTlU0DeitnTWjiBCwiKl4
fuY6h/g4z48kI6NzF3OOGiE73LTCvhiyHJ+vaeYfdoy2bwmRiftCZ5KsdMe9JA6ZI6IKlPKpMHkc
08I4uMbykgJsXdgVLx55OFuHgdf61BdhcjPGTvkCWqPviCeaDEcRzGqU+W3TwOQ3dXKOYydmuXQi
BJfxyR4fpZsWZ7tGepOAqSuNaGi1qnlTKLQ+V6X6S63h70LYByzbnV9j9I4sto7DYGSbhHDm/XiN
XSXMKRcgWvdN4v/fcBmVJ7NozcOAx/stIWag3dAkQCpii3ScqZ3LtXbYOSld66u2hmZXO1Fx6OZ4
8RAQpmNB0vo85WWz5xZQ+MQdSaiWmnHLnrQfqiuF8WamfGUdB+Kx04rqmFvw+UCUtgXCDvnJYxf0
uNDqcvX4JRSXSFXZ2Y3XbueCtD0bKyt1yxwxLALbemW0Xs754oaEvEf9ZjGaMcATRfi1xymAQCEa
gg7g3hbcyysvrupur8ehGQwlx3Suqd9hks6ZKFC/aYxrtL1vZj+ujPnQ82E+K9d+jiSwlZuB1CaJ
7WyJPtpPbqZh9edF/skdtSGlx5DgW0zoXphFYpO2qvOadVm2a6kRClyGytdAzLn/VfpGruQoIgDl
20LRB2EwZO7yVC8OxWrflXO7Y4snKomz1rehE8rASh3f6vExuaHuVi4oJBK8NkUeGhemI6P6Y8XL
Tsg8OUUWKZN60LP7miTilj6SFo7MYLTL5FYhYkKFQCw7hu68Z1joI7JEOd4LggQPqqzfpSr+wMRu
rLW76Ur7K2Uquax0V+9rrZVbrM+Qh8/1Xyxasl84hDlRjIepkw8O/gB6Y9sHTRMuj5GbQEJPWemF
lHT5aPDfiONnbsHzRvVG6YtBMT2AML/GZPc8XWTcUjKl39lV2vsV4fiTnhKnrjpTbqCL7J/eycIt
o6x52w4mHybdFhvIC/fRtA1e1VkaPDzc2e/Gq3BhVeuW9zE5JLFMqINrPb9GgNwH005pmiUXsjV0
0PDZ1hJq88aOkvd0ORCn5Nojuo4CgjVa2YcUrhcnWq1tZJuIh3Do3oK5wqjCb3sB7/etFadAsGZw
l7kUsmihXXn1MsidMVhkgzGZ/tQpOgt/ulpu+lYXNGX081HPqvB1KbXVxwerb3p3Go96M5fHMp+c
Pbm18s9klf1por3uOk/rD3zIa6T02A7JqTQqgQ2bzGeVVFQh9EtObpsat9ELqRQ6dxEPPiQDx9ym
Y8rcFXIJnd3i2ZwaWsKWZKfl6N+8EPtc0k3AgWG9jaV2j1h2XhJ+ckK48ZiUfjsuqEkrRW5vLV02
myJ3Uj9d+n5LnpcLE7T04pG/sDZmG3fYxwOf/55iCTTyZNeXln7p7Jy075B7MYkajUs587x9M6Qo
yWjEOEOmPKUrly2yVI/lOs4nq+LsJgjOzuVYUwmp1+k7c8xsP1WRCMJwvI0pIEpNuJAs1eYtvQ4E
Izu2bvXVtO5MtNmdafEEtwTK7xyazWYo1vHHjfr7eLSfqRvrXW/kH0BxqZe3OuWx4UVhQcp9VCht
3YqKofc6eH7Y7qAnV29F3/pIctd60FU+nvjX/dwZ9+EYvfcZT/08eTJN+8w8uak0WL4ChnbT9Zru
WXgCPuVa8U2r6elxrjJ5sCm18KngIvZcuOZ7Z6ZTkDROduCU2Jd9WJPG1NrdQpwD821kzf3flsS9
caGNTo1a+ju7WOpTpdn9T+FKDahtvh6DS8IvtSi3naUoMoD2f+hUgvw044bqw9tgIDKmxWmY0vUs
iui2amODYzangILEL+s1mqTS6eDgoco0cNQa9gdOJnmmmYaXGUfAiHuS3qm5q/J01wqhe32Tmmjz
WYFTsvbQixOyvlPjwSHL8Kd+BOXxABNlxquYd0b7aEZTc1M7P/ZsolnYS3hu5szxptAyTlbfsp5v
nJJeBVU19Z8rx9BPuupOUKPHXkQW19ekwNxwvAEOP13XqT5lumtq7JnICuO6ILm5X0a9D5aaUg6N
5RMBi29aC9WEnCmPHjD1Opx3XVPSbWngHupGKYLVyZ1gmNrUZyhSjxrdJIeCuHLBglJclcCMuyeW
iXBIN86do1lDTW5GeyGZifhfcUUhivuT01nxVJN29rXOVttB5pzeplm495DGL7M9XshAFJSZxuc+
abdqYL7rzeGNWey5ZS0kQ09m3gvLrbYlJMaWY8+9LdFqk82i5/ZbisrhVVwrIiv7SmO5M6tov3bJ
CeB4P/XTEEyTLKNglUVElMSsmGzAa3LErIquma3Qm31lDZdF0x8ISH1xoL1M7fjdWXLXzKgLdRQ1
20hI11cpvTDWsgrOXW5hYbyxSmUHqVqJX3ZS98OORjBzkc2ZPSjQzuzmCabZ7gI2og5ngtasc60b
9pprXVrDoOrmE49f52ZZQccZCTW54QpfHgQJQlPGZwzK5EQiWAuSkfxXs3b6Pbe45ZHml3Urx8m6
CLhu4lJEs7nAXtc8o7GiWDb5cKvSrjpqMUm3zrJyz+qMLrhOqsfQSPpAmGLem9oIGddqn/id9X5p
8vxmchaO6LBRG5JCLUK2moNqja2bbgpx2DXZHB17JH9cTdGRuNKp0ObmfUhn+2WkqSYwaFYwvWy5
Iv997zy0jVPfuaEQO6j7Tycv+X7dtt5MnD4o0urQaMnid03/1qj2sxkrlncZVFwsRbPDgEiPIVbU
q4Wu80ZKTNskTaw9Uz4QFKqOWIa+JAPFRKP2M2thseFGqe4RryJ/TkuSGC6qx1E1GbRm0+wZLdSe
zIriRS2imzDS6ovtcEhF1TWGWA6vNWEPWG6nfa+SSgSZhZ/ttarRePCYwPlT1m3BalveO0nox0Sh
wEhdbatsdmOuiEs78qvhc7nEzb0eGU7QkFR6MNvaPKsExJQ72PRQGXn52kb02pjFJJFnreXBQJAj
Q97n31UhUFCIi/6Ckoe7GRPYdxpu0GwQkjeAKmvurVpZfCYE8W+scSWJIyg2O+EmJI9RxC2PfH2T
vHSI6zxq2QFkDGF0FgQCdqhJ+lnQdBEM9MJ4Ku66Q7gWYq+TyPwgJiC80LCNYNKm4huvxD1rTm29
LMDhHhFc7Exz6N7drokeMmy3xwoR+zixqY8jTyQjLz2R9ZpJAE1Upj6ZaQ7XMr7vUrldWyvmwkYy
YIhDuddoajvb5hj6amrKs+z67lTolr1Zw/BnKif0F6JFalvmC1e32Qy32aqcdzG3VBWUhfkwrarb
zL1oTlGXKu6fCqyGCMQHIytl6ciMP3UfUh3FAHiIF6e6U1GSnGlfSfYWGpvfy7I5Viyn4tSQ7nYu
G0f4RnLJtKncDNG1iiFxxZEwBLK74abkm9o7zEuIrtnqvNHui6OzZj39X4Z7IOhu3oCNZ7/8oA27
L2r7lNkxHmHeV4hp+fJrhetXD53hOWyq82u0R9JNqLF8lcSTGFbcGMvwFMbRmVQuN0fh3hqoTzS4
WaNPaC95TbR0CaY1f69obvKvq0xv6wGnx1rTbUmYy4dYnk7XIR8hpvxpJlbHOoV7qnp32YRtTMXT
0qQvcWxowD4zLDeOVxXkpHg91QAXDEMrbiRXMLqsjPKZEgoRMsuNL5Fu0XLU6I84H+FWhlsSEDsa
bLJjWIz36aQCO5p4uCxcyekV0iKxnJdwbcg2IACby3yXyu4Pb0+w9bnAnKRQICDmxpqsvrGZuZXc
taswiURcG1gskzcq+QHK3dA4B1YkrbF+jnh+svjQwDgg87utGlyMsdaonJNLuHfSIg8ymbT3Y53T
bxB3zX7s3HWjWWmx56RIj4JqJK8hZnU3rIvc4UVSM2dFt6Nt6hFfS4+OCVktwnKUyQVxlhpGgK7X
hfAUxisqMHYOxXJNnnpjXuVUutVa5nPx3cfVDWjURBnDON0UPAppftDm8ZGKs/IdI4gPj0nHw1cb
lqvGqhhi0tcg4qxDqaT3RSu0h1laRV8cWnkNduCO0NbCL/5cFVl5TvtUfHACtudayxlz45ZvPM1g
9NdEzJEvNPdtMNfwxRCD3DTjNcvXJwvzaVHSRVG2mdipwu13dh2ph7acs+PSq+Fg4aMAUkm5G0aj
/VLgPBAQ8ZC8V+y4+JrpDyKiXPNhHHl48tIQl6Np9NDzTe5dY6L5QiFQJtU1FWm08o1ZenoZh6R4
7JtJnjPcg13M7soV0qW9M/md3huFwTeDNPgSGdNPnafGhkkoOca0Td0tgv81zKHrAz6P6AZWk3td
qYk7TluxKeRIrCOMUcUX7UZLKdjIchltSXNj5YmG2rRcwKIZNFxwTWd9/VmvXfvRzmdt4xY00CCS
FLd6oW+M9urQRBZPrJHaJLWM2dFtTfqZ++qJkNcnEZDbdSGakE7Jd5bJ9GA37S1FTCapp5nghDm/
dgw/Dp9hAvbL7eAuH1VTasckjeO/94H+X+ue/48UTaEL3TZcdMj/XtS8TeiW/Cz+VdX8z7/2d2HT
Nf+SzLToe5Zr2iiUf0c+XeMvTiqHZLFtOzS0Xlua/4F8GpK/ASbKf0ydSofroo9/IJ+G+IvVfMpy
dccR/F1W3vwvZE3B1/hXVdOxpIRGNRUPCyEsft5/Jy9nFJkyE+z7KkcydlZW1jsWSLD/NBVn2oLc
Awm29/Sqw0E1/BihCm8JB5n/A8rs/o0t/Rd19W/fh8EAb9k2HYCglP/+fZhupFU8xsY9gBV3IVuA
zWTbavXVcBPHJ9nsG3UJi4Sw6IRDbOEfUDxxi73bk5Q1n4bGPncG9+qXlaupXp4oK639xOktDFQn
mJR9qgVFXNPI0Gr19+wE3YmwazyrVrS/DM9Tl94sFlGisNykRXeZCaPSUHg0zHrgurLl6oyEGd1p
KRxYamVPQ2K2G4y7T/rvyFXbgwoshW/n6RG3x5kvFOBRL+SKkrcOe4gDZpuFyz6NzMtErs+TEuyA
F7Yzzf4NHBBmijLYLSvgvGpWN2NZiK3FsL0Yt5VWbRVC5ei8atn6EKXpY4NT00Xz3jDtY0kPIF12
nm43j/NsUZSZo3rMCHFSArRFaLWzrJy9yfnsVsW5hSUihfRD6+je0T+0Tn+2IXWi3r5trfZBhWJn
9NVGzFowGQYAo823AdHsL0O2Qbj4U+Xjd9KYaj+stOOAEf0aLIo8dJYRo4oBpzXZ0ASzvZ56Md1q
ztBx9tLrN9G5bS7qkUn70OoPSFZ/S0Ay+0yPzRxdkMO31PukvFouy0bKZQNgBRBGKZr5XHCLI+8F
kNg9NuX8yxl5mDv9fe24jBPr8uKpfoumZLtYycmgynBLAC4owopBwX3m7eVl1lZXEI0SmZviiJEB
bTxHWvgW1utpVOZDa7sld/7hmZ4FIEKuulQD6yMjC/3skorVih4W6A/L3LRoYlmYB+7cf6QEtwxJ
Jkyf8zebt2YTq+cEkdkL9fK7amhOXOIiqLq08Gh03BRp/6X3SEOhHnJWLMdelRtbTL4FxJQW4kkW
r3bbrne4gNnruBanLpP3hDDGnbPQA9CqaDoQJA1siC+bHU8Uz+77OHtTQ/iTadUtUn5tPXckDD0O
nMSj9+EeELDytGk91FH6SjRg2g/cq+A1EQxt6pNw8wmPjJZ5Jxec8PoWT9jv2hiIQS7VjQTKgb2M
QCHiSz+HzCRpv2dVhKRXaGYmKi2qSeILzao3nF8Qh4euNEtUVhKpV6E94RYYhfNrvfb7NVN/sJc3
6VTmXqaJa6+maPnkZCwMUeaGlBKFdMkfK3e2TXaRQvenWtxDWXPXYVE7yK3uFPvRoKinZ1xfV/VK
U7cvtXzHW4PMdGwUBxNK1xuFPvjhqM7VII6xgWJrrM8YreyCweBMFI3bWWJt1Gr5CxW7Q4HZbHQ7
w5j9cnXs01hiVzfxlxrlRYTp9eNk3LkEf72mt+4S9mPOmftRZs0hGazvKhOHtFnvSQaC9hlVsc3y
cm+V+nSTN1q6rWwsSwEZfk1T+Guo30UY+ptSXFq1+jrjc+s0vE66dsCcvSWpMJHXMye/bsetXJDH
aSa7kJ29J5SPQlnWT8lVfGFe8RMrFngm9Z+KBVRyUS8Froji/wiMNCNbaZG/natTFbfPNnNCWPbv
dL7W+1gMFPTYzss6LY/2NEUBnRWz3WO14PcW7ZOuuXer2bz3ufVh9AbR8vBGX4b3ZsleM5L3u55C
rwjscNEqAJwFviQxHhapPVBqdJgL0Wwcuzz2g0x8quxWr5GV4cV2m+5tZzpMurM3gJzXtv41s2JH
F94nCi70JCWPNOZiR4R88ssGp100zg9dVi/zlRNClds0E8unTLf2Y5l3m8IEqiLkuHdW99MYrlUt
0Pye2+uUjMWAfKn2bFTmzUxqbcMn7Nwv4rVBuF1su9nIgq1PpHo/08zmg1FQEdxP76MbXkrNedIm
50Yf+/OK94XFYi+7jqYjo4roD5I/17IXwrZRHoiku1l5WSkXuc3GaYtIzuyEyAklUUDYaVzPY8Kl
VK2EG5y5Ex+9Qy8GJjqpXeiqonAqjrKNSLVbqTPYJVHyjUHFKJA/6H3e8TJH95SQ7Ki4ujZp8Upm
m1bZXO7MQ7XKI0b6Jm+PKu79zHbIHVJyoi/hUVnvg5k9w4ezuQGjYRkoGMSJpBbH06twS2PCrm5V
UFcfcVeeC9d+HVtxoB0z6HN5mrp+P431FoY1ENQ3+Ni1hKnnEOqgB2B+bMKJUYmmieRMqpZGnRjO
Lt+7vNOdXLwR3rkzpnGf0UHt2e6OcrossLpwDy+1BvPYPtGH8dlmRINjye1fta+O2wYWAIqaTK90
jf2UDzfCvplXMyiwSD2tbO+11bwF+92OWCiem/KR1yz7Ys3xT72cotHeALfcxfNvMa5nJkTWSqxe
q5u/fVhR6jgQ26Z8gvubj4L5mxjldxzJO1P1Z1O1rEyOnmjP3egDcI/Vum+0XwTp8NtbArqRR2dB
47fVnq1m5kNYvfEReYF6PNr5B57dO34MON9/sHdmy60jWZb9lf4BpGFwTK8EZ4oiRVHjC0y6uhfz
7HAMX98LkVmV2WlW1lXv9RJpaRG6AwkcP37O3msTeZKlD73eX5ghB1ZlU17C+Ewg8dtsqKeWKZg7
jI89HKWpJqzZLj6LCNPkpIlv320eVQ9VdpzObpQg7UmtIPWNfWFBNjf6r37u3+PUBzkEJ9lIf81t
+V1Y0ynWzhgXMSSDgLIReDhxfe4cdGq50QUpo9vk2SyOFkUhHtaCstzPBM6idZT9Ro7FbrDOc+od
BjO/wPL6rTy1gTiarAFG8TTLHVO3XOXNCtzbuYqWDYffPEQie2pLJ2DycesLhQJeoceQH+DEcpz9
L6nI1lajbaGzPNZptzcGFIWWSl7hXNgrbTbBZfHXSq/uvCYXegeldF8V3Y/wx1OcZPux4QNszQfB
/YxteH5g+I2YKD+JMV07rvPaju23zwR+I4VA0afiV7vRugCFJffitHjBjyOehtk3AiZL3govFo1N
VSW7Chv9oLXHLM2DTKInK4V9ZbrzEaXTLzPs3zpFmDbCfKhc7Wub1ftqSNkSAzYG2OEQ9RMtHMn5
rqSJcoXtN6teVPS3BnYUc9fdZNgbV2ngrc6MRf1gAC7s+zzqaEj94Q9kSwQ6T7Lxj0PhX0OZXNLu
yORx7QDJGW/jHGPm3cZOeUEmjsLOBDGL8I/zA72V3t9AdkEdwEGcDrvZf4lc8y0a9FvS69QDb5dE
9yzJdhIPYJ+I64yFqW77BwitT8q4FhYPEHCXOfnUEBSNDXSYqrfRTX4Pg9w7g/mQ1MBUtWY8jgR4
BGyz/vjla8y7OcGZGQw8HG21D30uEjV4DvmQGFO0yr27gzneE/IrgceoQxlY2yGoIo/+odfctwwa
DOSO12ZRJTbaoTdPPhDhBAogBy3a49A5NoXzbBR3ZTMFncQQwI5HjR26jk+xLl4i3dUCshWSo+8W
D73Lidyy/Tm6YZmda88pfml27G9K0FCHMLRaesjWl+/2kFWvjZwV4wnWWionMatkHnz1U907t5ml
fhR0mI1AKb8DVcXdYXageYS9F5iePW4q29Z/OWUeP3lW4Zz0JmLrRrEvGDrU2SsKVG8D09y/zcri
k9Rk/AnxYNjnCdjaVarZxkbCATummPt6mPQZW05mS+CjkgMD0GjvojL8zW/p/XLzef4GiKrvC3uS
u1BPDbwprbUlnUGSQj21R71kR6QTT/rMfY/+mMYMFWFbdk9NkVl35DVjoPkNZ0saDwcd09ypUiI6
9Npkbt024oybtZEgYsM7RLBBoJ2qHIx2VTdn3EjRhrOmDkZCIA+aX3dns3TDY9723REIIhJevBvd
69j6fO4sic9SAH4uzelcedjdVyj30+fKk+4rKVzTr7oqm1MqnXAbIbK/iHGuPgAV+Y8IypoXLjq8
P14XFd9e6vTvGsZVdJEqTi9CSfuOkS++QcuanroBZr4xtPZNiXS8tJUfnybxqlC1gSZpd/4sx1tY
GeJFE4LleZlM5gdgjWHLbIRSNo/5E7j//nFIIKRMHJifLPMgJle9B0Z4HL/Tdi6vfT7Iq23I7gKO
OD0UKPm5Q2IV8iPk53Hl9VtjKqNdRF/P/Ll2VpmaGaaFphHApi12PvAGMBALxCabWLvHUWgyFBpg
Y1ux/Wb1URyMlKfP1AbNWY+9tRdodE7aPE/UlJJNYp5cq/FzjAE7JrEdKJlPFxOMVIS6YGKGx5M5
Gcm6m4itqAympM38y85TjRtvh5q/DtU91JwXr5wvbBs+nCTfM8s7IJ0IxNwD2ZPJXnPGEyYqJCeD
s7HxJWg6A2Ch+Rt74vzV3fdBaw5qwozUG+LHQdtvmemXaLPNVKWBirKthFaD83zgYBA2pPja851H
LxL6gtp4G83qbpbikOjeYy76NQr2IF4WkwDqVPZo6u2rYUh/gw7ifZ5jxKgRiu22cO5KqJeQCVs9
OfkKTS5L9exhGrUDiLmLl0TqUBuYF0lfyPcFMSKIn83L5PWgmEUeVGm58Zv4DO+7Q7VIU94lCQgx
sVWtxMCimet60/Vvfcxqr+pOfoxA3/e28H7+1GX3/8m1wU7LMOOfww5POHhscfly10RGZuj+vw1d
HIQ8qbSdYe/kb1zzk9M89iNsdKzYmpFPR90pm8exiuYn6lN8GxLHvhtpl15a1l7DqnNKxRRTFd/u
X69Ktrw1QP/9R3t5k+LlncqWt6tZ3jPjrzduefeqOcqeB6tkgFLxavbLO+otb+u0vLf58gaHf73M
JHt3R/jE2jGCYneelrfeW97/1sd7wcAVKYzf+buhH6yMnApUGmmI0JOAhPBqWra5rZfaYixVZl7q
TRRSeXQZIpUVg3V37Ym6ZHT051Ecy2eAo92zXnUFShenPdZzKy/REnjiL5XODG1q3lL9nKUO2ktF
1KLK+G0uVRJcYXKI6wrgTRPD+1uKab/UVS2JzE3xV7Htc3/YT5kXf5Y1fUatT/5NpJm/iS0ze8UD
z4VhGBYLTgzSsZmG+En4lfEr9LVxUzR4IojdhnS0HAJVz5x6WE6GbjkjwuW0qJZzI018MheXswTA
Dz685XwxlpNG++vQ4dusDpHDSdQsZ5K3nE7dck6Fbh4fxrF6qJYzDJUMpjiONfSr+FQ86ME/DAlP
nuv7LDtNo2P5W+jvHpbUejURIvQ22S5DrQKB4MfgjxFvDbZi6LgMoDKezU3vLEHKBQ2cmfgmI+ES
C/Kijo5ZUZu1GT/WiifPypttzaVt72gx4nwBmOhLFHZf7SsUyVxuKmkgUtDddp3Iv35HC7FZ4BYI
qjmnNbfkYSpJhuyqKmdnnjpfHhuaU5FSJHZwcLmvQuakUygg4bF8ZSr/ben1k7JytAu1btoNQUhL
yg23haDH9svAq3A8ciZcpmp2PW5U09xwcer7QRMf8DQBYOmKmwQhKuS5d69TvtjOpnHja+GdzO57
LuNiow1pu142ko8DmK+Nx4X9N5eYN83T7bPV+/6mq8ULa2E6IM20NjpGOioslHK4wvnNGxztwUvG
bMNBD7ZPz5K7S8bAypHsazB93hMjvXtNQu5J42f70qXN7gv9GFmGhJ4cj/EWTidNj8yzNbCwz8TQ
mZUYyR82BFmQNzNSBSZmG9OYHlr6j9VQ8J8PPBgY6dS7TZ7PEVmOtS0d2Hto/Mwdht12bSgftd8s
dl5csWReknlivQE7we2BJVX7lff6E30hci1nbHDqDC91Nb5WZlE+DzgxLyZE9Z1g64xXB9nnQ4xK
cZ1nUbWT08QKXGMrbiG92XruPOOUUN1Wmbxr2OvFKiRdglSRyUWo2n0OpXIPk5El73CQPm0cauz8
6nYH/lfuEMy0uxCDP48VySINaKqgNTokBTVrvWUJF7ADQRSV2uD2yb2htah1rvNXwoy9dWTRMRE7
jh8bKOVrFUq+4Ylba7jcBzpf3fk5+xBZ2M1WlmmJl85zkIpKOzyYta/vEbcm5yp0f4y6K+6Zqc08
BRQUrSh/uMX8QVZ0jwvHCEYjgQqsReKxruqU7CI+u9yPfzqfngI3Kkd70xVQ70uDuKvke5rM9yHH
+pSe8fnyRJhJMJXudTYqE7dO+cfp5ttkVA6tMJBvLZcEXUFuNzdcOlCqtqZaWynF0dC5eKjS47Cq
RPusDFN/8Xnbub0av8YKxK3dpC9um++NlsKlWUAjWZ23K0wm8QNat9PkDvhwLd6vseWQADeQrBlI
Pyo0OovJsmr2iVTVgcVqvMc+P7+n3nLJhNu3ncdM8XOdi4svlWr+DJOsWCPWBiHa51ogbIZerkzr
rzSerAMONf0UD356gD/cXcLKlVfixsqrHWrjNxwruiezcfdkCMpPtfRWzdJlWUu/tUhk12LpwUxN
ugcNevYaiB3dGRVXvHhLy0YSVrvr+cT/V5j/3wKX6AYzMUGX8V+vsda/8zj5tyXWP37oH+p892+4
BxeNvQeUcPnf/9hjuc7fSI6xfN81/hNq8h97LA/hvmuR7WNgOllAp//cY0E1Qenv+3RBaM5oCv4n
eyyfX+hfWir+ch67NNYZBvN7G9Xhv7VUTJ/xuPrw3JMWBDdpO428oyAZ3mMl1cUahztWLu1WWhKW
X5zHNRcFmmebYD2GUEOK+Tdr1Rc4uOQA36DfAHy0MQzR5RsC6WRC0tUTJWO88cvznqVDfWUck/8G
nvg99B1BbbOvbZoUVIpTiepa+0N4b0yCHVZ0Om9WJYovNJKAVKBh44fMsuuy2M5YpZxyAy8s8I/h
lWKL3DrFaBNBl0fGLCvcwP47XGARGAMOcibNKHI1DQkc2uPVaJp0/R2FoJ+aZ72w4iVhkKEKcslb
PcJC6HvZPItCaJsuAiIYQesA4CTtPfE7DUJJf3iDCkZWkBnmf8B+lw/KiuJvmpRmBQpZfvel193T
3ix25JKBMxGOxXxZMbcG5DBqBmD90PjMqAxQOux+ozee/zAY4wDLewZDuminxk+rSBOIKj6+V+a/
Sv+oDNdf6WFNN+pFBmrvVtlnWyrUQpObYZXQ8u4UNwYTNgttNfd0H5rG/5aE/xbLiBXrYmD5r+vB
i2TU+n+u7dfP7y7+17rwj5/8e1HwxN88iouu4wZxfM4jbjr/4Bm58IwsmD6++DvoyPzP5bal/00s
Vh0PeQQlBl/PP4sCRh8hGANRF9gcUTD+J0Xh/yV+uYL33TZgBS3eH+BIFn+Ef8WKyVLCwe9ttavh
1DzjKJgujDKcOiAEs/3W/Dk7Dbrf1MG/fFDXv9/j/hWjxMjw36sREGCBt57UQbhGaJ/+7XemHGRq
tFnXOaIPt0lr2fUXyo5JB5BiMJjsa0Sx5KoM/XsOO3resJ6ts8BzyVhHYzwQYqfnNcvSjqyEj7AJ
EedPRolNlamaDLzWomGCyAsgoQi7fj+YRtkGTQ9CBqmdxAFd06J9Ix1fWZIc0Z2J0PmDkfn4NVWm
/1roaRFvdFOpp6lbAPNcF5MTGGZo+EyN6XxoQPrFWZuQzWQrIi6Lk0iYkzLNm5juIrcuv9MGkbS0
1Hpmdb/uwuqXIhj6oWuH9MnvM/fNn51mB54+fWiL2ijJgBSwtrXICV80BaQB+4hWHSZv2bWF02+X
dMsdJWwbqtQ8SJOZ7jDEVy/u3a0a2WVCQMkCzShfE1Kb2AhS/4zBfFae5nJfZ+VUkHFpY/oLckY4
UFYscSnrAflLJQIT/dQa8xA/2NIjl7WD4lfq5cqpERC3o/mFbqlcRb446TaQl5gUEEzFDC7y7cBa
ZtWwsVyxa9o5wHaY+gNT6PBCBGbYDZeh7ZsHva/lYQ5bTNt516Nsx4VdtRiyDIIzgj5icCqHxN0g
jLfW3Qj9W6KqAG/VIXdILPsgdBcJmzIB+LV9j7K0S3YWfoJgxheJg6w09xk7yG1YR8UxLjJn5yNV
px3FHjAPLVIzEwc0G7AoP5SQRn5qQ0X7XpAi6GqO9ogjHPFu1SS3ac67bE3sklhHaHupwVAy5CpN
dQsUkUfkFU2aS+AivGkM24Mluq/JdTLyzlgFMqGNZ/cj6oV3dqfE+MZmWfxId0rdwAOIayE6x6YV
VdmDDlYB+kmrJ4+p6bPpmpBD6kI7FlZdH+O5qKCTOILPOm1ryCUzaeub1mYiR2OPlYChceWQOoax
6FrQq3OXCW2aXFFl5Rqdlo0wc+FyjIaVP+RdYexGMheKXabF3nNhay2Y/0Lo6wYOibmxsdDqRKA4
3lkHwcospZnUE53oBAY8nqJjFNXIVxu9cT9I+Jm4YpjZ/Ni4FjCSBqjfbRo8/aBLaAWB00TFA/nN
Jgj0AbZMzLhsL/xc3Ku2leHKg+4/8WGS94K8kMEH3qaaaISiUq9+1EB28HyXJCBnNFGMaqIdNp49
RM1xGqTxu2pqBMZWYbxmVtyQ4FAY4k/pDCHp4sTV4ATvGryUq3mytdsSp7N1/GY+ZR3TJUDcJhqw
stGJFYb5Fd97M8GInDTaiYuVsSWDsrYCO0rcWz/b3MYtLHXbfNYuWOJ/nCj77or4wVDprkZxse0n
mDAF6/Y9vmPr4ggciY3oHxJC1GgSnOzBl2xeZ2PRGugIeotZk/u0bh5LZ+6uMOd/4szA20hMbxDK
PNrrqVufS9eF8R/xN3JZRG+jwk2uMZEMu1HrvBOBV+ZGDmP1PTtsv6dCcx71KWUHVUzh8BB2GUs9
0NhiBSE6WYZ22AHT1DMxepcTM492so1vF2ncMTf7/OS77mV0C6aSJA9IC31H2Tm/Cb1bBMkuq4XA
gzrAe6m9SywhIPS6AEGf/QIs3gXoo/onoG+4wOMk9NYwfdWRUK7ftdVQP7pKiG3c1uEa96ALElwE
tshmOMwj+WFDESUHwGrFVdNRZ6Md7VHoEaR9w3jHeF5pjLzY0WbyQHqk+iW1on/saCuzTVwB8RwT
yZizVXEwyYrVV2qNRMTZYatRLaJvT5GkoZU2Ch9v5C9mu3qQJ1wHU9rDFw9A+8nme0R+P/ArjDzA
0ZBxMRTs2qJwDwcLikVhH2Ueo9Y1nfgIR/QPp1PyCOit3uVtE4G64knpDqmVEewYNlm0aedZB2xB
BmG51qam/YH0QV4MOUb6g+uUSFLNMJXdJm61dGQLqaIz8IcbVJTsDSsFeQeu5f2GrdLvyAkZiZrk
hdnZDbvGfV07qdgopbzHRmbFq8v3FKjRaPfEyZU/6OTFtRub8Ju0JkM8d6TfAA6YS+KBKmnp4xLG
1aZr8HlkHmpgZWDqtfMZSDPr017/JgOk2tpFN+9y01AnwqLWY1u+a2MPbAnnD8b7jAEfsl90QcYu
KXq0YqJGk7ciQEPeh8wU6HdIYmOYxvYWmELLqEANzXXyyqcQlAiJEEm7Bt6kXbkmh4+jNhDN14Wo
0sRW79pkbYDoXJtNNG2i6ICqPt0MnmiZInEy2S3JLlkS8VeIz77Sf0j++0WOjjgMHSgvooOhx85+
HOBuMPeaBnYiiRaSmZlj1MnHzdy39s5ThFeHEVZ8gq/5kuMR45YdvUaWH22IReEBCAfKc2TBNucu
r4JCm+NbMdbT4iDYakO4SRiMbOXUmw/xCDkz17ATsWlKfsbIlOzDlDyTbgYzCiY/yrURtXHXgEPr
8GHVLnR7vqFhQy9oBUgz9LUa55cwV3yQxV+2Wz7YvClDVkU4dsOufhnsWLv7Vdnupc84lVaDfZnT
yl2Fb5w1u0/Oi10TP521xBJjkl3jO3P2Tso8kFX4tdMmXl/CUC4j3zuhlR3yrFaNYoeDONlkoxvt
Wg+Vu2W1Fi98IuwT7UL3kbAtYKHj2/a275Lu6iQ1WWgsfjyy4sLhw3f1/OYSOHTS/Tz7Q1qBc9A4
cg4M4oa3FIH/Gs0JKWaDrVdtQKZGuY5cPfxDtmm/d+zJY7pC7PuaYzbcwZsgbLdKjPhK6BInZxYp
/ehEYtyNZmp9oYgi1k43xwuqaMAWmGwJ1Qp70zkyIQOIqdCoHCOzx1ThG/ZJ95RxRzsf/s67kAk0
kJNi57VRklGYjPCQSt0+kmQJimseUQxElpaAIx8Zw8HTUtEOQ3S2K3TTeLWERyIq8S3EY08jwZQm
YaN9VuqKuFXfrfgSyuKKmly7m66T7hmdTqd0TOclj169I7DEsNbglVxsiDFe5BL3Ztf7iIB0nfGV
HVvzPUun6XefkvOwrr0sW8R36ubj+SUaI3HiNa1tHwy09luWC92rN1X6YxiX5TEODX03mQrZ9czU
C+oFgrj3RLAAKgq4evaojXc1FGKvwNI/ab4l6SYdXPpd5Z1zXM4nCQWSxeKAiSBqqndLIF6siE1x
ZIQ6MnUeTC9iSNgQjerwnAm8L2RsotgiLHvlgJ16ELo1IxVs212lmTQ8Q5iMgdtws1j1Hba3Vc69
gRx0OyweCWWKdz4+65WJnCwwi0neHKnNB7fmT1AS/PxiOQrZOEBY6x6GA9GWs2amxpUjgvOtj1xU
VVkNUbNAFhfkOS5sHxvr1rFK8jsdDF096u/Azf0vrtnGRjMNJO/QBnasX51tgw/1h6YFtys+yiTA
PshyoYfJvStwhBzqRnUfvLTzTfM7uk1Wd7us5TfxNN3cpK6XbeyCeHgHYz97yNZ8HJBFjl+VZY44
98akyZ81Nv1EZtczTuem54IXhEaUDpg8EDoFwlSs/V0QYbAqPaXtiM5Nb4UYovtYMwmftczc+ZMT
VZt5ENGuZ4f/VE+m8dFXvrj3I0IUBFQmHoI5wjCRJkn5HBVa/DMOTnrUHGF9NQLyOjzWBNbUUDvj
jcgG8bu1qvkYDZXlrWBMNbepNagVc2NSoGm8qWo2YG6sdBklu4Xt+ObwdX9loStebIc4mLtXCORA
yIWEBXhzMMuNAdFkw7qXcDprStmi2dHEtKaISOZKejhTrCN5CNc94tKUvh1Gvywmx8DpydsrAFwZ
64rz8FQZKcl1mdXUj1HrxrjxNAu9GxxePHi1i2WuUvWS0dBbHwSAx7uSfKVXRuX9l8mViHVa3dxa
WzwlGk76Me/WNRmtJ8lUdx3xHDJwcfSv1I2Hz6hkXutgOnhNZ6W9G3VlexuH9E6WwdN4VBIlnfIx
IZmz5TxFpMTgq47GkFV0vmmmOjvQUccPoykI7AArv+/5CL+UG6kHWWnOVcR1uy00d2fIyoVDmy6y
VtNY96pPb6XQxNnHNplhrpM4qpkCT6vRawjBc/MpPFXt3FJxXOTlsffJQvyHfK/xqa/1EEXukoXE
YJ/JVeco/w8WTDeI+yLZIoKN1mow49fW8/u3IeXNybVSvqV5FK3DEfN5yWLjmMA3eMoq8ScSiwxw
GY41tLNXIFrwAZOk/o0qfeYEHcw9aezOfVa+PM4RETU4ZIfXbJnQdRhMH7vQTq/EZyFSbUmVJMys
lg8jKXrrVsM/50RF/KSWeaBVJ1WN759BYc+d9LuZTPEUF6UEqctUEdBpe1GoUA6V27z1+phU65Gk
PNqDwuo3Y+V7QYtbbZv1cv6KHSLSjbHXgyy36IGAXryjNzPPSjHFyJ3Mf0/cJmRuT823I/o0p2vU
bUIx85nQiz2WMoIaC+T83BMy8yzp8gi2JxVwOxM/cbSEgF7Q8cirjnrv1lX/mUC1gxAsk6+J0FxC
o3yu1AZrnrPncllbKTzzvxNOFbIBE1w+PmeKN+ADw2uuo37Ittjj0nOJg+419+zuaNdh+qpVPFdd
7BTcBFUJPhT3WAEw9ur6uskyFA6Epvr8Pk61eY5Z0PwRJNk3gDtL807QtHzUC848pK+h9UNmJjes
vi3akx51mGrmEPCWxoNmoFYDj4k2OWOv32QS7bYm6jc51oiHPH80njN7qu9ua6L31GJmKy6a9RLt
a1Oi18/Dr0HqyBj8iPpy6qoWsALV7xV9XeY8pDD1MLU5hWi3KSzGr0gO3K9sTAHfyimdZcc2o750
Kxh+BgrcUHffKochDQaq6iGiU2PBR+3gD5SCamPxs02UK26QooyN4bT2nk+yu7AkU+c5U8SdFL06
GaoBjQ8AdMPuLd9P/bK7ibvqofMoGET31O+tqyfbKCu0m51ndpASTrky3EBS4qugrCr06OQJj48E
RcY2kg/07DZMtIm0ksh4LbltxKs6G5M/hJ8SXtPq0wYyCdLKcB7YLVflNL1l3CFhLiUMjcFxE64u
mUzvSKHjQm3GyM63dAGQqkBsf5h+YtzdtOQBSoyZP4PWVbcJch56pCgqX0XR/OkyzHKbxp1K0tbD
6U9FD4qtXqMMhRqyxKKp1rbSNESHyXcWMdgiTZyV1vSVj6ADJUdzMEgQs0Oc6ksz9kqRqY5Y9571
cDB3EVjFE3J1j28Tt3Hv5/YayCI5Wigk4967yaQTl9AKyYGKhEkYIsr5BcGQHWxZlif82c4B/AaP
g8bQ7ziT34UlMbaWYwo1SSUhjrj5iqOq403T5tPYT945iaZ4zdCj3Rl+qH/HPD7ftUHoElDWquDn
8+aEKtk+K25QWwe+7C2d3Os0x8aOs3m4ZaFWlqxtcXz1mk2MlkZwC/k57cU29csyE/rQYR/gyqwH
w4KfW6YXOrsCIQP16hy7nsO0q8NEssLgHQUAHIB0ueOMIErNcm2Ncf6KR52tqT+0zhOtQc5+Oc7C
C3mucAIGt9tLwqkAaVkwiDocDV6IHyXOQ38lUbchGp4l0JCkr9qTaJklYpMww7cmAmXWtXX3QViB
fiaBJuuQoAKG7ISyn6ykb4iATdh2Qh+5xuyHznqNmpf06so9sZJ391aFt9pMpu5US70+JSLxbo6R
19tygAq4Ngkdfp86JS8M1zq5sa1u0Uu4RbZplEb8wSzqdBOJCUIk4AFpRmSLR6b+o6GCOahwDp8d
KtPKcdEBcRzNcMJmL9tGaR9tW1ufL37H9A3HQAVoNC2885jJ+mnWRgx9hM7xrzSr3DsIu79GlbvH
2q7TF4ctrU/x7ohaQT+M1KTi1Oel7i7cCUwCbIkyW+u6oudyxd7qOMxkBdYFWAzXPQMvt6m9eBJB
RzoN1Qos0hIHCT2VOOh8fHJDMw9YiWsHmTv1Uav0Cvhn2XzqJOGtUcWwDGLRQjHGrTHbO6xdzQWO
uESG7jFVnMGQLkoOG3ukVzwALhy2Vs5xui7jtJ6CyQvlRlgx73gFKi1wvCnc9VnTGhw8kCgMkhZf
wVwbZE7DLMh75IQrJlcLKtchHdclIY178pDU94wYR32b2B34zNlVabnVMHhXJ4W1l5FsXZk8tww/
eiTEkfZWYr49enqcMnumic6CmLi+G7u2NjlVrpM8x+4MtCn3NYa9s+3Ywzptkv5P6hIDOveD85mZ
qI69kTXy1i1zrdmk7ObyrQ1vgUlIAzAP5yUc86D3PevWwX3MgsFPIGRknl+/9cJKv5WmT3Pge4Mu
8Ba1qE9nRv33RMyEH1vhsNNIY78g0EvAcwHvfSKHgxQvE67WtR4YxFlKoODO5IdtJDVwOraNcKD8
T62yYuQ1IzgYy7WOnWcWryi60PCU3khooRObGxg6OYMUeeBTmDedXo948jsXBmvlV89SKsKcwmm+
M760j2hr3CteKkYMKRE1D1E/k8wiG8v7YWrA7jIqge+hdWV1oMHuE2vCmNs9M2R2/G1Uje8J20ib
ywhSMFkId9PHT0nt9v06KoF9ZjIsHyKcSyJz2mxt5u54Dk1Ogj3EKyxwyRzLby8G4RDE09h3q7Eq
QA0ydbafvNqyIOAPE84BYCELcNtiUrtWFfDctQVYf8sxQuqn8OWTRW7oG4Pz4Ulz+nLCIgtKshTd
Tna19WLBSL+wzBTgrzQolBVEEBAvdnohDIQE42rwIA4SVPuRjE5+khqs+hb5asMI0ojFqSHmXOcr
yPlnDFQbVA5dViBhN79PM74rTOXkUcb4SXZ6nKDC81sc8S6yX/xdfBBPFRpQLYhATf6ERgxGOxGG
8RyFDHrRtuvFc0rQ+wa4Axdo0uxsjtMO9rwfc5EaC8t+bCujuzVRpd9MxHcXkk1LHIxh0nzMo5c8
gs/H8aNQhZ31TtMZ45RdSlKobIwX5GImiZW+A2OrSVBmdz3zz5WXFu4RNnz4C5nG/FX7vDybIaZh
Wym9GcK1mjHKOxNSL1w1Kn/jaVME5+YJJwFTz/HS6Vb4a9DkUuB4iWyD/8h1LfOAZGk+A1dxj3Ec
gmNoiu5EbecA6nz9pxM99Ge/4uQjKUF7cbSkZiveuscxSpsHMUh1gPzc/+l6kewcHttmNXh+42KW
GsffThqincn7NXeIPA2kI8s9SAf3aFO318qt8mcxKvuomQTYzfhTfkq0MXUwkzO2I0i53Kek8tKj
RUXzZdR6F28ihC03rkhMvxelZqYs78mjO/s11677PJst/0Avt+0i1bxHEoJS24UT647E7bSjxAoO
l7aYn0vcLb84gQrkZu7g3zWM/mFQktiYbKouvvaF292qKrPZHlBbSqjTQsDWkhLxvJtjLuWHjBBF
FBxc9+qMJdMEKND958xYbTmQlXnGB9ltQ5dbySoqh/wGeT0D2uSnZv0MS3p+GjNWbDHNzQPZEs4T
y63ykOsGGRomEFgzG1H+qoarhqjaTdsa8WqOh/BSqMk58mMRDvRG+x4NojT4v+9xqPARJdX4xZXZ
e+wRcV2nsfhpDHtdZD2Z4XGFmj31p7Mjp+I5GUDGwk6ugjT2n6eEXI/MyW1ORkaXB9khc4IRNuLb
M3VnSQOlr3BcXp6plmuRL4EZLSAlrDiAvPmEmHBoSREeJG37pxtXOHh1HW23sMb2JmjouQnktqaA
b3PKqXGsjwkGRJzz5JN+RNnYPrBd/UU2OHr0Wnb2JSaH+TwgsHgaGWd8lq4n7FVmhBGp8D3rm7jn
aRr0aE9VDZccHC+IdGYKWdubSHlDBWtGb7B5GVUHR4yxe7tAVIapANlmRic8CeWbFXFkwfOiZYmZ
cGb/l73z2rEk267rrxB8VjS2iR0GEAXo+JM+s9K/BNJUhfc+vl4jis3LpkAQ9wKCHgS9tcmqdOfs
WHvNOceUaiTBhdpSkuyontFTu3POz3cf1V15miIKTIWLQ8ubhVcesbrYPE3DCdGq6/J3RwctCbal
32fO7P0aaAa4HK2Vnszj/k1QrAgmt89IPaR4GS+gRzHIugm6lV56bjBKRuNlq1pWOXmtdx5qDuve
ynxUxi7sbZR11jmwQJPb7EjijWGPcU0gk0POd+tq2nRt9IMAojxoX46PsTvZ3+U4T5+wF7vHegKn
sXHSaT3/QdVeOX7i4RbV0/Rep+iXG06F8JkVKaPJknPHg8HFYTz0HvaPnPgGD5q0i65HS4hPjPpe
vh+rgFaWZubBNRe+c8YeJoBEacBpPIPB9VUgIWfThTy5irA8N62pbDrjFBS9JMjmF6BaCt0m8g9K
VTzzizrq9oFDRA2MLw2mu86Nl2ugtJze3ajSC9cnDI0JkVy6SWf3C9sw5jFHoPjBZS55Wil8wNZG
+jO4JOpNiM11Ou14mfMU2+SFk2DYdaDUXfk4caGnp3ZIVxbOm23u2PIpGxp0FFWkl9Pg4q7pAouA
Zjbl7s40q90GmYp+9qCP1ROarSbpjCDqbvPCmO8aKNtNhYJ6z8OL2SXjcbkJDI/2cydyme5ctUyv
7JuBTMBGeyQ+Ligx6ODhhaSLtzb64H4Eob2b4kxce/6gvlMSlDzEMv9AKT1F37bsh+BgcBFsfZbD
l0su5AW8mOlmFijeWq5L8jxaszaN2hPck7yzBqgkyXhPbeQdpKyR23X72jOEX8xBkZ09q7D2XSrb
3TjXw09Z4XHsGSduoK5wfi34Ml1XFFcW5mECtvwToB9csbJvxauw6hikXZRep82I2bETuGnraWhj
QlGk3ftqIXkxFFdlWnvI6NLa2yrIz5l0xVdWkdoLK6+5yvsyusUdmlBrGo8xUb1x+WpDjYFR+u65
WcrxxLzOmrikOPnw28fxf5pn8f8cx5e3svqvkRcf0Ufz0UZd8/FXZ9Cff+5PZ5D4g32NL4TjA00U
+GD+5gxSfzgGx5+QxqNoDJPP35xBSv0hFP8B+DrOQBcLzd+cQdL8gdRqfN/BM4Ti5tn/iDNIit8W
nH/PYPB3255NwEFrjZ8RlxBfxV/NQYoL+tQp/P0zuzCwEyxGd7w+sSMvEWvCtPPRE3PX12yEBnaT
HgNEwUJ0JclbMCj3HmA0LvKtKV9zvIQ+MU2xfkTRqi9dO3KtDtBnjluRb/DSTyx/f/PtscNk1b1p
4vjFskHA/BBYA8p7lqlsb2OKqmiDsYtx2BCkBA5lZ2PDQRlVPuXji4Pe7mC1jQGHKbB9/1oNMbNs
c0FoFuEdez75SyalzX3RUZTxpL1/rlfyv0q5fiMTLAMh+mi0DWU4sk5xrlTjlfhdJ2DWZgGcRONF
h1bk7RpTDsFN8LuMoPA4gR44mV9B+M1EICzBMVa7aq22DWjhnuKI+XOZGjsBz6RJmeIbJNXI1MJJ
D1sefQIZmWYEjyjbAYcE7Qq0MMLiG0k+MNCTmdmHtEY9OXWrryyh5/CwEOTKTpaHYH3RTFWP6z5s
kXQdLKHkH1qfPPS09kWoTqYgwAXAC3hl0a5bKyZoJce3nLEgk40X3UOTqt5a+ioMEQ32uYxb/S71
c+L/PvMf2Q7SBj5g1hf+NprghrC5C4zllWes1rRnLL+bNNg+2A/pTMrmuvjdteFkve1v8CzQwVHM
bAgOY+kwC/HIMsu13bkNQRqXUpatGBcCFg0JthcYHGN/JKkCGpPyoNnfmt/NId6ozF0xTdAgYg7k
4soTHcuuwc94qCIGyBPtYcB6Wyrg/LOAIVJdUi6C+8IDfTZA/BuLk5q8biXolarch4vinzuECmo4
NN6Fw5ymA2XYc9nOe8YcJff4/h2os2E1PbZRZGWnZKJwpVqrV3hoQIMOm+a7bAM5XfCqQ3oUv0tc
SE91087IEvZGI/pziNKK3XVxl2YrLG/IsbpzhV5NRZ+VL/tpZQ0wIURT2IK+9BW/sZm76AXIOwxW
RExTeKtxdN/E7p3LnvWpbXuMNl1ANDTsZXRBTIdCvFbm1YtXJPKB2oj2fUE3uvTBTwyl6mqCD5an
fgTYSVlXZnGnHumwx1dF6IK2m15U84+40Mt3HuXL9WBEM24znjPytkFnQw0oUxqlFejk4bSIML9m
r910Jxx6XCpFMuRvLPjqWwRbAMGNXyFwB8LHGGUZbT8SCq/sjVC5g3vW8nS3TwG1XtldEZHCC0FP
stgBPXbZU0sN+yXM7eumkj1M76icMeskefze+RCN9zSE82qX6JBbiRLm7UrIghvincGztWTBkaUK
JYATG12a5PtN1kQsfgOi3P7A265uEw8tBuXkbc5C3jeV35KqKg26tJ2DKBfZ8NiGDvubDBTtJs78
6SK2bX1HVxjGOtvXyakfoFEWscxA3ggmmhPGKPtJ5ml72c5j+G5SRaBp6TqYWeyMXVI9mo4WhLx6
PNCzE31OlbWi9/DmYOAVsuflkdWPMRbzM2BUvMB2VrCSBX8DECdwney7MlFzoZvF11QeestzL8Pi
i+X14B+GTE/hEX3eo0qIthD0znHYw6Ubb6K6ZAzGi8qACixx/FGNccAtyMy0HUTUALSE1/KaQg4V
VBcDPqz+OM3MReRnRJWQlLIdCtICXqtbI+r2ZWAVe4utjXQ2O+53GQZu8eQl3NB348QbZeMTDN4F
FjHgnctj0PvKrVlvMg79o2lGXp7RC6Xh4rODL7D3VJnsafxpDn4f1Tuy5+Ay/DzXlKfEfEo7jOuT
Y7cUYbWYYzn2U1jKNU3oxWPJugnzt41NdLCBNeazRVfdnPITddToDvuCXRPEBztJ7kWPbEkoSlFz
4LnGti7thYimMwTlcApj0afXtg6WrRdy5GwTqfN9pWKWDrhF+jtSH+EjlSJFthvCSXacF7EPCMfU
vBJ9U9AhD0xyfPJnVqqcVzIOkHKwzFMTZzv32URweEuRIADpuC+qihXE2regTFQ9xLWyeAAsLka6
qIph6Ub0dqjz6rnI+FHEzr7gNPO30o2nS5iF4sSLeSESXtAAylRexduB+aA9KStu2DvXxj8VWRJ/
O0g2LwW88Htr6OIctTBevlJQMM2mdA26w5T0Xok6G4M3QIxcYJzbaXpqTYYOFwP2BpTrLMreeDS/
3wUF6pIY0zy5w1hIlmxutCbKRhsKBjGAK6t4cV2KarR3XJy4JNopR6vfexpAsRvmN5NTxg/ai4bn
caaAJJ1DXx+ERW8pagwAvpA9wHCd+sv8OEDJbXZjQlfP6puqKzIzvffTHe0ZwkMob4IRoxJhnpHq
vXJJMfQWRHfKnUfF3UbGUxSA60mm+WT3SeXjPcJHAOUHzxBVXv4bnhNznyjrstZJjMTV5XAZ/Jhw
Mz7LXUBZy1FzyO2CcLBOCdcLruKknqts2LILdDDzYYJ6Nw2danQXLR6+rV7/ovHtN6MDeD97kogl
/pCexQTBijOGXQfUxx+znRBJG9lX7X5zT4ZJxQ8sTtwLWbtCHQdNgVJOIBJ7EGIiOYww3kIij6iJ
otNxY9eRwk9hYAC4wQLWGF8tPhWaYeyMxrz3SHbhlTOk5DLLaDlNuejp//TXQDZ3LbnN+KKPSch+
cINHG6dtFI6XVjSG9lY4I7k8N55dICuxezPUVoN12Q6/7dGJ3vCyPFpyhXOpBJj81h2a8hBP3FHz
yBFQAl0IhZS4scQgarko+g2KzvmsragSR1lkyroYkuQsbWpIVBN497ZaYMqm6GAZ6XCycSh2N6S+
hl8OXJyR2SBV+a3TRbQURskIbMyoJaVH1Kty2PtjKU+lnU6foQr9b7SoeCACNxbrgk2W37XRorkf
oaK6eywjrn+BfSEEwOBLfoxh6Pcz6M6g+tZhhtiNXz8azoHIbJzGjHMgxWWZ+xcFOu2PWnj0vcSp
RR2V35bgZCYnX8DD1g9DW6Gjm6YeUOL9cb6fXY2TSC/RtaRs/hST6RU457BpNRGPrC7rctqF7Ggq
t5Ti8DZhEO/u4qUBEeaF3kWRWDHAiFHfCttGOMy7EVLXNGGAL6ts74ss5FnODPLd2Hp6MoUb7Xt3
VDu3JJTHwes9W6DJ5w22eq87ewR2io8Zz3915KD1H+c4sfEJsj/chHZT3PZ+Wz/3E6H1hKo+eaHT
ObtqVQn4OatD+aKELZ8dZrWbFlc2dp0hpNoqbxwEdZYA2R4nFn0Pc4U/SaeV/cUDMtvxyPLwpHuW
fumC9kM1NaZ89CBEvlCl1S9Kt+oXGRuszZKybgvTZs/AAdijeK7DPnwkSQxQGqtwtBHMiz/GGk2T
UgC/Vq84YTBF1ks2fnV2zoaHbpGdDGIgdfn8ISd8+P0c/UhSJc8EVzn5WfzAT0YE8J2TAC6zXKUk
MecD2NY+uYmhnKy4WctNEG0QMU6qah32DJrSHM48F8VHyMILD3HdV4eWePmEDRdad4vVwWxJJCsq
NlKShQoa2iaa0+qhmdvwgdf+clqGBW9qSmKk3xVL31OuEdtbUHfVpchaTeCPqQCF8Sd8Q9Vuq7VA
i+VZYs5tQovgS45LiVY5Ra4BRXO13C9ayGsMtv0dJgB83Em1YWEV72snmi5E7pd7LQjbDu3wnvZj
jI7SUpPITsxtfGCmxoAp97uH0QqWY6hU/Frxs8UZP6EvafDm5Sm2fMvBambH8V44kU6pQ7Sstwjy
qHWRrJa7Ta9z92nUA5xA9uxSb/NmoIk189wJd/gQ3YT2ejkr3TYteXr7tJDM8NGQKvyEX6FZ3nSM
/0bxVThoNRHuF4+fd7WzddUebd2walMhlomY1odb4NTikQGXExafDsM6G/eLQJfTzzyo54Mzu9kZ
N98Snwa/tK+5NHgBeLxKfSZlpXegRXOzY8igRinCZ0IbXcoub8JYUm1gL1C6QDETnQA19Ug+v7EO
34NOkz1vZsmyHq/BJ29f56pNM8QplFme7gN88lMQRVm1GyLSELjjAYkEJr9VgmFoHyCHygvs+oFz
4EYs8B6BAeZWxfXGITxKO4Fvp+rdYGOst0vXc3+l1ApEGotPfCiB4zvzUxO00j5ZnfaTQ9wW0fdQ
N+Y8RL18w7S9bolMc0orjvlF0UW2MbPDWUNCbs9CFhOJ8TApI3SQAWHDhhE5V077blt1cIt/zhzp
04ieKQeDGR/OVZQegiRz7jFel+1FXeLQ2LU+fEt4BgWev3xi14kngiazQYXMNQaPyK1XeVhuwy72
v2Nfez90Gz5FJPOhlycOdS/o+rx0F/dAOk4cIc16F3MLrNez6+JcTTE476EWOyhbDuQg6jGz/Rz3
7UMTAF3XDZYGQHpx+5V0kdMdfOV3zcntimy9snffFWCBW3rFQRnmSrh4qcow5CGNxPVhd6PYZfwe
ftmpvTxQjc4uLoudKzqdHdoUsRHmUTBeAzW+DF3fUKdiShTfGvZnajtfbc/AkzrUZcDAopM74pak
anFsk4yJd3D0C0SOb15uFInmbFd7JyY6HVMnE+ChzWK2xnnChAxh6camEOYiNy1f0FBWdx6PYZBA
TfjOTJFjx45BQNrpB4l/s6cDxzDoF3oXzwZnnV2aM0ZTBBFk/+OaBN5ycFIs0OqjjAv3mzyyPAWi
sc+6Sk9L4aEiOH2KiXSqikNCIc6PRsr5knZD8YmYV1yy6Bw/+tWbbwcpdYR+N4vplKWku/cckuPX
0jskC+Gg1lvsXR6yUM3QVSu+9+0A8+TDpAjhe9JM5grPTQONi5k+dbR7TJJqPFX0qPIyqdK70dPz
jUMYvdkYgNpX4zQwFXpjt/ycEyhgLIxWdLSde4+zcRwacMhaOW1hcycGmjxWqUBqtZOfmTU1x6ar
fz9MXmu/7QEcUwMAw4tDtHMSgCuVpirqmJd+eELYOtYZ9t2iizBpaYp+NilWzyfG3Zoi7LkF3vP7
zkH/5q6GBfjL05FPO2S5PIxzsrzJLHQeinLuJygYSbutlT23QF96CViQ45LNzdGU2XlUYXWMMLfe
4jiVfEMTyoUyZcGwQ9DmoKEDbkO3M1dDxv20d+36lfTPpQsiBzkarMxD5tvdifqO6R7/GYsjEeUe
Wmv6WmdavAYixzLeA+dDjZJ7u8ADV5l1fdaOuwrH/JaJxtxFtVkhNXF8ATmCWNbcnwhF3FDCOEK/
du3L2Sj4qcpfdthza1qZQcFm1IPSpxwSlOJhTGBGMN5h2bvioEr2vGW8l8LCmkiZVA29WqOn0Jv4
SNe5PxxjHK+PjjO1B6hllNLVfm9uvRCTDdklZ74eM2vcc+Li2dRFdpg7kjzLElbqcpJJ1RFqIusW
RO2blXji0Th1RzMFlQlPeA2Z9sJUv9RTIo5YWAS/1QVsAcDzbVOE3R5gR0KbwTQyhowA2wZjDHPO
krqfU0GrkcU3MpXogU635D+H2Q2OnA/lQ72MI+NQYN1kGouVHYwvpPiHlVCGNZ0YdHk0BBXx9xBs
LjP3psKvjGuO60CHZ4jrzSYYwanSbl+cXdEQ1+j0HZrDuCUnszCQBfOdA2wSAbybt7LNsHyzOElI
fR0BNnRnZ6LwCkjY4jw7KjdvJrW2CLc8SXBlXbp1Vx1n7ht7a2awpU7ZzJ9LnOkndH/xi1Qddq3F
N3f9Eh8TxywddPE5Ha+jAXwqf1d0wqn1VRupWqAI7XRi9J5/RSjkd2lr1KlGL903Iu/me5FiZujn
4jB4Hcj4mZYRJqkFtAHjsItJIU1iehk9Li33QsPQQ8mXPPT+f+T474ocE8G1/8t6wIeP5KPtoo/i
r6LCn3/qTwaBBzHbcXHcaJgCf0FpO/4ftqdd5RhW+b83+3/TFEgbS6l8ELMO0gLsD7oD/w2lrf/g
asHOwGgt4DAZ849oCp6zpnr/KilIhejEpgcUj6t52/9vDAJWAhOaWdceBMZQaIHB1AbXKsMUylhY
OmcGazbX7aoyHP0kodO5JkpQ7HKaeECB4MjksR56l2pI9WHUk75y4MnEW2qDmmyLe6datsyTRU2C
KVf9lZ9Ph95NNAam2h27I4sK1NJhYFEUhsaClBfbwTXXDQSEGJHzDNenonq7z/Pq6FAd/LbEE7Wq
ErWXNA31J9TF4+Jpt6IIwisqnp1PXdf9nnlhPE6Yw+EGygV7ugfDuOKKSsq33Fd1nz6Aham/BiUs
rmBTlj+JLHA+0YeLV4W232xntaYgc8MUeQgxRHwPwk1eMi9nYVuzroLKNJL6P7q4vn/gM+yPjAOQ
HoVb92+waAAEsYt50x4q92ZkPrjBGdigkxZy1W6Ljnk3VQpJAT1cLzsnCYmHDDmrIjB4smpxXOjq
lhaDmtNI9v5bVUrg3aLweHTHJSCe/ZjW637S5tGD6LtitGWyKszRambwgea3rc46/tIBVqbFI0Ff
esPcFscWX608l2sGm0UvfuO+o8GLtXvLNwD8H3rR1OSHOimST931KUqpXd1Rdmd/R1JOTzxIEDN6
ODjFZpzq4qJiH7QyHMiVBdlYPedtkR2HBVjXFiKTG26KuWYhJJbePEd92D0T8Eh5ri9+7LN/t8sH
6WDI2fMVTM/D2GV3UBmje8TcpDkEc+eforhrj4R/wtcknFyDzQDwncfw2RMg9NweSxYreSCycpTW
VsdwHg69Fc1Ezewh+TDtgDfALzGjXkqXm9zGUGrJ70zisAB8zRWmHohHBJ4DLI+mlXqgcaklFNvN
LpcSn96H595xEH/QdKe3xOm8KwhaONZivwn6/dAFecULdibNiR9/pLGtYWt/HPOyodpopMBq39U5
8A5Bce/Rxpx+RbmRWuvQvKc0aanWwV4zUKaAD3HrD/lyhwtFZw8TgR8swK0+xbWj7yRPfVR9EYEq
4o5L57T0ijd2gJC1XYtAncT6/cUs6hLXyz3r0PS6u4iD2WGRNK1d4ygue78onTc/THBJ5BJZbVv2
pAF21dD741ZXKjs4tWrOnp46INBN1B9EKfoOUKqlqUQZu/CBRS3ryJoA26vgKvuScMP8dAbPvnTH
Ae1HYD0G7jlzQy29lx7LPe5ZPcI+76T94Rp26rehHZYOl7sxw5kzZf1tXSzjTNtvb180g93AsMwo
QTropupfTRm1n1ESUtCUUbiTHRvOgeRA3hn+YDqr2VDRLvjMgRhwaQYOZTGXNVYrsy1jl4E5wlEy
bCfHr5hSTR9SUZlqCKlcLUcQ5NMabqxU0+GnlFzpy8DjbR6JbkY3RTFh6ccL9qO0rZg9YmUFJ+VH
2fdc9/KQ+KG+KniHU0jFtPDFfam8Ye9mjpMA/g0bBaiyCrT91XBvufWIptuX7EPi5ibsy+HdWvAo
JLgIt1xg/StPJuETryhm7dznVVngHDjwMJnf0n7ObmqqhMdtg7bh0ogaqqORXUFKzR2+koY4nhvi
550pUwJPSy/Ark8wOVzmnRycqzBzlh8cNgaulE8QwEss74ZFXcEnoIwDRn+VvsYotLAIO89lzZLl
1kuNeHqTDr741Y/R0uLog7+LSa4G3M/7G/uXKr87Xfs0VdWx4iopVyaKDQemY72fa+vQD7itj3bR
8DZDzSWc1hUL4aHGnbuTG5QGP4fM5E6OLABz2oJ2dtt2xb5NiAPTBPAedjI/6SymLUhVPVb6vvrR
jwOkhBazJGOh9cPmOMupoa5dfOTpwo2T1aza9/MyfBgfYs0pnnRx56eWwnq4zAOrdbzFLkgzUMgu
BaGSBexeVrosTk3Q2fEPAYTC8LFB/FyzexKbPiL74PO4P6eTyrlQ2EvFcTQK+U0poHtb9pl+t0gD
3SlAWgeNZek5C3FO3uXwijlQVGigfpmxeE+yfEITcCa97ccKZQBb7RZVuvT2SHZUTQ5DNrqPodUP
vyY3VjmemLxmvW2T2yLujZGG/AiQMqpOuy1ka4Mzu3TzPYtTJDIzzHiozRLc9Q2Le5CorM13kBU5
tWxLOi+t49g8uNOA3RsNQyr3AWv6ARF/350ulaXUKeyH6LHMVz1OQuSrAuIEQdr1bxDJR6g/eUme
AoGO+MH6PrQ2XuYWlGg1+rargSpjw91pp34pw4E35ppmiNZcQxmb4JJCChhjU2t/T2sOAoIQ5j7D
urIbqnkHPf49BScFNM39aQhSdKFtcaXOqHEPwhxbNP2PCTUfk/3S/Q5klBUn8SYyrd9uVAm/4AzZ
EijfbLNvOo+/4x7Ggle21VDpyZ9lM1yS0M365TA1XjNtpsj7Ln9HSpTs5HNUedaCJ74jOTKmmTfd
LLx8vgMM5SUmAEYdO8rybu1FonCgo/t9wcp1SsPE2qs1+tJH0JL6iUIPDCfU1pFKSMjVZ2KPb9x9
SI3E7z3QyhBwpfrKvVj98uKge8s83e6mZW4/LVx8W3q67Hg3gp0E528C58Z1ILQV/lhwq/+d7BG/
Uz6k2TG52lFM8CMYh7gEbrFmhEiAAxOvvSKGMMkLhpaJCvzRPgzW4NHQhNO5ii19U7OAJa05aRyI
pez1q3IpbDr7i25/ejUM2NwhgoqkW2XnPEf4w/ouBpZHk/BulyXjCrIUjX89LpV/JTo1z3T09tFn
XrWaVXxjcTsbsGFXajUyoxrP70KBadvNNls0MiMe672ecnT3CMgAXnoneubQEI7mMZ9NQMadn/I1
3gjwDj1p93WX5FykeRNsK1UiVZUsap8ZoiCfpL5UX+AymtceksFFxr4t2hXK447MQ2kiv0i1CP78
RlhbV5qALgItk9ve5Q610Y7pdhVkyWUn065xrugzytk+SI8lG4fdYRyb9em3uGTfxST4fCpDnjcZ
b9PtRDM4+z22daO/lM+axYsLVyMuMam5NCyOdZ+cuKvV9wOLLsSxUDXznvQ9Q0FcunNMjioAPpC0
DeXYrHU+DKyMe1XlzkPQNtAlA+V01IkOC2oBJE1eJ2iNfM8aguJhaJNdQ5nYbuiimBw2g+k9Gbvx
sg/WPXYQyQXSfbSY53RkKubIiOaKdQFRiL0XkbN4CU1S/lRNjgSWdjPHRYjlpdnj6lkqKmu77INB
AbbIMM3hlVdVrdiUNd30bB98OknTPHYLrHsJwFQO6Lmj7jPqntPAlrTH8oy+7UsylEU/4P/A/Psz
7418GNMhaney8rP7aJkoPqiF/0xqlEXN4Ps/ez2Ip9nyxkvPGOttFgFXYICKy/1YJv0b5y/jgl13
pGNAfCbHvLCROUcUzLMowvmljGdEjp5nzIuDFwcDcGqzpwwzkaTHsotBwuMhgCoOW6DKmJQFJarC
yphi2hga8IlFbH7huANr53KI9BkDJHGNWtAiR78XT7eNHUX1fAx0FMYXePXTS9Pbc33ubdmSs01o
1NiR5fJ/DRR0frUN/TCr4liofctd6tlOZmikTjROjcTbX8YWyZkmsi/wZzZ4ImnySQ6GBQmNC9R/
+dZH2bTuaU5UtsrFCyGDc1QglE5bPFPVssO5VnqvLGGk92AwtbZH+i0Udo90ArmBd7X/MOQI2xlX
xWHsLGDCU4aTESaPdZxAFNBI4ihemItF9oYFL4UWSPuDvlmqkIFVl2i69Nk/Ys2olwvKgnBV+MwE
d3CnVwr02pygrlDurOAYUZGd7VHSwIYKVBC91Xj8ualkhWnolC2iuq6vo6VkPKrKGIOJklVu33Qw
toMLQ64wuvVGt3dunZjE+Slp6dzEfF/cdy52sSvPMJOw+RKK5T2VBvrQwqCPzwbJNHmlKrLJT/SQ
0JldpWDi3vOFJbSPOORsqrk3wTu75CIgbBZKlyGp0wFm73hULO6HtmXMbNDpt1LNMUWt4azEu3YG
QA1NB3cEIbhSOwKGs3/F47seT6kn+wt7zmWzV+BbTqVQ0OxD9C7GQGf6ERVdnp/n2EnEimEh7F2g
UCXXpe2O7nbJZdlhZlXtAZl2sHYdqc7jDPY+wGqCweJQJR7PLr8IwJoXNSw9tcE5BN6EJwORMsty
svZtShm3q3qa8+sMm6K7terIoO2iJ3vVRSGK2T8FCATzpjO5Gz3zkHLasz11BWOOGMerYdSegFcT
t0P+FJFqSD4h4g7lfdh34JOdapWvoX1xtWud4Q6crP+WMNzZGzDHhLSgzLiIkk08LycZeu5AzQN1
m3svMK69WSy3O7hIkNg5vMa6jPP0zU9oHYVAWIV3UVrxTLSD6t3Sk484IJa7BO0uQZHod02cYucH
lAxhadGAf9LJAQYbB319qbqcx1QRWcEvlnmWgk+fcDNixYC7A2jM/DWHmCTOLT0ADKxiQFCph/5H
L2sUSge/LtfLOT8PkKPszWhnD7CwOJsKv00vQygZiqmFQAx5Kbbi29AKh09yT2DJpfAwp8C6R5+c
uQpnp7ht0JRaclfPGIFDfh/eWjCaxSHNfI7O1LVPRXq4408DHLCLAfZVnZT0OpV5NAHgagR8jRAh
oeboZwHImv8J4YkbU5pUNL1ZTgHUA+hp5rjBlVtB8sIIukAvykKDQr/kVCSZLNQPFC/bx7hK8nNC
TfFCKpUfhzM6zSWvy+6Rn7wPDiqkf4hEPHGBcWnPFdTGj7AV4fM8x3Sk1GGXHGUi1QWWSReziz/D
PvZkRvxhcCtgv7kntm4pRY4KY3CGF3ViZTd+39N8v2gvxwLON4aYnPqXnrPMGGBSapjJlQXwZiou
+7s1yFavxCKM79hYxLAbe4J+O5tk0f7/rml6dWd/oTs18dqA9D/++59u7d1H9/Ef/gX8Esyj+/5n
Mz/8JOrV/VsJ3vqRf+///Ke/a3EpGQZ+/xD40sKf5foJ/vyDNx/5z3/55/9JJUzz8U//CSvxX//k
31CJxPJ81/joDniPNfjFP1GJzh8uyr52JIohRuSVrPonP1X6f0iHhaKQ0pWe++/0VImJGos0q0vf
OLYS/j+yufxd8vfXxeX6KSRebLakDiWFzooz/Pp4iIuw/Zd/lv/N4dU+yD4hJNqDB/1BItp7XFyr
qHYkD51b2408+FJw42hwncqDLbpkn3Wh2f3lx/afgBM5Ideav79+JXwZrreuTw1+O81O9j9+JQLc
ChApn8SApIaXB0u/QxwOzkOYq8c+jf2ryeF0Y9ql1w0OVdkzRsBdpazBnPhPEItkWh7LNMrfcZ0J
Di38XZvMiUmrhIG5Y/sQnBdIErvZ9/ubiDYFvI3YjPY25rX7qG0sKGnErkDgNZzv1tJtpzAL9laT
jjtt3JkmEaKBkejHV6lsVyHGoVsm3uxfIkManGDsb7cJH8+01E/yzJsPUopVKPLX9k0ea+vkOTQ9
bJa20x/CiOzaaErrCW9yc0IOqy8nh+unQ0hH6275lmljHn1eBMdy1gPq5NjexciXCb7KNAa4NZaf
neu1Z0jvzW1kd/JClFIxRNFM4SC23YWEkHY2fRx7keiLrMRmhkDPpOuET3jXud4kqH1bO5HOq+xp
Ni0doZ4gPLNmqFJ9TgpNvyzmkas6Cq0DHyKO2LLoex+j5tTawr8KLT2eB8/IXTNnxDvDGUJc3V/O
nbWWNtrhvhrrau9CDUEVrAt9AN1j9uwEuDcZp3s0sEB2flzqnUvf2g9o5uYVDTfYYzBp9roR6GGt
XvjWatbQjKI5qbTrME+Tx36crJdxrIdDwkhyUiBGQc2R3KOVOsGi1AzfdZ5AO6Gn9h7tla1d4Fj9
9VjlzUUcansn/xdzZ7Ict7Ju53fx2DiBPoGBJ1UoVM9iL1IThERRABJAok80T3+/2sdxw9ceeeAI
x56cHVsSj0gU8s9/rfUtn7j6PF3drD1AgTsHLcXO6YwViz31TTjc7jYmTcPbleC3XXFgAeii0KdQ
4b5wFpySvY+hI1vKAyn3SCUsx3touzQuMbzlnB1Z0oK/6VU0VV1+ICacRc3QtQ9NUQwfuUyHveqH
mog6fE/AScZvsQL6DbRaHiov1Lh2eJ5yHqvYvWPhGhZt9//l/0m7IdxPyLo/VjYMMMYtvVxTd1J8
zdp6YkdpkV7U881ssGW1DSli7pP5pgrVLS8xSWbVuO6bdBieytLz92Xprk8ukb1duxKRqxyQndpf
aZ1eckU9rp3u0EW9HYYiFAVkYpwRbRp1yrS3Wgz3YqSmeS8ViMswF/gVS5ptVFj9BWSZ7qwprF4T
hrKNWDrBJo0/HUesf9BzuF7mbHaPtTcEe6Vob3AYqDA/Vjh9KwNMf5eawXaekybqqD06dMCEduAg
ONCFVxNdKIIOcpfjaVJWrGIeKjbHkdHMuFVUtVCwzCrptGTcTEZn9m95bzjPep6QO/qHuVkZdGl3
vwa1u+yBiGogx751TYPsFvKS2QG0vZljtS25UZAqVONZW07+tbDO/VsxxWzvFn3MCmtyWawJPoNw
iJzy1j84uFzYv2qIh5MLIVRpL+bi6t8Ij5jAkrzkOVUAjOwmyE8+1SCHYRrHr84t22fezMGxpOn+
p80tF3cseKUw9Ssq+/KRdY/npn5xJAa5nXn42VOIkWpTb22rKcoAPmMoRqCJk6yYYjY5QfPASDRR
ENMxHbMlo18bPF8sUwqwSIOSI0wS6mjQMsTAosN06HkbNXg4y6FBW+cJcDAD02mVU85qezjVNw1+
K4yFOQr7Z2UF45Nh19S04B3t3nvICiQokxR/Y8d1DyL9lQvdEvNOo0FvGdWJ8GX2CR6WhDK2ZD7X
DOgDOOzwDpCBMrDlEowWljWFdxIu/WM7pwm/l8Iv0mOjVLubxkGdAgoOP9w8pFxS1hW9jwNFolC+
/D0U23m9d1A2f/O6oNYgwfPzV/Q0Tyf4nz7gho9I7fWNARcFfuoPCkojOXTf27DigTvb3F1Vm8UP
Bz7/q/tZigKzj5+l9YdbdbSQSa7qIf65YzLlwXapKgVm/w7WM2xEwO3QJiVCw6StfZVM7nz05aLD
S1MlVvHtG14/PkOYcF/SpnbmeGiM5lfPR+FXktjqvS6pcmtTX4EbrDmgQcPy1apwnd4a6XYGh1Ti
vqdafxRVaJyXwJuTM76Kbuv7Ew5BDyv11sydydn69+efm5vzrOagCohfqn4748b5ay2298xR2NP4
JmQpn9iGUqEtrPxl7FpGAsIbII2sFt6qrsL2b1oR19llsIV+kDJ0vsCiLsehYUG/5No/Y/wOvsNK
0A6a2KzwjMDyLol04R9gAmxf7Mzzr2rmu1oUpdizA6BVrjfYcBaMqp8At9pnl7f1y1K17UEqQ8dp
n9oel80Mv0XoBvOVLnF6kkhQ4Y5gdmEfKTaDnsR7nyGd3HorEfKkC5BmOjhLW2LUxlW/IwWSNFsZ
mq35ow67/HPy5GhvuiZnD08x7eDscrrPfvpm1qob9hmJLTVX97xQGZi70jK6HgdaaD1ZikSwYdHG
mE3e9EFlBRw3Y3JeaEqpTqHVe7HtzPUtKY30DZRAhkTYFw0BLv4IZq1JRo7qdFTO+bTHgTYgpVEO
yZRmPHkLreRWO5Kimtb6G0+8HQc4E2Gqkxh662ZLEVqQrbqLn2zflqKyhx19UWzy1kxXxHKrej5I
tv/RBF2SMOv8G//pxO0Rq2VqV/2VZG+1NbKMpq7KZffIN5hNB+dnJVvKwubgmFXzemM95UcdFiTA
2WZlMIsFe4Qi2sxVVVRAUoukHuZzkwAcZgE40VYo2BVMp76W2YlxpibmZRH8YmzwX91+zOYtG081
IYIL67FoWSNNi8+jsNaYOWXndM/8rtiTUI07yG/Y8z1wBqUpzlN6zyzVS1pFqu/6jybx100iveVo
SXuIycKmHEdOGKvWMzYg5ss9ufr0hjbhxYPLM+riOL34XNyBfbGLyLlAut+ZebzTP31z/MVNGrxq
cbLFR8d1nTyDZgmO8NL/Zr6s48GiiCaisV7/QA5tH8sOjjUrf6pdWMwED6iR/rpfzNG/1z6G+8DA
msbdrISe77kHiWFv75k5LbDK1+0DLSAZ+DjcXdZYNRh7TWsBbIr8c6rr1bv6YaUfM4CY6CuAfM84
m4tXPSKn2dBU9p7uyyNip3wEq+L0O9nUy7e2KzoDsb7LH8FAtQ5IDni9oewF7FPTAYA+EQ2rdnUV
EDOaMWzKBHEDBH+tPZEdYTPl1Iw10EGTpEoP3jy5x7XuGkTMTl2UGM0HOQlWJNNYvM/QILi94hjC
3GqJ5BAmSUuCDArDJbCDEfl39Q78lXHqa8s4aEdbv0fu7nh676adDrXphbcNRcNrNo5NlM05SOsB
k6pO9KlIw0tHW6EjinLH0NPs00Sll8nzECXwAv5apwQpW8NTPAVS/mod2mpbRxCVWla7/B6VoA2L
tyKnP1jfTTe73B7Q2pFFQRBcBQkxyG7afG/MPHzkgGvPtTnBdgiNITZde4zdmdi2JBf+lxV0uYMF
B0jYy20GaDHmqLf0aGHtNN4NnxIiircTiq7CRpn7oqFrVZRe+7xOvptsSJw6Dx1xsW0ervMvsHDJ
08JbfI/D1MQBDw+0IkGAJt5/dy4kWj8lZIY833BypglD52qRt5seko6hAFzD2eEntJNLIXb4k+u3
xhbuzueg2ZRNK6m/SsR1oe7i3Rq7h5Yld4xJud+Xtd2zqORyc+m8tDj7RSfuaaJyPNTcMaIwzWyy
hd7y5M4eGlapzmVdvvl29W0kwW3QuD0LK4OeORcwfjI1AXpA5+swDtZCgHoCI3Ir27b60ks33mqm
rw2mq/SSrUV28IN0OgnrN+3Wm2EY3BgH8taEunBwDDfjLrVO0V1ujS0OJMAQcLQkBPCUlO64bBMb
XSI7zrl3yhb/gj/uXKy5f00FsTpiqphYpANXc4XIhB+azs0Z5kUwYfLf9Hp6bfgwxTia6y2mzmZr
tkUeZYEuntKFiTbpUvccDKP75FpVcNJmo3f4QMJIGMCJEz7t53EBQsK2trMYQVnt8Rh6W0Ez3Q7T
ZgnYcT4kpe/viy4/BcXA7hmPTZDhyNM808t2Ul4ZMXXkJ7x2oOdtOZ872yMNC1+dexZ1eGzYaH+X
hiRpj5m029JO4lJxNR9cgmKtyQyxujrYelicUelleUzWivcfcat3K2lqwPzExO7kEuOcpS2WAhgL
e8gn1g/EHkz5FFudmnkdIws48rU0PHfnTbR3rqD3fwZO4PzAm9E8MwFL8B0kTgqV1EdHNcazpUd6
S9a24F2JBsSOrcsu3SCzK6C2FUdtM31ZwLWPAbqv3LhD/QeAOfWuLqDEFpZelXgRcsNvc+bsw/4A
+9PDq2S8tnI0ztSjsEImfnIw8F0eZ3tEAMMA8nKH/0UqballshhgtVDODokpiDzRXMxM0aYIQ9GH
d5c5LrdIs2K1ORfMCar7ZfmK/I4B08Xlin/sHfsAKMM4mUQfqN+ehochHHpIEgWr/QxxiXSS7XYP
tX3X6q9jYe5YtsUIbZ9FNt0U8sihyOaXALN6alRUD3SHBNoWx5KfwoWu9ZbR8EeXhh9VFUa2zn91
LDa2ZUeKNCUc+CznkarQAUgYx4y6uMVk8xx39TEMCiSZDLTv7K5nnzTNTngBvYbYo9yFoClVKyUO
aJUfcfake4dNq+nQuhgsSm/tkgsegM+24OFA7DM9LlcrXQFfji3vyDsh120+KaIII+9I2zQOWS2d
yENF3YOOSOK6EMl5Lj2K08CwHEKLmz4MDikuNOpBtade/Z7KPnZlAalJHFEkz1ZlH1ananewXL23
phHDxXSF80YG556V0pQ6ejaR6T3+6wrgaUI34zaQo0fAO2/ejSkso8DhirL6UKzgjDRncsf6Bb/4
4525IxdA0AEs3syWp6Fqv9XsddeqWAz63gJT7XjBn8wmiCCVVTErpuYoA5IgrTPDriq65Uo0RUe+
sM0vh78fGt0I/0Oo2QV5EdBqKYPgkU20F+N2sSIlQrK5ZbPT7WzGvh4QahJaToHqOJhtnzHR9Nxw
5nB5qvA006hj+F08QF3ZT7mqN9Nk8q0vAHUDtAwpUoN1uGk674KKRmyw8aeLWJKAqp0aJrm5mVfr
GwJpRhpVnMLwBchcRBLkkYK/YzXkv6d0/GbHDjjIbGoGcbudiRz4aXvoqc6JOTaN7eSVdFPbhrmr
jWoi6a8JHkAqOHByHQrLO9wV88ll+QvnecM9/BCgc6kUfwOn7bc/2Q8w5MN9L9YDPQlnL9Ar7ab0
q2v9OdoTLr7ZcYpjy3GAxd5cHpwk+xwdG55YbbwTFfVulZyHXwShmwP/HUc9Ywt2r/botNzGGFGM
lzl0rrXDYlrO9712418wRpF18ewPXuBY+Smwe3ecyooMBJIoWKz3SvhhJP2ALEtHCzJkgY6ylKUe
vkcTJKzmaN6EdNhuijEgklf5fwthH33EqqoANzNVr62fM15S1Jy39Jy1HOBxlVCAUDn7Ui0fRhMQ
/rxbAPPp3k5cuuXwwiWbRgQ3v8pE5/vQGh6nrmTUI8zzmPXOG5rCshUz9SdWaTIvWmyMhEV21Olz
+mVzzAy5XbLKs9yHefZhKZfwTotOJuDK/Z3dmzu/q8GEe5Y+ucWFNOyZ0HLOx1G93M2So1anhJpN
JI8RSlg4A5MfxzAaa9qQMbHNH6EaTnIFMVdy4SB3Mh980mP7oSHCsSvnpT7i8htjqOfkw6yM8pAe
PFq76vRnWliYFYVDJ1X/6mAvnR7h8SHY/BHsuV6nnOufxeh7zNgM7dSsLyhgXKixasTmLIKDa0Pw
UtN4SyvWLeNYN+/I/XSQywUTZU70HdtPIzdq0F3UkpK/2IKNGdeGJNZi9V8gV0EzN9f5Smc91X7S
9tuj70ukKGPO0YbmiyEIvYWTnPlBmem+sYm+CVsseBwbJ3/T3uw+8JztgHnQ3pv0F0lieFNLk63X
cZV2sOP39h997xpHm5virnbMhbT+Kr6aNekPUNtfwkS+VHad7UUtmz15/uId6GYTtV73ODqQ2gBh
woyn4yrCDYgX9t5ACxvRYPnqukzhzbNvkrnF9b5bVkGmCfaNOq5N0WzbafoEoTGzOiD16Oepe0VP
LaJUZ/Q+yrJoYCWm/MwO0+wEF5E2xE7YC6H0eZJfR0mljjKVsaFqvT+CVdemx5j3CK9ofkK6a2FX
3ffhoSkmNqlzjAM2/VGsXgEQtlYn5fgzxba5JG9lwJLALrLAuZsgfP4ETEwotnA87IgYVOusGKPK
5UTOV7OD4yUa2+C9sJTWNcQIl160v5yVJ433xG7WjWy4eux6CiJfQ88Dq2aDcO83JXLzZe4ZyUQC
qkJPlnkGt694OlWFS2JefPEgHMqGEjx1B34LdZs2deHc5e33HDDr0Rp8iLBZw+hIQcVlQu7bK8Mx
n2zlpTewrc6+zTq5J5HIAGT5rQU0hDxDpJvKu5h6iDqGP4dyqG4j2VJcws6zXzBMp6dyse1XXvyE
QX0n2+u0vfsqiXrsbVk5bTybUAopI0CX5/LfcPThT8XthNXKA2mO33Kxs1+Bz/tik3tT8WZbwXUk
GM8yc1LItfhzrdn9TkLT+W0Cqc0iO3CSP0mZV6+MIZ8SSgUOw+7JHvtX8Iw60veF17hOh2Fdmrhg
dj7Ps8njCsxlS4mlPhCzULC+cnEIGhAqAEPMna4JvKWsB1HOi/URxNMMtYBySarTYJiuxb2YwXRZ
0PmYz6taEEaUzUMAbXOLfi1IQw9veqEb1bS7H/hV222HQ3xf2J7/sA5p/rwYffvTTQPcaGYipr2D
9QJ4BmjQTeNxsUmT14zg2xHbPePOCJAlGM9zLiUvvFmeFlv8zRn/7zyLgXap3ORNMMOw02MQvsKT
4DAhqomVcrDUxb9b6sT66KfwFjMRzFt4hE1cD/aXIsqx6bzcuc4Vs3EnV+fcQ9D4pf2U4GEd/gwH
KzggVesNU5K7XTQmFBU6BG6rpJTHWdsWldDwcBob266p3mQJBtK2ePyUMNLTSIDpwMVu2jG8Pw05
YIYZYSoW7XCxGNT7YNCE5NlK0q6Eglv0ynjQ91YEfh6vWePz5agqiFzgXRsKi3Q02pIVfsdfvmww
bDk3zIfmBbIVFarQw09WkHIpLoqQzRCmlkHNz5bd8eHsKLoQE9lkOwG/Nw/umbqDF5MPEcGpKe60
CHfzUL7WpXxYqKHYZj7uE8oicsJhhXU3RY3EhsBMD7HNhMO7kNWouxtCzTsZf319DmtnoFWW+BwP
80Q5iOXzQrbCrnlbSML+qT3B1rLOQro6upUfr9cf4VbriDA6ZOhlLZq44bV4HbI+eaQBZj0tgx9A
JRvKbQEB10v9J7+XYQwT55cvrXM5Y2li2713PQwG3eI8hcxFlI1RlNzmBBO692WUH56uWbT2WInb
WmyM4inBoRKtCCwvHUjArU2N1LNjghlu+3ogPeRn754t/QOAMUaaucfGCIgvXS0RtVnj7kTQGPtq
CGm2fZrRmq4pdOiT5LP2q5qTPNmW+NZxGXbsXkaPT0AKp8UaoVQQAajMXdAMp1S7QUTpzNHyeZ/i
FSSFFIAN5bbCtAApcuE4qSik2Zqea7Jy9NXeaauQH2NQ2e9mm91ZomPjHYO5VL8pGiKU2Yx2feEP
lScVLG8DxmsWhHZc8367hkspsZXo2fgi21XtOA+np3xa9TFtFEQCSDTmh5d3Bi0RlXNZeZTfCYDh
wmbHTmUGOBxM4CWVKlQflD992FVfmRi417E0CDWiUFF46xmje061UO6O797Q5zdtzHyMl4IfAhrT
lD0A+5aYD6m5osiiccJXAn/9kSw/3ZpVZ2rsYcJ7GzMrUzT8sqdSKRFANpmuWzMN2uUt9QDIbZ0S
nupmTasJIzdp8IYiCJG/4fnvjshRjHGKZqqYG7V7EAD9oSvUjc2vtSl4C4tJf0ihvjL8ztthGb64
lkOLxHchI7O1v0oGPgS3lYXVxpCsRPrRDM7aHuCSdDX/RCNQ0OsCIYKR0vQ+FNl1sNa8Bvqr4fj9
b/wiudhSfVnHzai9P5KBPF41Vq0gSf0rKuv8AFkEfINGE+4w+sRNXnpPI5Y3Pu3QPsxdK/jpEbJ1
7i08HfoTRZgUPIT3TRcdE72jv/nujLEaZogW2KcOpEGe/dlFhiwTavGk6xlbSRr5OhhYmdisZVS3
V5SNYAfdBkZbDZuk8HG8LxS4pZHw5ywSVuL9xls7AMApzfbUG6Ru7CHEc89W9iDm0rmVcCb7rUiC
CSma+h2wZEyVJChNh5yv2c15jKK4hxirqAQJfqnMTGOMqfKRB7/drUY4HkFI2TdTZ79CisUAfTPT
EovWn24zUM3jpu0Ow/bjmOkSs39FWp5QyibJbMpAcc1E7fJB32/RU5vl2PUDiiC5lbG13tKmjfRS
dPswB/JDS7YJ1hWq6SjHKQJ/JejQgwOEmW07w5M6cAvM4t6hgW1sTN71o/+TAj1Mt1JhyjZD3V1l
wPJrZgX27BYJxWdSee4rYtMaw5JOniY15fFALcdnQr1aubJ0KMKEhsCuq94VpUxbUAzmhnRX/jRO
obPXnl9W2y5sM8LmHAx0I69JeM5ZS3LrKKR8zUZzeBY2gs+OUHRKe5Jt5mcPzCRFggH5B7yP3NOA
syWrM7/MS2Edcm8krzKHXNDqu6qWH0GCI506QA/vJ7Xg4rETIbWnDYYAbOKt+Y41n6rX8W6JHDRt
HKthRTKHfVR7zSs3M6aUwe32AQSAq5ykjqulzCMQQT/R35Izg4i8lEyTUIS50Cw0OlEIxquWsCQB
dLS/K1RR74cg0Vml5hTL3FkO/TAI8vZNd25WK48LuI7P2WTrPSIDa86hmYiPM7W0+0FNyUumZ/+B
dSV/FYkoKFrlnpGmrUe+qy7zgbs0VysZvS3qGi7JehU2NgrcWxe1zoIqdEVmDvWFOyCq23zCEJxv
A3fl6WGX+pqu7nhzxubRSNdIsc27tvPgH91SSGpkfa8+pyplGdfCXOMXdHqMJS2bMA7qv+3kWySr
fCQVUTvjnxLrQDwYZXKAicLXq/vG3gPotc7uPRhOPc+vQmPj2YUalA6gb5W/8/P9udit3M8sETi6
0NVx61tc2+aEtFn/YbokpDPQI/ihLVAFeGdN3v4a/c6MXNcB0bU6o0/KDKTKpqN0jIiMvw1aNX4O
i7M8SkAauAthcwwZFwN6a85CeX2/aXyPwwbNnPkfvlj+PLRBy7pY9s4NVm25GWoTVlEY53QTkrFb
3qzSK/6sRpW/9mEn/qDAhRdvtE75SG5qw30b03ZgTx2mceBe24607oeBIHurrZYol8IHT62NEZkF
vJoplAMpbVjC2PRyetU5C7IvdqDcPOzWuaX4T2E3zSTWAlXdEP7nY52psCHq6JrntMr5aBO92mrD
I4c9GJ/w7rqfYca8AbxHm2e2z5w2WnryK2FZyTUBEM/emSwJA8qjprke2x8shj5pnfw9zWHJMe53
b46dlce89bBcc5zmHxb3zx/DAqOUt5C5HAhMBhvuGj23KQqZ4KzcQwphrmGyzeopWKp1m6jAv2Ed
hZ3TlBM4gUITsnSCIbb6tHZj1Ux4MibMvcAW8fRul9LZ/nPBKVhLxKvonlC8rE2X12SKZUoCOTBs
EBWZEeyNdrafatfUF2GgvA68j54xeRggMPA4M7TPj6WXugeSgulHNijnDXI8TDfjXsDqwLveGKTt
9j3WfBgzRWdRoTmxdzIxBSJ4DbS3gWYn+4GZSKScBDlY9WqjoYJTjJpG0NAJII70oQ7KxuSjVt9u
ohpyZeTThwnCsv8rLXy/Q520VNJI7AxdUa4727FeBbv9bW5a4d7nbUoz3VJdjNJ+9DSVU71fY7z1
VvFACw6No+RIf0Nna2m2DqY78SiZcGh7a/gAkaJ6RqQNX2zDnR8RsP3fdpCps7H46GpUip1kJ4Du
p2mJOb/OghdsvsZxcYaPnj10selGivtIIBYxTppuz1GK34W6gxuV1M9Y8IrLzMx1kET6IncK3iEL
ZFFPOQCjZDDLtxa/zuOE7x2ywejKdzL3aARkIzA35brZNs567XggtqpIsIJDuzz2WXE3WGcnr8pZ
RyZBcJLAZBrwERE4mOAAKEEd2WXo7QoMn0/EPJ2sBuPMKjv2m50Q9FzCg/4gaobrAwrpD8N3noMu
eQvnZnrMulRFIuEWR80W8ZEJYmU1y6cMnTDHDXVwA1IJwGSWM+l4Nq/lrB6oZOi2qiuODuPsEwAr
9gZcoi7hUi1gQTF5XRsR1gf2fl9B37y65nJOUwSjwPAwNVeINjSUjgeZzOZH1rWUWpZVuPdct3qz
RsGLa0CTPiqpTlbtj2d2AnhCXG+Ocstu38uCb1RAhRD0R7ulqQKh2kR8gHaPX6ndtv5UximIzzuh
DVsHSN5tZbZNPBEDxpVKiai5aQgmbzLXLJ94TWswX4CtdpwcdYwmaZ5HW383ncWup0+9Q5LT/rmB
8dY88N7ytvi/lhN+Ahd1OqXibUjnh4BivgPwtfUZi2W5WzEs36jDU88tw8XzNCz2Ls2q5nMpNajD
bJz1GVZYD4raCv6SFEvedV/Mm2zlUspGmmJLPvnwHZGXwh8qL5eIHie2BlltUNNjU4SmvOwoJ2AO
VSbsJyv38wdH9SzK1wzuOkCr4ZHdQPZVTujJmxxkBdb8YsbuYPnnxe/dD6uYZt5na8/WcPYgLC0h
CeliLvFt5egJnht+tUnonhhU0i+WhHe8zH0V5bTyCSs/hPSwG71TMHzcV0E/zARXFmlcc/hciaQQ
rHXyT/xp643dhrNLw8TYrV0ov3GLW8/L7KMcJHX5msgk2yELcL1Xxh3r1YgXEvbmPhtbmiGo7nsG
pki3R+OO5WnIZPGX0LR+URyvCDNLcmvD1vPwTpTVoRooITCoiD+NlePEVIShKvSBMh/Lcpk+WbP4
VyQrzOp1MILrmdz+hmLgvlQjF3CjXoqXojZ+k9EJYr/j/BzL5ARGHQi743W3tJ0t4hWatWLBZ2aj
YEpzJuYGxiBKZYd2tY8AVgjM+Qa9IWQV2c9PYxeVSjTx2rHIaCRhXLrTrL+2DJIzDp1GbRoDwBLe
8jF79BkOYsS45ARTpdxPXVvx2HLV5+rMtgA1yn6eoKA+yxDyVIoR4FUl+QunKzOPx12a49c5YFUX
aGlZcQahNL/5BIPo62oQnoxyQLNmrI2YkYsfIYUrLKONJPvQBBDlJizlxNqB/faKr4ZXVG4UsTAd
F/y7v/5SUBP3QYZ61w+Vsw25cm5DCYgRdWd5YRs2HDyPeOC03nfvjTn2fzHXLNugTr2XtbXWowa3
tOXn1m+4dIWkzCefnQZKDB/VdjO41cT6pKc8Fl0V8jy2vJzHEgW7mh90Pjzhgh9wxg06Jq0UxLjJ
mDnT3NgrpJuXXsPvT3XvHUyXcpJtH1iTx6US6P1KPpCTYlV06fI98F1oYHnp18daT8lDJ8fu5tLn
S4cB//9Teu7Y5Qs34FtuffPCMa46Wej48UvIAxugSbyD/jteMSnJ6ixxpicP4F9Qf3ttnexmLyk/
SyrwkFCwDL/5JfqHh/vqUatE/izCXj94DqILe1rMsIU2St5IUj39P3HC77/ru428/8fp/p/O9397
3f/zX///MMLjWxf/i6P7/zTC9/2v6r/AO/75Df/2v4f+v0zLsTkScHbD8Lh76v/tfw/Cf+GK55f6
+HJd+5//8j/977b4FwUSHlgNGN1IuQ7W+J6dVfY//pvt/suysb+Dqhee5wjL+r+xwPvWf4V3BC6o
csz5FmthwON8rf/NA19nYjIzAypAQmZq2pizkVm70UocemFqjJZ8jNbykTQpmbIQI7/aYksYuKXC
06ExeBBUNnWeKbpoxf4Vq8BcSXRBa6AhwgB4hncb9HMQdnpnW5b7vVh3g6LBKX5yvXKE1Mgug7Sw
zo++SneSFplHN1f2U8hW6SFFPOVyaSj6F8P82KcJmrTtvgRu02/5Di57s7GgbGMiu+LziXsIudKd
5M7znZMAgCAain3Wblq3WPMUbApeSGsX1LFggUx0b8Rt62GuqNvwmqSG9aCNPgUwlP2EEZqfFzJx
kcTahAGyD+Pac/7wIvW2k+6/cIEFOF1y+OS9RyJwTpYjPqThaQ3D6VRQW/MnbCkiKxerPylr+CVm
IziYwqQ6b4SqOYV8zSD3vxMtrIehnf+sI8KwSd/axpXGg98KNJ31N/fwo0GvJaHvH3PrnLkdX1xG
WaqJT5VLR3Nm4pEUrfHlEl2Nk9n5U5bNvncxyhf+Qs31Aopycl7TkGUxC/F1B5QzIRdQA3OyoJFk
3rwbhPggRHaRZFNB6EZTP3XQbOd2R2V7QKzI0GdrIn9oAxOuqnrB8OjucYpz6SiHx6Jr7pQFuih2
LpmFw9S4v5fJwO/R+ebT6vj2jXQcrrLOHX9WvY0/t/Z1+kWIDd8C6uljQep7jyMBtAH0o305tsGt
oln0jGV5+duFA/QmN3dabq0zde9NNV26rLiZVpP/dbsJe8DSEGgkRLWpevLhXl5CjivGfyiVz1YL
kBYj1NZKLU7I1SBYzrCe8KoNHotahNHkr89BVj8Vwtwb6SQe1yqfjp4uc5qIBgA2cJTsR5zSbUQ+
74uU5BwHRvmT1kp97YUPibIk1q/tvngWYsQkjxPpTKKZxZ2Pj0s2E3qis94p98t5KMTNgoP/PKR9
b12ESGSI+KKsNlKLkSPRukU1xkPF7L+lsBd0lwhL4NoSnMUUlY17r0rz75gNpI6q3LlrUqFP5BKc
s2FI+5lYKBxU6VQgx3XuUEAFscE0tyOxN8kxOXfpjrDZkmKvyXKfDV2diCgpkwmxT1pc4enEAKqm
0g4VzHDzajiMtLAO28wuoF3Iws2bH7j8uhyVTdHbAU4yuN/IzHu5jg4Uxw0h/YVgAUaEc9Jm5RQH
+KosmDRdFyA/gps7Fl5p1H+bIl+plpUoRTHgizIEu2tInwElUYCdExKnO9px2A6m2vRgbDn+Quu2
x4pjR14xz+KkMoL+Tw2Ykr5vKyA6YNULq3vVhh7xcJK7auITEw6S/X3aBUskEytvN8RNsvqAuQoI
sK0N9k+MlkBegL6R9GGc4pslCgMzh7ujQS0FsmLyCRmQ3G3KwDBdqeqlJ8jwPSVt7WJfIJFxZ2pZ
xSM0/ErG6+iqYFdRbpc+ZIDwljM7oWyfggYedjbeTaLffrA60ZJyA94DSRDWEcvhAOCrM8Y8Dkmm
Qkqr4OJvXG0xEsHmxoM2Zs+hAsiAisMXHJsiQg/X/EWbTIww1+bO2/wHe+exHrmRbttXuS8AXSDg
AtP0jklvJ/hYxSK8jYB9+ruypNOnqqSWbs97UhOJTGYiEfjN3ms3rGFzkoA9KAx4U5P4qsQZ8z6U
VefglBibq65S6Olj7IT7YqTekkxl3VhBc/fUQ6r9h1iPL1Dnx5Uqm+lVukPDpi3Ob+3U4thLIhwj
ZanvHVI/N32v5GskGmpLWzvzm2XOH4PXIWw0u/IpNNoVqV0rQwEvAieqjx6/lyAeonHJkkbz2heQ
8PvM3gZGyCeKiu4iBhwM2iEGwtdTC4DQiMew20ZDrcWq8tmDQK0v8+HIqf3Ua2cEcBc3+j4t/Ny+
C/MGmmjuA/lhkOhRUpZw/Cf2CSNJocgRd7mDjaM3sWvc55j2P1j4k2E1JIWKV7J1koe2Ypn/RkOg
28OMKoi5ap8ob9GQr2cl2bSjrfkCeiKUCyo1IJXwrgL0yvW8sUKF0G1U/Y3W2PEdg+1mb4/jlbS7
2ynrnH0Ye+ktTK2OppQ60ZhNn9laPr4q1oa3tWFix+/xbD0oAnRup7At8hsIqNWXEgrijliLYR/2
hW+gSZXFuxcm1q3B8ItNgg6uR12APkbGJ4Eoy+45T5BOY1kBmsOcrQuzJeQG+SnzuTnhXh4+Q2pK
kt4Io8wfkKVTzPoGinphe3G89iszzT8T6SE2JjrWBOTSe3cgoLznYjDSbdInhJYHUPHyk4U6nlNh
itdGGbQPVdTUEUCjofwmfFl99iiyX4ZGIHuFsR6sPLdAhstoh2Y8GWlDjYrVZ5QrA8sx0OEHFIFN
cSrrUWZoeirHY/lt9Ok6IGDnBTKyTcS8CsZtWoeVgN6UkfZktP2tlwn5YFZlfioTZn5MZkP/MW8t
923ueILAwuaQ9IspevF6g137CHX/EgyAOgPP2UoK39uFDMXXVuRaSAqF3veOyOCjOEwy3G7AZst+
sc02knE6kFd4fpikglk9jqT7nJmDMPUk94E5kxflM+ItA5n9ZTV0SUTvG/KNWxNjHfuDKV+TalUd
lB47sZltW7m3bdrnL4WK+NLBPLUvQso+tMnVDRD5B5CE2VWGnQ7RoQqjpQMxef7B9fHKWya5xnTt
eiwlbol3ZIg+Vik9jMFAHBaB7ZPgUNNCRasBblK2AMc22ItE0qVvI8IQolNSGt607AllubXQoEQH
WPyueRrSdGaDTrqnZDRR3QXVWOM8So2puwsbmM9PITr8EfE6Wg/QxSLAMlFm3PIBu3NE2HhhMnyf
20E3wUM4FnBaqVyYmoSc+x4aoh3ubnsXuHJcgekXO55nxbU9020zupNbTGSsBCdGzCsjVfNJhY7U
i5ItyTFBKt0sa7QMA1+Ivv06So90GjRBlA+2eSa+gd1rG96Z3PDLViXhWnsMSRXhSy/S6pojMaLR
Y6oaAtAUYS8Iz7zowXEjTFxUNyVXuEJkAxGnPjGhkNkW9F4a7Fg5Si5rrV3yG5DI6BuBUv1aIj5H
Zhrbj86gx2abJ8ZAnJeXcSwX2vMyBGEYqckLsR+BiCVc5mnyo3Uwdd39aJOivbcmSYco5uiDxxyH
ZdgOjPT6IbajXZ6Y4dqi/3ivrSI4TgyYbsCg3TS+NW4V8hCc7XVOpM7snhCyy1XZucdmdhlcC/0Q
eUlmkbsYEszmzu88MNL7yBdkUXR1vyU9x2o2g21kaFNa4shpZZqPKCopwSo3JPXEHHZ5X/CAqsfY
Z02ctKm1NpXtbBrbv8yA0Ou1W3bUUXjlxtj1VDUwIx5G3BUZetQlrI/qa62mr7oxmLlpKynwYJrC
bVgn5kj4GU4BIv6hOfsLuy3gwx+8tn/ueH5JQLJRO5oVzo29U+WNhqCk2gO5qenDf/4y2J0Djyx2
30fG/LOlt5+LsgpDY9j7Y8v+GQMEMRBTA2rr718H//Qvb+dyfS2HRS4dIf3cz69jBYbQyBW6/dyV
3Xt6ecIDQ6UjiCaZAygzsuRbTjAm8YO6EPIfXl1cPq3/dS5fPk082jaM9UD6dLe/vs1kiGCYtbbe
O21Sb9Bt6HshyTnCUzvzJVX5rWyQGGWYC1+zqWLMQTXRm8HDTHXhfC8zLAJ1L4VH6VH3z+PN6FfV
3gN4VR9MM4LGDYuEqbAxJPm1aluOqsqfQ8ZaMeBGNzj9/ef55zdEJ2yS+ck7k5A1L5/3D6bwGTWq
n1ddvZ8TpdBEkCpbs81KBnONzxjgOce4tPf/6YvaUO4dGHtUpp5/yQb78UVbvIdOz4SGF43mk+0T
al1oZofRIfGnhjiy//s/HIC/uAEuLf3Pl4wXs8yAN8hvAn3+84uRykHmFgTK/UBQy9ptxceYGZvC
HPU/vKs/32kIzilDpIt4zyH/8ecXwmtl1VWTlPsEGZq+dqw65MFJQmi3+/t3ZP35ogFGdegiKRMF
wuNfLlqUJU7qzm5OvDPD5rijpAi7Mb4A5QKbrCthC6g1jBcDHnmDus6GznZuMOcteRDFH9336q+2
EBmgiwmJ1fheH7bfa8W//1P/9JlYluCrFTDY4WNxLziEH690ZDiRBsyW7LM4Nv19LTt9M1YjzdJ/
/DqkHYBDJjqOlwl++ewhKKsmIv9oX4Y0A6uWrXNCdn2eH76/zn/TAh+mGsjF+0eRlKtEEb/1Vf84
47OF53Fj/eu++9NU8OG9SPL/c37/6P7ix/5gY5i/AXywfclATwY8LPgy/D4b9L3fhGUyE/Qg9P6B
/P0fNob9G4cuYzuTZ4svpMvt+8dsUP6G+ohvFwNF/3LNOUZ+ORYYqP5O8/iLY4LB5A/HhO/4nAMw
KWweXQQSmYJQwh+/qW1jy84j5HjNAXhjhQW4XaN5wzEZLVv4aobODg6jmB22/Pgfnio/3yRMuF3e
hGnydHEtSlbzly9vFjIgyohpXpON0CzQS5UnmPv58Yfr8Rdv0LMvb+F/T0Jeh4RG4CQAmiUGfj7O
n98icFcTQx8Ubis35l2oyZs20NZcOraRpaBPKGKeihPYoniL/CY5aYA0X3HnU6BR85Doph3FghyD
0rl3MVaPM3stKJsjM9HEPjQt/J2kVQF7XCVXXUvNusO6GU34WMhPa2v/Fq2Tm13VhaSj97wHGxfn
0o8Ev9Cfq5qR2mBdOxVa+1XnKUwTxaVFwsMBLmDeXIJ1NJsBZZ99QqMeLLOhzq8Le75tJ5hZQirj
wUdnjuerCq4HO0JjxjPhKsou2Fp8tY9p0jhoucKc9gu/eJx73Rasj3tEpsuSlOADLFfoOJZjaxjg
6XAYZjsqQXHysdgoVOtJhw2OUY59bGCpgWf37XAbJTSuLdEfxDrGk3yToZPaoIprcQc+NaqXqggQ
BYIyUPQi027qU3UiG9eAkNjExS0pUD3RH5P5Cs2U57Dp0k0uTXBg5HeIge4xiuKMdfZQ3Je2eu4a
w133oaAxwFAsEeEEyNl3Udqid2+xsKWN8eZ1ZnDFMhxPd85oc5F3Cgt0xuwkOXopkNrdXIwo3wC0
crGy7NjLsdjmsZdthYxYGKWNrE6lwGYRk4ILziIeHiLyn7fQLiP6CgiQSkGJnjsut7Iy8z0vPQwP
Za3AF7BP2mbYNAti4k4QrqNNRtzLFRX2thI+2inWZxPWFSV3llY0t9yf7mrUnXWakiGulwV4rSUK
9hAxqpFz+WkuSVarnX2EenhRosDY0J6CgdadevYiSz77WWZe1WnNdzpyj9Jq7IW6fM8RO+fLxgyc
K3tqg4feI8IbIoZm8FuptW2OqEeKoIaF2zAE5AqqB/J682Dhum12LyOF4g6hmGtVSwS0jEoIGbTQ
UsA6e0tlZ1ub2pMsvgEJlkQ+KyIz1jGLsWzjzDNSAXsQDnqtJJlZZfv2l9IJ9d3FzsUoO9X5dkIk
ej/Yof9tjkR77w8qeNSApZvFFHfGW5qI8URZ4TzYGY/aFY/Qxj87MamWF9cGEsiwd8NhY7Gh33qB
m5LWST5XBCSKSPq9zqLhSz2NSYf8RojL1Lu13qRU03Zmq7DkXJKgHWYv/aKQR98MRZqtyC1iKpII
FxlEs1clNE+ZD5/zhXhXtONABoxtfwJOrT+SUaW7KXKTqwZt6n5uUTzgT4RzHTV2f8YTTzaQm4C1
gpSjWZaK4Gsa2rTxlQdjm5HoslTDQOSKKtxdZjaMbRJLqavZauP1ZJfts81ka513g3U2MUy/h3Nf
brqhSj6FZ1lrRH/lHfgAeV8NgfVeRLN3Y3Vztw0vQJZplOqRLrXa5r0yT5pg+Zc4dZsnHHH2IzYy
Zx8r2NM1GC1sO1lP7kHXMReolcrR0pY5dIeEWVP7FY4urofYbiMEI2kunUdRJdVAyIsOX9o53Ibp
FH+Goe35O2cyu3mNSKyad2IwZnKbknRaExq6kVNsgxCCKse+pWvxSCGpA/3n4pxYKMsIWrRUmAn5
po0YrMJ44kDyAyRWRsJpzDyVoVSMjTTd+PUwlSvb7gpiGho/OOl6Kg6zzRpm0zgZqECUSnIfNtJ6
cw03uEFn0+8b0w+flY1G7LLvGTB1I5s01mHYc9v0iRG+xx6bcPZewXCMJnd46tJSQ76A7BdCWsvm
W6tJwT5aJEGuwygZ3xlt1mfdxkoc4kIG696YXtmJlDCYIj6Yss+N+7Kz62/Ev/V7NVfxevBF361N
9m6EiPeTbogSLMoXvvxztC7mfoyWQEfRaGahZr2DfhtkcTP03rAsEO6rZacbjWZuqK3Xse7tVa/j
zNoUrIichdc1+tUoB4VInJnac+HU5kuTkD9noiL4mnRaLG1nDlaBntsNOWTqehi94AP6UHU2SZRK
sUNo1FkWxoV5mc9htZ2isWcdhrTiCMUZnG1U+/YDdhsPNKjDTb+oHI2GIG35A4psztjOxFjX0Qqm
dHZRlhbGIlPILTkzAX4hSMH7B8iKRDM4vy7cGeHZM6sWGKPo2iFRYt68PHek7VZPPHpCgvaA4LLM
H/v6MUs0y6EWHT6XDGVCiqLNQY9wQg/KAw+EFarJxteHviKRngG4behlUaGUAovXkVDD7VAbCFdJ
1XVvMA4z94TnYV+nzDrP4PLaZQQm61RMLQBRAKhHqCDDFhcR2iqyEVIWph5kqUVQ2/GdYQWWtxrM
WRFg2g/m5UbHZsEgGXWOGciPdCr43nZTEqAMpf/7bAl1A4GbQes10exulBlRbwWVjl8Kp3dW0mTB
aID6srU33sSDFdzN2RA9WdpNF5WYUNwyaS9g02BZdUrmcLEftCcVR/G18hW3rfAM5zGvmh6LepJx
zyStjx02Qu6Blc8kIxOs5sJ28JnKOT5NDpa6tueB3DWkdpkVJihfxA/9mA7nfq754dhpsrOoDAu0
f26fHfQ+PdIRI7kbNWKVydHmMQ7JEcIDe9GF3gHUJ6yxmq0lNdkmMS+TVNv+SgKZyxquBVsQoee8
JHc5ac3r8YMAqcLCP+hqqLZz5ollgY5349T2cIGIl/KGGFmCqzxlkcqUCUcAdfDq6ogIV77wlBug
KfKlog6iEPosiIk6T6oe871MyKf0MFSwfrDpIgHN8gftRVywAROgEhaJ6tpv3UQc3NaRif7aybgl
WU7jOV/0bV3v/F6YpwxwEnk8MidfjM0DGYg5UFEFTgf0zb5MPDyBCJap1tjrlfcOQNejmvTcLUlg
VJKSz+V5WHdJ96xdJZ6HxszXfiRn0CKUKt5Cex2UflNKJ1mnjel9xUXg3zptODxZMyXlskH/eIik
jb9TI3NJ1q2CjNBArBnX1tBzPxXsEW4aVc/nzGz7HbYb5+E7rdEUIkVS68mXUWWtuRytDjx2JrHR
7cMxcTL+aI+/pOcAr5cRLPRkATuu/RZkgtVbP4vC5omeTvcu4wCs8WpErlNOqYkoZqzaU2cEsVpP
bJxPcVrUn9qPeBnWjCMb6SpjKBaqmD2Y5TkcYgnCFnVqmyHHcV44GA9b2OXlMmf4PbNfNlBgReYo
y1UaWVz1epr5gNIsSHICbRnBbtwpFvd9G5JATTIshP60F6I/BF7Ty41lZRQdVR4cut7PJWWPOVIB
exidrcnJDjW7WEW1xuagngfx7Mem98xNnfYH1qL2sbDi8TRz6GQc6Zn/SEpHX+L/IneBDNChGQDj
kr2ykkQ6ULKSz3UkWtZ4Z4GVjETnzsxKfZMyaj2IUiXQpKTqN9r0CIjgmgQtfIcwfM5R7j0BlSO6
aSaXT+5dPUT7HBYSpNfG+GZaaQgs17qspnmq7Ce2Z0QUyDh9IR7BBPSSGfqZq11fOdZMpNdcMKZz
Ocx3ocrFcXYwowVuqE9FleYJCY0XfCZvfT3xR3TL0XPGc927OaaLOGL1mFIedezvGvdBm4KFzj90
fX/iMV7aPhMSom3TD1uO84sWhfAJ3eWJo9ehZeb7SkdfyqS8b6z6xQ6Ke6yBPFh9RjsUmW9sEOff
lUv/tuH93tH+1A7y+oG49IImfSfQyp/bwUnNvSCpvFv3Eaj1ricda+kbNqoNJ55lv8ywWgrWGWT0
lTw4xEoMDRHRmPZgIo6Tu5+Msjt5daHvMkZNV5c3s8QxI87GUE8vxLTUy+TCB4aImPr6hjFdFW7+
O4/5zjz9p3lMIBiE/PtxzCKJ39ufJjHff+CPQYz8zTY5mUz/MueAUsrA4Q+Rlv0bg3USljzBqMZF
Vv0vSCkiLVcwPwgu4ilP0ET8axCDSIuf8CSLLdS3PrPW/2QQI71f8aCCY92GHeK4lwG/eRn5/DiK
aXoozKAE7W0dWhzZkUN7OsXlYfRBG/TIFbZ9U7zGWUH0gJDyNUH6dBKO27H85R9nW1KHXMWk6T6n
cZyAwpu9Kyso/ZA0ch3DfBBkszCp8LxnMROGSdRQ7p3CDETGItP4ujOy5rcRZITnADDi51z5+pms
TZaljs1o1/ON8QaRNXWPgoPvNFW2AbcgDmPbi7tODc3RIS3oQA3OJB///j4irG1cWYIAWfBBwjnW
dLzHNA9sxQ7SKR+QKM3mnsGucTRTXojaLO1xzniIsWK3CB/ZZjbbggr+6AVEn5C+gucoJduXQQrs
+ydS1M3H0J0GPJl2xO+2K9oKYFKQNtjEio/gMg4FZ1dUh1aN0cbtvew8i7R1FqnqkpNZpL6Dq48Y
CAxKbKbwurW3Rk2hhnc5mW4D6oUNy/fyqpQOO2GTXi9biN4t0GIjz/rE+GjchUBO0WAk4fBeWy4p
c/Ck+2yhjKk5E6sCObUxZVFvQt/BGBLFEHnUPE17D601DkG4C2hYGPpADbIpEPzqxMrK3aeWhSOo
cEx7U+AF2omOJwr4wM+YBBJkLTGedSCUTrtLDQKeFlVgdlAktcnVjbtAZMCy8fYo1M04sUp/PWnz
kn1roYWuTH/T23b7MekcdU+q0Ft0rOC/1pk1vFq69w4oVaIjMpHqFpqQeByg4VxlbpZScE6mb2xA
NpNeMQJzgEDhYBBZ+qnnHrBBTERQjgES7bJeU0SgiHArpzggz/NPTpkOB5eq8XZ2a6RfKdGCFoXP
Gzbk/KEoXX2PljIedpWAdpDMBpgtyQBTANLAWmbSWF/XnolxjdgYfeW20j65DeMa0zKIfA5DEENk
5YqCOHE+Utl6eAbpLpGXRx3b7yzox1MIC7gw5/AtIA3jYGSO8+rjbjgihch3DCMEH1NlBee244Na
uH7JCKvuGYDRs0sSt7IAdQSGToAiCECovBZSzVDC0f8gNveUWCdT395dWn363pRkwwSoeN281ZAR
4f5WxarRvfHUOO2IDa86mGNnbPwurFbu5FzrDO8zytLN9wFa2DrPIYF+l/SGTVX5LZhgPz45BK7j
92q+gu1rzoXX3jdt/RkkjKFCO1uTAK/p7kE0zs5wXSCA8d3aWVoplTuTb2zzXldck3TLt57t5uht
BiGyctUApoIdRwtOeuy8Hc2JGamToslvSbYfTJtNp1PEkLRmXZzwJXprbsP+Ec1ReWWYhAq2INi2
uaO77lZ7rL0WEakEcjGbZJQvImOUbx0EGwxaUhvYe3UUf8ULbZorThOobZU56+Ag5zGOt3bHh4P7
ncxQdKf0oBt+yCVCwo4I3BrtoTPgpdGAI1D3sw80cN2ms1JjQ5vm8rXQ49YqXGdr9o5JVdlYe6sF
fECfRg5lBOlzQZsePvp8tPTVvVwMNeMrCSyoXQFDoga+ZHWvy1R3G6rB+Qp3k3kv03Z+Y85GQyGS
tj8WQgCQ8sPsJhQy3BC+knzW8FaYoGcuptJZm9OGpn5cQ0geRhCLPje83XevNQbXXZN5AyiwOUt2
E6j4TUf2GAA25ZN45MGIt6l6d2Ct2hdHIPcK2wnsCMPITYEUdZ07ZX9v5lb7YuRddvALNtArkeJK
VwwDLshTdZOmZkcsBF6HLxGeaowRwW5m6IHfYDppctxeWhEpHDXjrpsz4x5tQAYZWWZ3U9LAN1Xm
fC2I8ttKstRvmvJUJ3pPpT4BnQY/DQy7f2TN0G8UVFOxTEe/2WOnN86mIs/uaPNtuh7qNj+hmkgp
srrAOjhD/hoGgX71jSx7apKuuuJjzm6ZIDhvGo4M0zisiKBGYLVcRzEglLif6N5ENCsGSMAsBxiA
SwWZCDzXXM6rISRA2wm6Yz7NDhnRvctmgVDgliFZggeBSzcTzrPJ52K+D2ct2iUQwOxZAmFlvjTq
6yJ2EBUTz4KbOJ+ZYHtp+tFkcbcHDcZFKgw3uc+diG/Z5bXJaLVvNFk5G2DN044YCu+rxYB365G0
XK8xyk9LAlPLboGNSo88SEvj5OO+u8BRiL0beNzXbbOBku9tABAMd+QYuhEj86jaSimzfTBP0TZ0
LlVlGObPFJ/zI7BHcZptcCsLiyH9oXawuC0pV619ZNofQAeJjrOG7IsbyyZbz9BfHkcqWDJPKD3K
VdC0/mmsZXrF7oDEMsXZCpTr3Wbeydc4S88peWrXNp6kaBHOYYRzbAiyt4HzNF1msWkb9Hlldcv2
xWLF3CTzQyWoxVAfFd3BVK0HHDfrH8fU+mg7YI/bJGQ84kcYt/1ARd/8Tkeb0sMXuJgEbtNJsX5g
pBWMGCFs8YRtbnjwOWreQ8KsOHRFn/oLyULDYXTs1o/+lObfcht9T2cjESrihBax0NZrzKjX27Up
5k2NQAjHRLAZI2DKsgJPMddu/xKE0ZcL/YtbSx4bKGfrQoCD6o1oVzbWvTlznYlHGg5TE57RXdLx
pZDZZDfMGMjqSdxnLTfJrgsS9ziWqXffY69bGOwZtmkZaPjqKUUH3k31hQSFMyozLtQk2r2oDXfb
wFNnitAaKdHSab4qXTHcEmSkqPdMHq0kd2xqnimPSFvzjQU2bSlLq73JfWd8zOrZWHlZ4C4YRnjL
WuUM+irXeABdth6diX2MKeTtoNzi3ELWQp+TpM/WNIl93xbduu3L+qNsibEZMlUixu3L3eiXwYtn
F9P1pdH86JUYN5jvBoYZnjfdI49sdhD0KUyE2pFtHp/iqoNy3MfNW1Cq+Thiqfv0MW4v69C9rpmW
Hgt4qYcSHfmXqWQhBnlBknZIPCiQlak3kmNeIIegksxGBsfmcOm1o2Q1ElFxhijEQYI97kvRM0Qb
2JUco9DQ26EYkhuGpfXGisJg42sLHkzq11doh9GVJ+S5WaGDaFONH8wy1E1SN+dO2npnmbVaTRa7
LamTbAHQMDsByCEusxtOFJ3JKg1K5zrvBfS5mmO9Mg0HGEi2Nf3kNOn4C5LHj9oKruF4qQ0RarTR
TpT4d1VdM4xpatPaxI1x5EwsOshJIGEL4n7AKU1jyfB16FLKiKCZj76nhw1YdeNOmpNtvg71LP1D
H6px63t1wLWvcueTIqvqtsBBrCceUs12HPD1++5wyV0uGmq/VmbBB8QZy8IAxtNIMXu8hzHkr5y5
m69MZVxlVureUUxOhzTAH2ibCnZSmwRUcxcGl0QFhykishSTWjgkDzlz812hMDGVF13WoFOy9Grv
zImg1y5DppMXib5dFJGdvNT8xEkUBmh96sz53GqJUbNm7vqaU1nfV61oT9yv6EAsQ0+btpn6W5bL
hExNPlAVx7CYG9ZeOYt1SIWL+wBsF0CSMr+fLU+A2wPg/QoYpDjZKpvNJRw+92xXVChZ1uAJpFil
U48jr7qBCUS2iipUyCLBHRKw3E0bERU7k6AJka+On80sRhla1xq0hekYh8inxAAyv6+yvDijN/fy
lVbFleg9/1ZGpmNTgNkANFLoTh9ySqwvUd1JoLWZ/wocpNujvcf3DroCbGHBnpKAvRJBCkRRaQeI
8EY00BWIA5jcg3xQxDPpRYtKfj2islr4upIbp3G3AfzcFWQQ3M4Gxs3llIbtllPrHVcaOdWiqyB4
OvE2l3hxxkRvYxHdoKr/bJCy7MKyMvZjGkIqxlhs1vGFGn3G5RMseoYUK6K19b05tAYu9hbGp5uH
q8wM7WXuZFvj0mJg593xQczLodqQ9Nkv+EsOxD58mmh8V0lk7IQ3EjaRUXDTIhNiSijFKqji56Ad
YKvF0YNmoL8gZP3RoOxY0A7C80n1tR1AQSAj8QphTrMqoDHaCSAvmpEv6FNPmZuu2K/JJcmuPBvM
6E1X4hiB71kg1xMrdvPeah6aieDeWO/9rIDgMJAKhtx1JkCpsEFMQy/MMHCukh7ctxdgERnydlPk
YmXm4zvKaLhy8U7jr1nhybiesQLfDHZRrb3YnAlJmJ1tbYcB5urAWgwDMcML+ib7kJakB4U10k9C
hQBON6xsGnY27F2Si32xJuRhhsFPUWpM/XYkFA7htmuFZGxn7K3Ai7Bc9HPdnjwQQAnYWz5f2QIE
z0YDJa3t9DvH8MOnzhLdi0pLfPEEctOwpJpFy0gAZr2aRd/fEjpWxGsvqoOn3CnGdzAS4ZF4ycEl
dhLxwJC5LwjloadrNl1g9GcaHOCfVnLn1dEIaMe25109muOCB4f5HJUqv9dmVGPRah0PJ0yWq4Pv
+5oaVKqWI6+vn4nHvLeRom9NLR+0ztwjBwwC4qSWuzFv3olZsDG9XKwZY8qIUQXwMc3+m5i6WFCd
mpK0Uhsv1BwylY7NOn+dpPQuFs2GLUYb9m/cWckSKTEGjaKI2fuM3naceFS7qKeZzgcRBEAx7rRk
SrCQsRWsE9HWRyvizOcUMoenyM3yV6a8yTZhHV6uC1/5j4zHcTaQI5CP8LOhOv53+vb/M32zbFcy
Gfv347fdezu9lwgVf48e2n8QsPP7z/w+gfMZpiG7NNEtWY734wTOd35zPBs1kMVLYJe8aCP/kELZ
5m+S0ZuHcOciWrF/CApiOOchgAoIZ2T6dvkvvyif/k4J5fq/aqEQ7QW2BfDPpnEOEIf+PIDLLIHp
KQP6lPaGvPZNf4CkOZfFBj5++hLx/Xp1L2mWJbDIbBFcMi6BNNpA9xv2LL0IcAa2sDUdfgcE3zR4
qqg9XsRQ+ud5Np1HckzV1QBRZD8VdvqF0D4bAFM07kv+3XmFiztZ4gWZlo2lnY9snAVii6bTZw+0
4gN+QO6UBPcSQJma1lB6+YPIrWEl0XYdLuX/jWrsjDISGKeOvQKwFohpj13HE64tdWiRoD/xjEiv
0KNvEoZBrMmDHkR+w61F6vIiTbW58lgFAPaRbIpTWooql+GSTMimBpFZRXCObLasCh6xM2b5yiYi
fW2joblPNItCdob63KGAXWGjXsnYrRdT4pkn6ntUMFBSD2NuOhuXYc/ZEb2z6VGv3Pfa1FcsA+Z1
6nslNG9HoT1X1tpXTX+Xl5z/cHYxxedIzrPOPYddm+OeHJGwjwSeWy3ipdkoe57rAqu+aLLrPLfb
nXupHHRbT2zY9PweFE6+oCIGwIf+dyXY8i2IV8/XYauZbzimeAyz+hOFc+2uSg3EDY9DNryyp42e
dB8NL1Mcqocg7MJv1uzM/sKR0DGJVbKwDUwmALA9Pp9CbRI7Nl+LwHUIaqPQYoQ1++NbiioIJHjo
JDel7MNTIovxGGB2Wrc1FBJqt1kmq6oLghU2qMlZ8h0x5NIAh1gt6m4GO993xac1jRAkeotdullB
v21VVZ7swkHLMLrNfT5xXZymMJcqgT404v9mu1QdIKHZVxlUIGjRpX4eUw97oAy6Z79PkydK3mil
GuNOeGl9TPtBfAIrdYk8T8nmTLsGEmLKCvmWReJHHMs3HPnhVd3OgIDAKB9FbrurboBkudBpZVkX
3xHPS9+v3au+79K7uJIWCE41HcCU+NdFTeiTkeGhId6UXXLUn3rW7u+t6qAKCGfYRYmEvj3V2R6a
/FpEY7irMD5FCxuz6e0QyOp60MO0mTxvPODUcl/RqHjk5sy98eInbvIU1Xm2L7NheCsQI74PIZaM
mA5rVSkpj4PdqFUSDKvMc2+T0Wru7H4kUL3L+3e8SM2TO4LSbKvOfq37OkJ93yNgIe/at/DYYl5y
Cia3K/7X+hwpN/Do753oaMcQsqHn1NdEEdOEEHr6HJJ1Bu2hMLudaHA9Ls2izjYpirywN6eUMQT0
CmDbVoTHtcC3ars8+HAt8veaeGnxnFrDk0dY6oF+elrRbVVXoa8ZAutUXCezVFd12VlrHeNgU73f
YlGjU06WXl17VxkxoyzWcpoIvIjWN+lNEIY9t7kSFt4FgpsaNvWuAMD1/9g7j93ItTRbv0rjzlmg
35uDOwkyvEzIRUqaEDKZ9N5skk/fH1WncatuNwrd854c4CBTCUUEY5v1r/WtEUsdAdWuQ5iE8qFe
kjYum73hSj33Oc5nIqDHzwsKiPJU8lgpYRNrPV8NVP/cmjQobKvc0ncDYdCS7F6vO0FNOFL6JZ2w
294SYwJbiCbxHgUNWhRL8ZvA0EZx1eTi6smcNU41L5FGK22OuLdpExcEdgs74aZPJjDVdky7BxdG
6IfaWH53yDUTp+/IfLdbh9pMrHjx21RJy96wIIL/EGUq0ONzcxBvc2n3FLxrlnzBnuvcEYFRrw1d
oOUJi4blbkgizkdN6U657wtp0VnIAfUzqiYMBz2S9evAbEJuvVy2F329E1jVvC7aKpxZGJHXSPMC
vtwBfJmHPQa59fhsetqbG080UGYVnLYNUxIigtAECv0AeK5ufQu47p3K0ybeTlNvTZSrGrCDOk2l
7WqVy5jYmE71lLjrnF/JhasNB7TuU28XBuTD4LoxADfH7J/qWNfOol2K3VDUfUszWYwsnTawNPQI
kiWkwmx4S8DPOj4JaPAralB4DrJujhHnNBcOTueEYDtzarMj/P8jd9rMOKG6uEfD6FHAO7BFf1oa
JX8BEez2FUpS7jOPQjzJpiZ/TDLMVgOs+9vcs/80s9Z+OIn3aIOArTYLaChuCnnl7ga9YEjvDNP7
LEemO/Ywuu/2oOOXWDW1o+5GMM0TkTObMkbxGGZykZcoCzW0I7ugYTcTrdp5qccLaEXc77Pc63FC
cclXXHOK9IWpxnTG5xNddbADDcqe3QWcVnWFwtGq34ZkV7E8NfU+0Rqqf2Ll3GrZ2FG6Yxvk4XtK
h4+aRnQUbRsHRY0q9AwbNDurQuD2odiCB7CKbSLzyMnjPiSC/oLxNL7NCofsS6bpabItScK+Ahzm
d8aTQGOU3dkl0WxcdpsO4e9U5XnzC+W6sI8J2LDaDwX4JN/66RpuSV3dZCUfnGblMN80veMXdMYo
/260kcoaCgiWO/yAfGP6tbo4LfPhzBpqfOhGP/9iVkexxk/TcSiWlLW3tGxfUWOMQE9P7Ju3FiR3
I9ehDR5LtYdNob0x/KbefWbMVpSQ1I21YzlMSu8aLfQu62sDs22RfQRTCoEs7q3i1sqpQN5UZNh+
s+j295CrubUhQfTXcbRpeF4Sq3rH4FQfAdYg6Db4WZ5o8JQEhutM+yzJjMGTdfUWerxH9Y5vhpKj
AgON/CP5KZbWxp+S6Z/C6TSp2mafmoX+2hct0gNttb9FvJZTGzDP14JZJR5Tiu6inVAIFu2YAnLs
syq7eD8F1/1P2bUdOeocwp/BbZTGD+qnERvmF8FmAoUA2PJPPituO8sk66vqenaBkdJ5G+vFY9bG
WETxdBV0bWNnYERUo5BqIkOqMBtNv9ZpBqIYB5y4wZpEJ9AUChEd+p8qb9zgKAPZ4EYUYMdOf79W
d/B4CnM1j2Rx+Bq6OJkKb8KRlOS8q0AQ6uvQTe5DrxIPWkDC544Fr7sQqFtul2ktGsd+3z0OBiBv
JUNKyPu1j9wF/7AalZLimEDDuaEvin5gmx2O6ZkzC6KYg7EzaHWnFYnm+m266FBpf8rOu7RN792f
CnSaHswPkLTVVWvWenSDKcGd2068I16eNcRyJt6h2q6TgzFF8iPDOPZFbya/VgR270r5glI89zPe
E1tEX9wOAZ7mg3eFSk76f2k0Fr/evMsWK73Nfzrdcc0u+1SlzoGdts64M67V70XKjGpfpZ13E3qT
PE92j8GeIQt18UkSd++K4DfpctKjf/LaK36H8JtOTqhFn8wA5hkH7uLdoEPfxdLSj/NPO/3/Xhr/
W5dGj/7Vf3VpvP34juf/umH27z/6l3vD/But3LaLz4Lsly4kMY+/YjT2Ct8hKmNLaUrDxKHxH4Qd
92+SH/CwMts6PPPV6/NXisY0iNG4OIHYYLmiWp78n9wduSiutqF/tBWRtXNdZEkg4oJx/Goh+Uf3
RsJ8eVqypdtN+RDbAam+eM/OEd/D6dCvfKGNX5LINjxKbhs3iTVDwpZlzaxAJelTaZsJw3Kg7Rh9
Z/sbgjHhybL3aiq+IhOXRjkM8TWKqnCGm1jJKyUduJRq0wwm+PFMcPLHhnX4RTiV4/fxMN7T0XSF
2Ddpm7pUz8gsFCssZfk9cAG+b/E9HEy7lidqneJjGxXDBY5b3m24Zk+V3+V9weAtplWTLwiaozN3
ul/25XKWTJZ0vx0k3oghHDlWJFCoTmbb0LwH/vNx9LrKOrrxUjzVulxGaK7t+ERLOfs8k2h4+p5O
ndhG2mY8Hs0oH5uNNYb1t6bJgeN1U3IqtgpSoTdoqJ6HNm6CHZuVbbYP85zV33ZrVwmFLlM2Xqn4
8b4rwjmfYKAr42DCtC22vYAqGaWKktPE8ygu0oAEFPeOFKU6LZoz/oER0Fd35Huad06FxjPt9UDN
21A+mDbGTvLvR6wglnaqNbp291yC3c+5TezxaLlUPG+asG3oFF/dtJt4AvVDP23FHA/KnY+BZ+VZ
z/qz3VXJG8eN6HtoNILqeifuCgGRgHtXgwcuVhEdo0WtzsIwqUmNQiUp82gJpIwNMOMeZ94G5PVI
LURS012yuvQjo49urFwrsndyE+4jl3m6SDBt6yeNscCmAmXJ0B8L56bG3LwxQCInfj2wM+WgxaE8
UgDk2BQqMK5S4sfmgSsj+xoKnpYJIwoxl6Jir0qi9El26IIds0km4bxuyrVdyBCLQW7BnqoPvZrC
DSl0QhF5IX/Z4DvXavMus97jWrgwAiF4i4G6XwMjhUeV2oE+4yjwYC/tdVK/cdAXHtGcvnikUikh
4ULlkuPMzgM6kvfWtnkC3hwWx5ahbrxvaAP+agvuqH6ma/nr2E7DsNFMZ+o3tFBgnucuwZ5AJIUO
rzzNJwlzB0TBqSuBDwm5AK2Y8b3fcBlk7FOWjzIl9wvj1G72dtrT+WnBBLft8a21BfTzGrMA6ENq
i3zIJ9S1ySqU1kEPi+UDGWOIfw16FaNkEpDPKWWGsASzVVPqqIseE7QaYK76VaETkjVMmQDC9cb4
tVMJ6SQufH21q7gUYV+HDeMFlJk2lGJI08L7jAu68WONeBiDG0MwL2ndN4u7JTcIGQmN6EUx2L/Y
DBvtDmN73O649sbDbkIzcwKbWd7s4y6gCkPN06wH6cQHjRW8dGi0sMyonO7sRkTDbThKhXbcpDpC
jsffeoylwu80i9BQv3DrkFbQBa6eHQgtWVGzhKaL/ddbeMoWVR04LfXPwEOcI2HHqHnKumqW20Tr
YTOqkY6UMa/gu64TJQ7uICmvLb+o6YOwyn7nqvfaLYVvbb2pM05LQQSsn6AFYTA0MKnhG+Z2G45B
seSAoihxLFxL0ZKQ1ll35Mmchg3VMGID7t9+aMekvCtLx/l2tak0D7ZHjOQ04Hf/tLycGuwipqqK
cxbWZEycoMK9yXwpXdt4gY+P2Kxnhr3LMzui3K9uSJ3IWvjCSdCDFiREM8A2A+sii9FVNiyQglQG
Cknl8xKLwEjqkLFTzGFwk09ZSVlH2aq3cSzl7Zg55a+Kw32xUY6a7wZlZicYH4QDmE5hfnHpywum
zlMH1+jV7QhB7BJqeM4heMbeLgWj/uAAHPXtuDQfi7GMOcSTDEA4oPeNyIuJl63OKec2mjk59z2N
vg4GoWejNK1fRe8SmGqRMZbSc48D2X4842yRxXbSdP1zisbcx/Y6pSt8ZR2hSQJF+jxQ6VqBCC7B
yOEUZ8xPJKCs77W+Gj50aDfviTLsaxcb2dEdxnSH+Tx8ZLdM5L4xRPdckTz8bPrE/qZeVD2rtlA7
zPNPHssSEEoyPN02HqunlOQedaRLXJ+aJmPllQaHZKNorADKlbNHnmCa4sAKt3wn9XCm0z2EBNXl
7lskSj7WoSu7M1A0+ccbobCUSWX7OrUlh7Tvi3fGXchcFXYyddDNwdrmI/i33MyrQ1GM1bYlenfn
oKPCTQN2l+5mgxfMuMT4XaPY3gxMFGKfPJRR3yDULHXQtQsW/FytwaEJvMmmHAnrYbUZz8jJnOcr
IW1gkThlyCJp9sOI4e82bejIAHi7ejhc+cXW3N4suBLe0pGp78rPqE/1lEU40Qvo083MQuVYwPUL
yhnRIezRu+d36d9xZujXzOhctSEatjyaIPaPiTPXXCRcaHki/U1Ij4JD7nxbFRZJf8enV77p1P0G
k9Nr+xTtk3CizWG5qr+JpC6X2FvkHScXANxeWbzOBpmYxtMSouYVTV4llYvbDEcm3zcxWYGhJ+6D
zo06xjRJb5gxkOd9Ys6knUy7at9No+QBi5gyIvJU0HoD1YLH5IrX9Z/49e13THXjw5R7rnV04jJ7
rYh+RvfESiB26aldflbct76wWeK060gbaKeOCz2QJ/Df+DOjUSC8z6R9LCcXpxpjGZXCTsV/59hB
QeVfW82bdHWMQVslOE25kwH2CnvnwU7NyndUx8rMh2tcJ60r+23fo7D4/HQR1BzMmk2NmrefF9X/
cSoPAw94F3YwKx7+OKofjyhV9Q1ygjg5WlI/ZFWFp6SD7BAHDi7/l7xsyn2MuY56kFDf627ongCY
8w/B9+aybuSQPDy3Y7OZeXPwUkLvJH0S84cedCoPU0vRpbt6tpaPxish0jaTNX/Q1hF+9d1EP0DX
jeAVI2nTAGtOc5xdDM1pz3zwjNxMfrz0m6JG7WFMVt43CCmPHEzjYKL8DuElobsF7TkH7si/Ge1N
L63evYzqCt+xSrWjrYcylhCHPDJYU7+BqSVkmsxt+UGQigFhGIYf1jB0ZHTboeWAp4VnrE6QtmrD
yY6CX2kbsWauHRJ69auXUfPFhJ4Jr1UJ5y6JHaqnvKFykYrn6abt6vK58gZ+t7atnDuICmPiqzrp
jmWzRNbWtKPqwqo/B20roHxx2CFNreth9IL+sa479OvancmIwy0I6WzakENTMFfg3Hxrmpt3maRs
NQxBlnvITo4d1MM0fPR9BdovTjsG+02W3VuMHfEdqQLmfgx/hwxJLqbbvjUGgLVSX14iHIvPXlNn
tDbxj90lc6yTIAX5EExisl91zxnjp4xRxQUWFixnFhj53XO2pA0ch2W469iZLyWhw1MM05VEUtHL
g1Wt0bWMOPa8iXjPDtS4jnu8s3a3cYxW4I5NGSbLUplPLrtOAMdouMZ0mzC7NQlMEULECew03UNu
9s64073F6TiSwIriZD+6gKlom3kaXS8h/ba4HPJkNt87VpN90ftuPTYAiNmJrAoOWqI57tYZHe2b
FY8MZt65O5Sh9LeYpzrgKOS8eJNXGQTaNPdRH5T7XmHPSXwvttChm7UHSM1YO2O3Em+ZGJdLobfa
Z4UT5UmfY2xDJvjfc4lt/A+w1aS+WaJubQ3FzfSNh7C/Looi1XzJxzNTBbpNbXI7aOnML8qdyzBn
DpKSVejQNIV7YNCsvbgR6Zpt3tUdk2ynPxdxi21vTqAkNk4N82seWrxzJtAMPQOLjn0Dut4iw35L
swQtEGImYBrERUIFmVHV4AGo+Am0KGkJ4EZM6qNOPxrF8DrpfUGcsUrQt8jQwDdt3sNKXy9Tbn2a
Yksek7ZePe6RTe+NwFMzmxF8+VmR7mHx2lhafDUz2Jx2y8SFpxDVtfP+VBTIdNjSj1MURttG9vnO
ZmS0l+Th0OLm8Heo1d09eTjWP4LalEpN3A613t5XRR/vFUcEOzAnwo0RVLnLtFK+m7TudgZhloPR
qezcRGL4AmZeP+CADqXPoGTk7CKqZ5u9b+dKquNV7kXvHGfowfXix6Rkacbyxml6QaBVDRVRYqzC
c+3QKVh77YpEG7qbwYzYqXFhBiqB3R66/dEAqQWRTRSEq0rVf2dNqattqnL0yZTBUtqYaKZl4/Yn
xQMC63Juz21D8ZddZSDRumz8WGTzvdQaZ6vcDtftlNtYHZfh0Z3b9jRr5rLnChTtKGbkVpvgtLrF
rlduYwG8q0ElJW82mruEmcNDX+iz9Jtpas8uLQU3jEhrcj6wPQPptPq9g1ztQ49yb6wqfOaxf3AZ
84zTcLUWZV9sfOgbqJgLgdIMsr2B+YaPcy35iVIubstaH8tEgFo8INXXypqwI634QG6f9AR4ZfOC
TDp9JHU2XchJrKZjpjq38+KKg2sq+1jRFGHtyevTZqdDcHhzTf0+qztilAR892G3YjutlhPgUNL6
llvDO6fOEOq/47x2czV+1kt3W8Q5ecQ8xXpO9mphibGiT9ML9c+I4wb+xqnazcMsGcRqy3kkE3GX
5uPwhNebfU42ThBxVd41eUTfgt1qzrFYCvOucvFq9oKz+dxlPf6ZXOvfmpCJTW+Y47aEdbmhBKT7
pPok2uWemGiRCdUTyV+gmLLXqbeX7G6ua+8sDdCgBOeZMcOJorVDbgR+yWkE0vokmi2OnpxGPzrx
tg08CpKF2VD2PrJizxZuNLHvcmvjNqzR7kH3Bd15sTaMfwRcbfEsomktYAMlyc2kN2O/Zzf5bk2K
7X1sYNMhXZLyfYqwxZAUNfNwI7S0ji5FWutXmoIrjt9ZcSFBb76b9KHdmxSufXfpCoTMbDhmzGgN
6zhwu9m5YkXFimVKrlkzQQvXZG0mT3XdlVguo0ZuazwFeITzZnkd49o5ChSgIwBLk/vCZJUXILZY
WVeB5CNyNGM7ZpDfN/Y4ARy2bHoHqL7otScDv++mV6Pts7/UT3Eu+g+TyD6GVKM4mE5CH2IVn62u
64n5DqDDcSMyEmOLNAI3rJxnojT9oSsXy7yNJgZTWJbbtKXG01yo09MLS9tZk5b2G6mKUl6pnzD1
fc2uCWcizNcjY3SjVE1HC3A4skQe7WwhlnHihJBP/tRkG+7kYoe/9AmAPKAJi9r5rBfpa1Im7QkF
p8QbhWUXhxl53ZMmQNo+Y59fnsreGN2bYgKtTmfDRKveEs/FNlEaPHdUiT3zxDevaApv23B92+Pt
sAQrUqIrehKd5ZZLZ4tLlR1rpxTT7CzqFBZmS3uuZShp/lw6nyOkRV6GgBFfuaS9Y8l37XMzFOk9
kGz7K08H+QtlBqw6+xEn6drZl1le3zle3XxhlYa4AqHAogJ6Fc69OP9OtVoLD41MEw/5AdsfTfHW
hLZDsMDhxIdgsLFwyjJxqpVjBIDV1C0DAqC7yhkIsyZ502UbOdW9zbC6HNSmrqN1FtRVQj/n8RoU
JqTB171L45lQgF701qHjJpaSFQILtx/FqAdt5vTCt9t6eLXCZj0qdxUQ56TL8+cMOdDxQxTLe9Cq
uMOTgvEBBmQezA37dOaeGqewPyINO1XLCHHyM0IMnHDYombhMO+w44I2I692P7PcqH+5hSFfF7ek
AyliHnKp5NqBjbdbUudidTNRGBJg4PGH9shJPCdVXGe5H84D/SZF2ehgHdO+lrjRZfRuN3O9Bxjn
3tFCR4WVWRaSbiMxUCGaSOeLQFoIw4HB5Nm1c/IkCWee17TT8LARKGrOaeNal8KhuCAv+mrDE2zl
ADPy5qBCq2n9mEALrdJexNjRaN3yBht+ZGK5IRMQFFZm05FcrLOlEKMr5bqqDwvKl702HLYD9eb7
bMSTzZA0nN5GlwsWr0R212EWpHzdYSJhrMQa2zazfqlp35oR0MaMU/KQx8azFBKMhN1Ll3NCFlln
t8PcQSXTmH6YmCDQLRLwRbs5MsjbFaPNZN8Tw8Jgb+DSxePpyiCLyAkZG8qdotck6bt9UZruCUFE
JHgTceqg1ubfNKSYQIFn5sQUy1nDGi5p3ftkiPor7OT0V6N05uPDHNKVpxZJ2WemCTBD1OjR4qZ4
VE79HMI2oYiwAbM5Rt5zkbTc5jH0kf93jfQznNVKpzAxONAFLRO477pBDUWXkYijJbBpS+KF3mgx
NR2HJUiIiXy1ztC+5K4J7TNLYN9sMizG0ybpBWOZ2EV75C5Ae3HGlBnfIB0d0QeRAHGezBatNPFS
eZdOCfM2wfrJgp1GNIsVrP+wqkvc6jQS94vw89JAsHFp/9BBZY+0rmAPBOtEKOfNpSwkWEQzvPFN
as2bVtdhD9dRN9zUOlE/zssCS69mddE3POk03k3m6qCGW003DNsS68pUTpTUpdZonxavWsyNDqbD
9XHeOvZGw5m6t92sxpnU0YM71jqtviXc5/UWqVFC0k5NtF1y2i+3ZpwsD2aDD2kvORm1XJm8LgAV
EBNaTuzwVk1aqPy2B/IO5nsdYhMKZUHV17E3q6o14u2edlql9OFmVk7Z+FrDLgOlngiOn7Q6YhI0
8xXmHnvyrltIYG1ydjauYKsDI0xJP2yklbcuc30M1oTPI8SiueIXJr/VhbfgpB2Qy4XxZ8w0+dhK
YaA8ptRm2RrczUCHCp7xNc4hk2p53ZbbjmUTM1rfaA+kDhZ5haw9byN3TLjApBhZJN5eYBiAXpM/
Nvz095wDGa3KiZk8ouLaEF5LpwliJZLHLJfzAeZaPO7ibBLXOhkI4M9jdMUry0m6lHV6yZv8tdas
cFslQhBnYhPZhoPZM5/txxAqT1h+MNDRvquknp+JpQ5agOEGUqxg2Z0JEa2z/0niD+cOOckDsAK0
7Gz0vjjMtZ96KouXBch64le16rZc1uKTZjBs8gG38Ir6cLAIA7omi2pu/za0Ru1QLazdhKBwRtKx
/dRyhkunz+YQaEVl0XUq1HKweHBpQlP1Y7hMfAOodkwCfN/mU0s1MAMeQBXPGPSM6Rw3AxUw6CvR
blFijP1C61CiGECTPAxteBcHyeOL670aLXRL0OXEewxMyrtlMcblpgYx6B4gUVuMZ+KetvAkM41j
P8dPcWO7Pkri/KHTTm1pdhWQ+CTq2Cy5+mIg03ATaMxXzmSTw96Wxu5TxtUEAEgm6zVqHD239Ag/
cxalx0/3YqH5OqMojWNbQ+0ZGPk/nsnJmckLOoAvO734bXaEA31prdEYd0Lsb4YE6PIaE7ILFnpO
lK1b7P93Pvvfms9yHoIm+y9MvUnx8RV/5P92aT++f3fxP7l7//7Df7l7vb9B83MsQdDLlrr9/0pQ
hIPvF7svhhrLZgy7/sl/uHutv5mOw/hWuHxbSWYxN/1rRIvx1xIkQTwLO4H4+aP/gb3XXOtU/mlC
S8AfEo/u2CT5LcO0V07gPzBfTY7jNXlBuS9ZtoOEza3ZdB7Q+ZqQ9heOgXab6rF3VY0j966mqPUG
VxYIlYZHE/HiG5tVecAUBJCeNPxQeMXephjqPW8zOqgXtyb+1mfNV0PGmmBT0/k5+ssd5eTTo/Ri
bVcN5Q9Nvm+/vTKc91PciUcSYYnaMkuxv0Iaxu1NabvQVrRiN3vDbZLa+XkdbmOs5OKM6nUkcGLj
Hiv1XVJ79zrfjUPtRcOrGzXed6a5LDkxbJE9XL5hZ5UGs6d1CvYdsXW8D044nJYuNQPHnfr90lXx
wbE9ij4YCe07zq8BUiBVvYm8J9KutjNi86GKoa8184A1rrGxq5GuvihQKFuPNdVgfODO9PyWKRSf
MKlfxqWqfjMqcW97XQOQKIfnpdM9qAOdvFiCuebGRCPgXa1CvDYJFZUbghKtYB7KkX4zM1rZyxmQ
D4GQ7LUjFnfCYNyfysz8aoFU3oZZktywV2GzFbJ7yuEEHa25o12YpAA4u0wknzFVLL/MMCLil3T2
TUS722cNPgo8XOdof8bZ7W8LLGevFc6hWz5wXqdDAUnYUBjr6Padwq5NkZ0k800QD4uwLv9MNvEj
fHbsgzlJrxMTCsRJfC1E0wq201wOOH9JuvHA27xRGhSgwkwJnJIxieWgv7LyY3hyOYMiCbKeDpmx
2qK7A5fDJlAW+p6MmGOR23E24+ggtkbKSs+OFl4lFkiOvkbxDAO834yIWriXY+ttwiN7GEzGcqMt
ivskX5uWWxmrjTtygmpNVdDI121VJlagCbzPwol/E/4McdaVtXNnGGN6HBoqJfNQv6m5890wS/C+
CYxHL9NoECQkNXOdJzM/yTh0n1XJaR3p0mtwJGsDqqxuPiBq6iXRF41peMUkGJFgqL87ytA85ALf
GKJ6N9SpebdYc7FLlTsBR8AvsXEZxGwS3ctfcuGZTTBBt95pBe+Zlxrg39pyeF+cuDprUtaPeBrF
mW5CuZuRhzbWREIXQdRlt97XsxDXrKZaD+MdGo8GwKCd00A5WbynGrt8MeTs3cW8OgQDVKmtHlJp
umniNLqjazS6WIth45631qAiUZoIikCr7ztLETwK9dkf5tTwBeD7L0nA0yP6ojUHZHZ7h9dCUrSe
XZah+uqM6SSzMPU1XQWm3mu7tlK3xWjVB0k2jYoz95nAYBAxljuiycPQNGNXC/5hrb783YDyb+WA
5JCUffd//89/op+y6pk69hfuuobHIryGHv5h1QtFKqh1YznA7Ak3cwTLR+quLsuYx7Gsb7Bgmr4q
aEjqytecYuV4WzVte2cvBvmeCN/JuV9GSiMYdAdlXOZnzu+Yb2kiyG6oZChfq4bAVSdUYhE0im28
F32rhyg+S/YIEIrvc/bz3bZioPHHku+Fe0Qgtk7KQWyiZcmCPkb3dfb+r1+6WIEu/7Tig0z37BUZ
7Qgbf47+/634MwIoanak7w0nIhpZ0AGRWU+anN71teHaQDryHRE1N6IdBFRYPuOdHKeapwGdlqL2
yGmNrbPEVY6iEFI8YToqaNHEfuPki565+85H0aiDjTOvsTAW+ObQvmOY2FXQm/agwU5mbko/y5Kv
psFWw7NVXKZBUrque01AB8Vw8owuPpnU8TFKyEYqp9vMOpZja7m+nun9lvfR9EOVpcHIWXnveFNx
GYTy3hFRy/d51MedcilgNykpunMigCM5d+8d2LhiX/VKvNKRgSpaWOFlLpLxkf8Vu3YZktcUjOFp
GtUSkMKXoNtcfC9DvewrDANgZdV8jGImaUD++nAX9Wb0NKOCMj5Alvf5tZFY0izeZbZn7FvluLuM
TXabW9lA4os1ctt2YXvtTfSNiALGKxZML2iwoP5xdQ+PSQ99lVZOkLq1k6Ib407xkb+cq9Y75j2i
n/Zkdco8EPZFYVmYGf1u0mq6umA1ro6oygugy/Yi6XY/6UthHCzDjm/CRm8PJEuORSuDfoxlICp0
lkZ2WETEYBBgUEo9TKrI7miNh58T53hRYpvUTD4PU0BIo31i6oRyYy4YESvD/IRCFz5XoV15fpi/
xH2KYtgvDtXvfbcU74WOfIN+1t8sLYq7HnfTuaSh46aQAF0wNiaQdGduE62Q1q410jmkYVnGPmPy
+gaaZXiPz7t+QEoVhH0N4MFOQfzSARjASJq6Jg88xGVA8b91wfkEcVdilo0sBguu8B7idRXJm5Dj
ijhSbgPRpryfTdpuMH1ybSmou5pvp85l2isFtRlsE4wZs0u3rlkRmukuXNcxKzJiqhA17Y9cV7hx
XetyBiaVak2Ux2Rt4Mid/fKzMA4/iyQrhR0M68rZrmuobGPWGeTHhYUg1pFm1/UWrEX5Mq1rcGva
06nEqUVnpdnMryXGk52pZlZ0o2oeR9FU50U3hneH8EFQ5UJgnm5NNK11Y0jXPUKsuwXiJWjhbN1D
GtDw2gFyLXHC/mcL0r2aCJOnzT3ZDqMRz7NeOfddzaggmNZ9jUyDhZxZGZmz73TZnrSxhviy7pND
my4B+X12UCRo+anq1GGr4Jm22KeS+kwh6Mga2hfNoQrhpYYxKl/Q/mzpNMjxwc4rK5cCnnGHbwEx
eun4iMTPqQH2HLFgThLLeqSQP4cL/Dkp7hbhBPF67tA5PoZe3DCzXPkIYS7lNtSG6VwgsQWEb6dj
6EDcQQAu9qTP42BkgHZMh/VqC7jQDozRg8w3VcO0OnGzW4cr1dHqq/42jQrzV1y59h19dvKxnGF+
b9ou7nZEobzfzVKbl4lJ9teYD+Ml6ebkRSP6/xRi9u+CSB/EEa1ACzSoexORXjvBDIw3aoPN1rpz
NWs4tFqT3XKmA0WgqM1YW4pM51LMdQx0ry7u+mGEGl0r0X6SFH7VyacEHiFaggeW7uwoJDb2Epcz
Yj0vHGyAeWw1pE9uwe5Iv51Elao72k3Q57SLs+A1FO5kP+GScC8UtDh+Iti68AVXzzXlnwlZ/jY/
WlqS9kGR0F6xiUeZsvHWg597U9rdujVjc3dU3oGDJR4Ybxm+rKqseY9hsgCD4IuGerzAnXFJIzSb
iCz6LxQ2Zw9Wmm8x1RbJifQ+eYBWaievGdWhSKfplAoCEkzWWzoJGjeCQKTpb8YkL0vUT88ILES6
sevt6WdJTvFCJoQ3TboP8Wxm76nlIkvpuoOI0Bb9J8Jg9F4PfbfVBddgr8rCPX/lU6frZrum47d9
Ubpns/Z4+DXR52zlevKwaj/AZhDCNxWJrY4ZrGtfEl5GSK+Z7+Ckk1UNOzNdfuumhrOsh+4LsCSx
tPW+jzSf9M3WsUz9teoy+zTO3XDrWNjTI4O0j6Jwih8WyxFmaMYLKGWzlRzYt8TnXMpp8Dno9h98
Kp/zVFl7NjBGOF5YlUw8HMm3naD/pkyb6JFk1rxn5eFgHWb6FV0vcPEaXQ27Nl/txhgO45DXv5SD
YsmAof0Nt+zfyTuz3bi1NEu/Sl31VdMgNzcnVKMvIhhzhIaQrOmGkDVwnmc+fX+UnVmWTx6fSqCq
gewGEnnypC3FwAjuf1jrW3CICAjads30BEPoTjcTWJJRZJg7Q+YnYfaXEQ4jiv6hXbbDYK5iFvbM
7hK4Viu1Gxwdf09uqsABZLGzzYZz14uNPZ4LfTs1RbTSSI9/DBU+p+okxWHoFQiJgem9iIp4RN9E
P7hEx0FZP2XM4foBM/0QyFcku97GQZm3NqF/HMMqDQ/QQ/zx0GZKfibLV9wG9C/DMsyH5q2LMWou
9bi2j0hFuNt0vo40uOgxjk1zNHqUxunailj4VTlWOydCR8g3EY2VC1DS5LcCT07CTi48q6j2Ah4G
35+a194l3o7ssOhA9mKztHmhTHYjhURB2pHL2KyDbQYWadU7SQ1/bhponHTs3Qr+mwGc4iY0eHwm
Y9ZDSiUYgjQYnVPqZCMMMD1f61prPQVlqG1EB4jFs5WYEXMy8q0FdmvShjIOXBR5Ta54/Yh78jRZ
6vs8v1h1mqc9N51iXeKo5XgsbuvYklgm2PichV+N6aYHIP4a4flb6IF9lzYZRXXL2T6JTHP7ruo3
Nkh8hD76sFFbExkTFtM7ArRL1iIjt+Ky6ipuSV3j+lIU14XlpTCKsBQrJCgzSWM8Md2aBCIVaEoh
wJPBc4QXga9zngZeJVkuTvBBQLx4vnnC4ieu2z5sTJeJvJ1tEBcqN1D99Ctdy/p3GX/z6snN+mIw
F7CKAvOSiC25rSD6LwIlO6W4L6Ramm5VJ54FbCPamGFbchcR9BhDrbip8TpiX4/Ws/AHm/5IzH3v
WBpKJO/Y9Nh8KAgPjSB9UW0f7BidxXkM2DNIHBdlJqL3yPAv4jjNQA4U6rVleOUjny8OL4x/lz1Q
P1ZIWfGgdh1+rTBhCrFUOGc3yOjbRzQi/VcUM/qjp8bGvYnRb9motdzV2Jj2nATB0Uw8ZQnnRiO3
MQHHrrBViyJ/11QR9g/m8wuENMF1GBXmeVS98cnAtsMK1E93FZvA5RSZcolcz0i2tk2aN+epNTxg
y4BpkzHknxOigq0vjXSXhGO5kthvMPg6w41ovWJjQBbegOqWayQK0VaSVQUckkp2TIAQd6E2bKkh
VbalOahmcvBU78pIsmIny3ZY+0krVww5g6+IasNNhzQGBltbbm1ZOVsfIRaprOFIbJZHZh/PAaCB
D32igx7yUHbj7HAdfH+ZhenZJ/SMFUeuTGvUhqhyySXcQJ/9mihjsY9l3cLxLijI0D2tWyui55em
vAU7V6+mtsghTQxth8A6KWbugYVyO1F6AnFRUMOqy1Ru2FPVo2Bq+WbxVPJl46T8RNekzXL0Mv1u
zMIai/BkvRR+pm8D9lYbT09rt26IdmPJkG4zgQupIdt8odlx5C0isDVuPwuN/dhwxzbGvqt53inD
V5Y5wTeDwUwUqzuf9CUt8A5VihlQxFCy2jzAZcU2LrBQTSfGNO6Z8GUu5cOZvpxtWtLz3qZDvDAV
Lz0FsFmWad9ZLnOCaRUORkCbFFr05ohADoFtWLwFnrZDEai9TkhHKRjq7D3w4KSZPSE6tj4qS6LE
tWKhQ0TfIwCNX9Frxo9ZKKuE9CbhnaXSOaeMQvuKXqU5yJCwLAAmTJbw3ep3kSK7OQ6heEQ2DG68
SPIDAL+I/q+ItgXWuK2qwySXXVUeMz2rt3VInvqA/HuIUHUL6UyYViNtwzdM/9rQrl01ClCdDKft
KkyZfQTY0zVI3pif40MujP1Qb0eb97PNnMcaPhfGTvssss7BwGRFdyTSyV0ZJ8nRIjcE9TJ6Cq+P
rnzd7NvF73th8Y9aYYM1K25e1RFQxz+PAfooE55HQspGGcd6BfDIfEH+Qq5vaWS2s0CH6EPNHPxb
n+VtDKYGkoobBIVyDetg/MZqs6hWiTTIJSBbmHDXeV7JTEdHdApzUltqwSRBUX5MOFVgjjmrawaE
Y27a+xD2I7IYOkRl+fG6/quDif6FcsjJtnIgw/75PH7/nKbtv/2P57T49387PNfozj4Rb3/8/I+R
vPnFguSOup3GVxpMvf9umgJ56zALty3V5B+mzQfibyN54wsrKkOzLcbvJIbP0/q/jeTFF4FrSmOU
L3X8TszQ/4mRvJyzlH4a0Ch4OzH2qdavmWEwoH0Nmei0ST0cngrbTICpqsRI04bdRYHrIV85HjGT
C2wUAfmztYxXuKPLwzh03o6QzHI9IuS6MLMhcNVxsFyWo8M2QXC/UhqP+VSh+BpkVUPrXApFdIce
zFkE3eMuBVaIpSYY74e52sGioaLGRDOIc7O81FoR3/tAxQFR5DBp5nqpb1EYOL7j7LKppwiZ66o0
C6o94xS5YOsQPpN9bh4s/Achy9O5LMMCZbj2XKvFc9XWjR0osI9Srp+ruvyjwMPlZh+n1gcHwN6x
efM/ikGmkuK2mSvEZizD8VACfT+MFci/QgzK2sN+shkpL2U0kXgOvx37SwbWKkdL3i89USD7m6vT
hEwPzMVUrGXUFVgKsukRU3O0Yn6gb7W5xkVZOt62MdCWQ+3XUKGc71Vxm6qznzM1TlklUfqLBLYs
oZYHA/LONwlfgbFHobi2D/ONTSc1+FyNo6uN75lzFPckA7Vbda7arXk/u1QRde/Rm2GPnrGkywLX
6ws6BG+vt7jqNpTBMe6gACBVr3QYxEUUKreKkiKznaTFsmRqE+edgSxZvnBR5ppFQa0HxehZKcLY
4A7dOUslbZpVqJKj5E0RvyVEyEf0gl41K3AGynaWOK3w3mrulJijG8x/k8A5wGV+2IozY+j0vey5
Cq6o9OIOMDHHmI2u1//KcBA6eNoJkAXEGlrMRdQUR5WMbf8yxWW4Q4UUXBmC0lIrKi/gcuc98dVK
lcMGaIPxyiPZntsgKAvJrxRXFU/xuYXszJBRgbuSjaVBu6w0A/UUtCgPq6BY0OVXu0AqxBEEmvc+
FibPqYYsAqpBCxzG6nxUgpXXl+JsmbX3zP0YPSLuVv4LGxBzPRbzboD4g0K81LKjh0zEVRmKXedC
JIwnnEIL1+0EF0CAYTiHMvHfEXgTLOnlBSugECe6kWt0zklVNRxV/URX4dhJ224jW1FfmR2NzxP9
61edhzVcciL0d5W5AF9p3yBNvZtSMrQs3VYVvj91QbJjlzQd83A0Ki5GGzQ/diLy3B06Q7IaSQl0
FgrGiSvUEAVC367ys9UYzZkjJZ6rYAV9wbjRQyvuEVIppE40Rp2JVaSRz4D6vVXf+rHMd0oTasjj
0smHmepnYPkV1TP2GgGsNUMkx0FbMLwI+LC7UcuNF5lNyZbg2OZMlhLz8VkvN2klKs/EZ6qi2cWA
QSDynzlNwx3Q3XhXjF7DXKvFtpGYJDJbsSPYSdWknuhTIMh57zuu0wB+40AZy8lq4CTEWmU6bbHq
mcVuWQ8yohYFSJqucN4qwWSKUCgFl7QVBt+QeffffC/q1iY5MhcT45CrMKsVNDlGekWeOtZvv0Lw
sZCkGzwp1ajTxVt6mi1wM+VHcrVVGB+5/8QvSbdRoKpXdaRhHJIOSlF0KdTG5nHq6DPsFtFF2NnJ
EdGm8WRLH/FANs9RrDpiN4aoIVwVmESWOPHjDs2rBvyiowjcAcvI9yBRisS1qRhCt7GEd4wia9iO
GIFWQcWcdAV41DsaNRL6ZaWoiHXKyqqLGU6iPrNvcr6aOrE+wA2ccz4l1xhfqFKxwyw6aWdrzBwj
ShCjLW5No3MOKVYnnIgyfMlFIAFJICpRu1ZFCchUvov0cGXUoc3oPY+3Agm7mxgB0UVl2bt81atV
Pt/TsxGsSdnABTT9QT5iDySzOQxktTFYyYFkScILhfveKSV189KpyTgPDBSval7VZ4P7/FXpIynJ
SH0cll0blxuzD+SV2cr4VquV4E2DsclCKYy7VWsL50AGWbRVHTXcIqTpN+g9cJo6Ab528iJyWkF2
sW5BJNXJN9I+Xml6P33DHlhvozgNzym16w5exbUz5eADuVvCNXIiRzxybjsHsqrp1zFRmteTypIQ
KjV59aWjpnu7qcfsks32wHglD95JuPDP9F3eLdJLVNmsqxz0wESaI6OTF+jhqueebJZ72g/wjOpk
LyFUpVspUVWhXdYUOK4WK92w663rdNCtY1JNZK8hjT52lSIviKm0GB5HmrcnHxf2h+r3gB/CcO0H
k74DAY0I3tCaZm0pUXI2rBp9Z+ixWJ5IfHpj/BUGFwK3wLMCjIWNJ0gn5FUxRucIueMR9Ku/9Ecc
d+TqyCPE8+5R1D4WNKniYeUU23ROms/3eDtAleIRiQ6GP2N5qxcXExZyIHrIWN70Ls8gAHD7hYPC
oB/z8rQoW7t+8VDEIeDMxLrrS2U/4Yl7Q4s4rnOt7m4qn2NoYUmDnGiGlnufgfSzCNl50ksJ/xLL
i8q0PanCdWmgPvcrXE5tK5EO1oXVHqxe0w5dyp7QURCeFbhgN6PMudMp/Mwu1HxWbaU3XEV2YKJq
pwevTbvk3WzKr16fVbhUCrH0s9HbxkNen3ujYn1qe9ZtHTndVdD1TLLSkfOakcvBBrHKQj8DVq5I
igEw+KjmTOvocK5++28p0E/hS5XX+Xvzv+bS/yXHQB36QfO/P/8rOLcfncEcxPnpX1YfWpfr9q0a
z291m/Cj3yNB5r/5n/3DH9y6vwih0EiBob368wr98FY9J58peN9/5EdRblF6wz9DiwLAeeYT/L0o
l1+IgLBtbiGG+IG6+1GUa+KLpeJ0dCRnpEUMBT3Cj6Lc/gJUR2W5qwl+lyWQ0Pztxf9YEP8OgyfM
OUv6Z5KBBRTB0PA/qmh4dN2cW8mfNsZOC48/jjWYblhgkIdzqLQ5C6wl89L2mEU4AZmKiAOJXfkW
bXizo3BGxGuTJEi3TxyN7OdkmmwOqTELur6lqmb5LvlIsXHs2LY4wZtszTjbvlQ/Um8Qz/bhsTLK
/EVORnuoPxJyWhrJatnmYdutfekBQpEM0+JVowCxxnNeROzqpGpizkn8V2QMWPXszjZJ5dGjql80
bLPJweuGITv0c4iP+pHnA21sOBqT6h2muqxa9AyqeV/OIUCeRRxQjd36EnUAa+BuAlptZqq/7zQb
p0YYB6DxKXucvZjzhWoC+Eh9UFT2Yp3MZAcFwaOd6D9Cicw5n0jN+tZYxx+xReVHhFHsz3FGPYyL
zAUTMHiXgYXYd2UEhHsvUQAxvq4/YpHMDp/eUZgSVa3wGHUsiaUAm8TUDXMOK2vilcI5aamElXwU
rRKyGcCOd8zHiFCmfF64L83vYU1zblM/sSNm6C8wzTbNkDQMsBo2sj23HZQifRG/xMzVsL58REPh
5uABJPPtBzWso8tY8RxcApa8Ve2og1RPJeLlo3MlPoKnUOJWAxZE8qgEwXzhYorSwduYfkXaEmF/
/pIabgA/SKJVPGdbEe7E4dwyLEBq1Q6kOxG/yWS+j8xk1Rq1uEf4197bvkFoVv8RoGWrKbd0aVlo
uz8StsA3AL2xS4bvRUOzuMMkRrYrUPcBfQOP4BqN2hES2Or6GaxSvjX8MryuU4kevCMK4QW3GDuq
MhDEqlG39bPlJaDb0xPXpzV5k1kAH8mbDDQbXoe/bVt7k7OTnRKNbmmEAiEpN3D+nmY+lRY9zSI1
VegT/eSkRJHhz5HrnkWysR0xUHoQp5kquq0pIWMQP2Q9EoEYVAuV0Ih9TehB7FIM58aitCH6LNSi
at9NbRowcE1G5i1DtaAgAZOEHkXYZbsGNmFz1umZd512iEVFMcbEVA6zGbcPHDhwELgLdLsCFm2Z
mPFrGyKL3tmpAtHDQ37tmkmUg4ToZQA9gm90euM4IdmmVsuwcNElqVBQxcsquism5yKB5rACWdkT
C0GxURxUUTp8HM0tovOeqqZWo7tM9OoGEe+0skI5HX2nTg5jgOGqHIRXkpDUW/1pdLB3XGN/ze+q
nh4SOvhWM7q+XTo6i5e9dNLsxg+iVZPUQHYjT6sntvp8UjCbGSe1tQnka2zMYzwA2pOF6mG9/YaJ
YjqKji3oEtYZQHpFePF4xzQEolA5jp0KQZD0wnhNnUhHgwcSIzkUoTj8RrhtcO7bbDY09CUbH87Y
YNczgJ8uQzwO41LjK9OuHaNgPd3b/oA1E/kE5j6TteFEwhoxcicF7MtdMzb4dUqdeJ51O8gRoLoR
iBa+UjNym5/j0GxlFquxYWO48ZwTIka6SEQHS/E/4gxW+SYtC6NlVG4YvNrF/zQKsCJt0aITSYfi
qhZds9EKUIL/d8/tT6f4v9L4TdWwiukcyX9+vp/efPSwz+PnI/7vP/j9lHc4sDlDdY5STeg/q2Ft
54tNxBS0IIcR2/c/+XHKC/OLyqTAcRxSJPX5mP/7KS+ML5zIaLgEebvfWUb/zCmv/8IrosaAl6Qb
ZNTb0nIs+ctAuPVQehsp39kKXoa/hZdqsrsghJN5P1CFV1qBZN+YtF2kyZntDX2lzY6cRM9p7Tue
/rWEOrPLGpOUjsLExLBIQwZES6NvBhKblED/6tSWfvL6Xr1MFcVornQjM/WlxYq+BZkmI+6kORom
4BJ2WRxVJR92Y41F3TD8wF9hwPVva/bVKsEMHFVtqym3joarx26t9qGgu2NnTOIqVsYYQ6d9Vqcq
dDtdvRhHjLNOXJSk2NZd9cL+u2A7xW2hXPJi/aMKKQyqJNi2oxGgCnG58wV4WRN7I6ck3WLfSS9L
EYqtZ9gDKJJJ347hGEJMKh0QGCOUGbab5nUfgIohdNve9FrcnwobzRBkD/J1HF1dsbRH2No62azs
W6JIEsVdl9t9e/b4qlMF1flZc5TCnj3tmNpyAX3sKIQX+nuyfbvrsmNKRV2fS/9YclSjNbG7jn0u
Zi0IxFk5AGzVPMzXvqLPabK4DiiVNIxxyFMdRbueNMMZLyuUSNk12GUFiaoKuWgbR7MoLChIN921
amNGew/5A1hU7rF0qJBBpzXB1+B1ElEa13ZaNYIoCgpakEdColVkToptf8KxtPbwLW3gfAaval74
FodT6myyqtXuSGcm1Jf2yF9DZ3t3nOHQKn15JTKmmflMdl1AvdySCNQ9WCa2n4A9XT9wFpllj3C1
GVLnpFc9sFFObS2M1TVrE/JmEy8a2F2o/QaCYv2qp521zYUSwAHvgBS4Sa4SSG0W9q1hRXNnaOXM
+2Bf2DeJpoywf8gIkNBt3bBukpsmJjKnBQ2zYOEabPBiEchkZak702apqex9W40OUjxtuvWyUFt3
ZW7sTeLEKcYU1BuaeumzOI7zur4hooZiGRreJTNob90T3cpwSm/JN0kqRo15HljpogQr7MNg7JMj
6nfb5XdV7pgmKZmYUgMKEsnwlk9re8gRd+JxF/lIdIITRrvRJycXvmLrplQoi6TwW6LW+vjSsb3u
seHaokHKOSyXPhQI5Cu4e9XFBJHIrWC5LtLUuhvCML0ux3yT98wjmQxMd6iuw1cDL+wKN09xk7Y+
0/GgjXjfo3Fj4qt6tHAY7RJlak/4Y97ytkUig6IhXdmD12xjJYrWADCU+KFghXnT5yPABC2IrScy
pjWKU+wbOzw0ynoYBhzyAv+9qYgWqACFjFqimZwc1GnVgDM4hbuyToaIErTyky26pz0WR5M7TDqc
zHnv7ak1o5vaT644/ct9XUT09GPgXPp66T3LvvOa/55905+2s/+yxyKmDU6IPz8Tj89xHTy/9m9v
xSeDyPef+9H4yi/zUWg6lqlrnD1zF/0D4SewjgDQ40gybOxRs5L3b42vRuNrcCLqFgNVx5wPqv9o
fE0OV/7EEUC9kYz+M43vL0pp0+HYtTTLIpvUFDb9NB32z32vkfdeUGG8cs0+3TtpvWF8nRz9tHpq
2AUvWGRxQyH6LKoIWLf9WToM2M8DbZ7X3QPBuI9tUcG/nGZjR9dum7K5ihg4L8lqn5HeSuiW5BIs
KyN5aGzGc6oTP/RGTtk77nXHZNLfmgVHgbIUfXT509X40eb/rAP/bH75eHG2jgYcmz5Rlbb85cVF
mAebacylO6SRq1GPxt57VhVXlCPfvyLfpyn/iUeSXEnDtLHa8B/J6vHz2+grlWZ1iJk5mNi/EOkY
kXg1NrmrFb77+xc1l2WfRhVIxZksIpegieUfM/rx50vGTLlPOU4UfGLdi+WVILrS7L4ZkTlUjrbz
uhxsg9lheC/NwrW6tl6qpuzIoSoDEL19s0WBsZEhkTVIC7MsPSmGmFzDqB58pT8ANngWgSsp9bHL
5N+qIR2Xhc5CEkYeodk+8z3MO2tPV5l6EyWjI6SEqkLMm1TD3iUP+9nspseyDJ/0knt+EqvGX7zd
2nzlfh7X8OJtx1AN5j5UhlDdPr8HnmEF3ajDjcttexMgRdHSARd10JAjhPosfyhSk8EpNmeC+YaZ
NCy79DVhJP37i/HxQJ+fiKWhuNcJeJDkj2q/PJExGAY/9VEIJA3Nv1aWLAUU68H26znVJ3khm+4g
I6bqSXKoWgLDjPEaiqW1YXuDYdcR12T93cySv8EAxOdbz1PkP6Uj+UaJcf6LJ/uHIZdpMiuGMGmq
FhTBj/L4pyEXhSMSNfDqK1WdEIGgKrHU/lZ26k2pmBxu4W3d5ji9ze1EKElYqncAV4AfSg58Vs7V
hBpfIyQdMchygtsUmFhiCiBBv3+ef7i6lkkTANbUpCBm6PeRWfHT82RYYZlhaClYlpMbAtvKNbP4
HkX3cNnPczKvxn4V9QQjmHh/iSV76srpZkyrVcvU4vdP5peWQf7yXOz5Pf3puSDUBVEFR8P1MljT
hQrLQKPjxpVpi039lw/3cU/6+QM1P545c10lV8oSv9o3LH0mfeMHcvWGqRDeITQlTYXtvedTIW80
YCTwBNLc7cB8AbaywiszGHfMHp+sEe1URCrSyu9T+gQne/BaUnxqAjWj+nYKWehTkydLgsMAGhrh
tcNgyaWzX+AbP7IjkdvIZFtbaJinyfYgpS7XVuSpHRjsshrJjHQlZXlMSsVfe4z2YTrW9bax1XGV
G6yIDfK2QW4BqWr06er3F+LzzRzJxPzGCPQXnFWahfvv84UAZZPUecOFYLm/IuF7HRUXQwQKID39
/oHEH78m6EN0DkUUH5y/89T550tuTPgeGREFKz2yQMvHb5lBaSoJQF1Ojt6y9Q/uo6G/keW0a9rx
DHTq0bPTeeHkPcFSJS+gfvWtaZGp8bZKkDU01WnIk+/m3T89c+QfP5qfn+cvM2vofvCzC6IOvck8
jhou69iiZI7SB48DmmypDjR50YXIL4N6kQzZqRpAO9lF+eBPtJx5PykXpqwJsx1KfcsCpjtVdZUC
l+jjLRIpb+OXJs5+1r13bS/zZVE2F13ODE4WLbjFhgZYEQXuTYcHNtUOccE0Eu5QSjgsQK8WJJ/N
HV7TsuvL74cmevaCAsdo0Y9Po9HeCRZR7kTl8J6yGmdZ7Fdrry39A5kr0zoOkrvfX9s/foiodtCk
Uloh5uEE+XxpgbRQbuiZQ3frYXyLuQl2y1C3Nl4h1r9/KO0fPRY1B6Rl1hoY0X45p6nhSwAfueN2
YtL3LQQL3Hv6oagg8uNTkosEvJ6Zjafaf/cthHe5jnAPLke16Ju8cqdRM7koRnWlOeNfPLn5sT/f
ZSziC/jWInTi2/Rr2ZdEHfmwGPVceBD7EUC8oRym8utfvAO/ViqzvVllOYPtU4Pka/3yDlQi9lsC
vn3kCQHKuHkhDuMZiige3DDIISe1594viuekNL5G/Xht1Dp2ZMiVlsxIHpuYJJRVmK2serhC+BAc
gSyh0yNP+i8Kin/0TOeZEEMmqQvWSp8/Fw2bYMz8oefaJnjkKES7FKXMLVmH+MgiIGhYawh7Bxuz
ye/fpHnk9OlKYKUV6JVMy+BUZhH6+ZExsTRTTt/qIiO983qLWwybTScn5U2cSdJYhmn5Fw+p/aPH
NBn5zQs6zhnjl+vipKMKvcvAZ1p6G8bcOJPDYtgXrOFcEVLap+1LEHdfy0A+w7l+FhPQKE/51rC/
hMub5xf2kL1HqH+03GIZc/v7t0T+4QZsM++DXz7fhAGpfzz/n87cQSmhJotGcVGIwkupCPDz1h6w
MxwBgYlOc8IezoeoHwSS72DfTuYTgJ9hTe7yY4WdZ4HO+syC5p1M+HU6qGu/Y66sxOEVBu5NgWR6
YeQotov8xeS8XVktyDR0BrucP54K2e+BEoEpxv0zDm25jo36bUzV23aUj1rN+GnM1l0VryXk6lWn
Q/j7/TtgzWXjp0+FLWjmdYsil+8OeRCfPxUZTBu6jcByybS5FalxzSp+a2WAIqHlJhh4iDepjeBU
DD7caY//JzcyXAdJvWr8+txU/ZnFBYeBghEzjCUBdBUHvEX0FXkRFqYcN3XQJml6dfTrOXFx5OZd
Eq5c9aY2W0aPli97F9nAM26tbGH69k2nEzklwpPm6y6Qrh1phxddBDmlV1kmsQZ4DWbJXSvKi6pl
KMkT1dSURKrhOETRMU4QrOFOeO6aBqqM7sMH7jdNY57IQ9qU9CCrwYmBeGQwPGSGZm3Qy1WuqBog
Fo2xWDoQZgqKOZCwugZTQbWhIcMuXnpie/PkwZrI82re/uJS/OFK6JTLfDVp7WZR6S93htbMvMwq
4eDoYlmCIre2Xb4tcVrlPyrN/59lvYw3AGNQt/z5DOW2Cou2ev40P/n7j/19q6BzEXj/P8Yk+nyO
fB+hONoXunvIG7B85yPmJ0GvkF8M9g3ETzFZYa8g/mOEIsQXFL7z2EUnhsiG3/HPjFAwVX/+iLBV
QC+AsFgyQzFM59eSvchiUI0Sm5b0JE75uJmLH3ubdhThmjM82CZ++m4IkqVRx2g68+ZtEOKebuwh
tRL17JVYx4yyf23G0MI3TmBxM5igcRQNMH1TZjdxodYHq/ORu6IDc6cOQdBURtdmocRuLzqMTDXC
R98vLqwiZmsJiRUVuvGQO0W5NqlRc6m+IRq70sYsdhPfqJeZE8kFgc6v0tcv8OSR65cr5VOQg5Q0
zI4crnFkOW3oHo/qd09hnWyVKT9WFA+gDYkAYuXrX5FX5TDTNJSVCsmdG0pETDoroEMTyWlfKAjs
4FNaNBWWpIcD0XWHr/lWDePnPqge8HoTGt3hmz8paIlW2Ac9t8lRQJB83i4iIdszmVsb/OHyWJja
sBMxg5zJG3MX9IfCplELGweH8wjXKjK09l1rnYt69E0cbLp1zRwFjn0RrALIcpsRpiqrjDI7WRFa
pxnq9E0vSXs1JQjjoBYFltZSUBo71o7IsAKmmG9+a8zxqRqcYKmnE2OGHk4xjg/+V6YX31rTUU6e
2ak7p8dQGOJUQmhryNMUV+2alugtAmm+UZzSuqwAN69nLfSijTSBcyLHJ28BMSY9EQ8dEeX7Mh3E
2a6n16LwQCyRKnXZM0V40PPxgR4kAEs2EpzkRCo4MxIGy7hdFeCpqReVeBl3yXtIatbWyp0np0li
Ehr461OTjMG618CvIrna50hml/wtNJ9FRXyWldyG9PIWmLq9reIwRknAMICYLRd2RoxSPPaBjfrJ
mXggYL9pFy+n2CGKnpyZZVPIr5YeeSvLV4xTG5X3fF6dt0GFJ60qWXoxCcpZmKzpqivqW0/xboOR
yPN8SBfgEu+iScZup2IRIaxALgYFKWI2zOTy+qwZ0OGBJhYLVgVEULd5c6f64LApICiPyAsZoisi
DvjM8n1fdgEMy7ojTHzhdKqzGYba906RLspqk06M8XGchi1eZaaA0hyKlQabHBdPnCBvFFhHJSq9
NNSKtcln8NJv6m5PYne4Rc3GdikIuJ059QadzKlVIy8g97bSD0aWR+c6kvZGFIKoEqO+0/x6uAGW
w06LCLkt2RVoSKVJ9lokNnHYpXcJi/cll6pb9cbYNXCkGozLrUIFkxek1sWiPCJZ9vfT2Ju4Vjta
1YVmEBHceojOgYu5PmubBcZ45wLBxXANEw/DLbCW1dC3GPVrc0+Brl+qlVe7tofdDCBbeN1rpGuM
hd1eEkQB0R4Y5AuJUtuwmehHeivf2uqMMSsm7dpjXOQyxGWdEsBJbbCYLzF7W8vO9AM3bmZ1OPsm
doSBkSUrFjmweBXESQ520fuxdsyvrc/uv7RH7z5RLQ8wiBWtjU6NNiEYY4KYS7T+ZAx8dcKiPPo5
8ELQzZM4J5OmXDhphV/CSaJ7MxP3alABmQDf7Nd+ti1oCmhBxVtXaN057M3eRQtUQ9XqTGsR4nhH
5ETEslMX3zBG9W8du9BLq9D7vTOa/bZpyOz4yDlWSHhgz+ff2xK8JWkiB4jZwrXMReOrsE4yMiXT
USeRXikPeDEE39xQj1zsXh7mxMA6zBTUq37yiqOHUuIygF2El689tmbYbZDdlPeZSmCHQDR20cAU
WgZjhRwmRKieknm8JJor+tphW19DT5rOXjBdD7jdXWFj9mQFFu6KqL3mHFJ2be6Va0aj/rcqT6et
lii3eD7V1aSjyspF1lyCIcOFYU8hPQQFdCbC42AH8bn0ZX5tREBAUgCHZLrBJTMsVKogOj2XNd8I
/YMOaacYeH0bQLOA0+x0owLyPA5kHiwUjP0LL8U/0Fk6d+HQeNM08g4dM9GW1E7XMMpeQtgHSy9i
SSUd0MwD0p0VBgywGZhfVh1L+AW+OvieGbGsMudUnJ+DSDC3+2EPdaFxxD2KNmOZ0DmtfIRHJyIF
BDp9VPIkjOl+/03xAUHOBWSFgtd+N+rolPYtd18N8FugrZguXnasVnABxxheI6hANAREhHR2rCwM
JTpbg1acGLAg73Fsc1VCOYG4G9xhJsdo2ZNOzpmQLU3FeZwmKtLSKV7zgQ+UWSe3XRmTkT6MvQsP
+mLqkEg7jH457aKvdVOJXasozrKarzRkcY+tsi8ovbn1MIF4zcT0rbXypw6hOG/qBH4mEVZAm8v4
zIizcM8g5CoMyupkIxsmilBchxoyghFsxDLPOuHauIMWoLmw2dOHbesurm59ndiFqfaRYTdNutXn
nBqFu5AJ/d0T3spsjG8juSC9NF7RkQFBbaBchrrx+lHA/VcXsv/P7QtRpP7exXb5GrIv/LnU/fEj
3+tc2yIPep782ub3SpeB3vc619a+SHTb/4e989iSG8m27K/06jlqGQx60BPXIjx0kEFOsIIKWphB
4+vfBjOrMhjJIrveuCY1KCbpDsBhdu3ec/axHVPYIOC/U+b+qZ6R/3BoG9DI8QSsOaZQ/xoVmh6a
G2kyYAxMeEDMHv+TOpdz5491LkW2gzXLQsdHhKiggcCfvzqWJ72rfLuCUYWPFE1ZVeAtXmEwEpfY
0zEplDSau9oMtwGcrWIr8yK8Mt0y39FbUecsTU2CekVBvqmVBNA+mOCvpGy9buXT+NB7WTr0Sc0E
H3JQoUePWKFN1JqDPgFxVc8sNzmnyyo/JlYeH4os1Yeu6ClplrR7UOjlDXuK3a5U1PbBxrFsysgC
siqupMmGJSxtrcuj9HP7nDAUQr5X2w1wTMu4kDaaKeT1dDiYyozG17BBDrPQOYNPSaBJUxIDiHAn
TU7kFCMyLDJqYapj9z0kFTkiyAFOs8pq4I4kt+oeMxW0pA2I/vRd2uYfhlkkl0Qnj6HGROJERU+8
r6tfXHeOz7ZEf0cYs/vgznZ+EQlFwtgbaAfwwQD4LeNjPxkGQyyBc0DnO3b+eRtw67bEwseATnW4
IvppuNclxuMs8C9+NeZnGbUJ/X+Mw1HtrDq3Su4hlKfH0qzzLZGc08dxrijQ0QXj76JWg5OKrAno
AnPVU1bhel03wiK/pOnqmO0lh1xhLI7iFTeNkOc8N00yQsaBblmBne3JjGZx607A/4I+z4Mj9HPZ
QG9fgAvWCAjYL2TzUnnxoI4D1vGzG+G1WAnm0DckIkAULxRqn1Wh8dydB4YvMMqhqECT9ewuxxwR
BbcNq6m1dlsEXrtywtPQjDg38JsXOCRCXyWIWAucFvS2aWgBkSIBoJHXCerVj0bfyV3YDOW+BGC+
XFKfszMG/lPdNs7Waf3xKmuK/qY1vZxHiTxzWtmjj9dIDrp/8E0CEthALfm+A9bzrqpNjWd60OZd
wGH0xpVMGjeODqtDR5jToQjsgfl2R7xCK3AaIJ5N7xq4MZBF40gBep0mOOJcUr/rcrPaOsxVYNgD
PLyPkaIeUFOKgwvweAchpAAbnS0NiNqrLsT3tHS2HgByMJcfepwk8btqAMhVZVN/3bXcY5MknA+w
ertbp9L92rHRhvu6vGlH89qaJnOTdeOMMjlfwgQMbhnGvbUG4HMJ2JAJZMNkxVs9jfF+0BpFAPxe
XJe1lnredoifZza9kcwtxNRfER19ADatr4Cal5dBBSNZ7GTKrdLZU4cO/TEi7REv+9z4zQrbdniT
NriK8JOH5blLUGft5GAmWKRE4t2VSU4hTcRoC1gk9y5NYOrnUdrURaauqVA9v3LPTh1243HwZdMR
kBK5yVaw8U8fbcFDeiBwbtg0FOhfcszdBLeYynXrK5/ffoDoD621+d6ImOIe49SDKJ1GPYfxyrIz
8RnKTBhclRWy240zgZRtvSoLVkPnkWJLIn1irYXZT09Irs2N07UEr8rRLk5xlag9ataMzFRUsJC/
O5bpFUu0yLae0+Xvk2Qc9l0AJXnNYv+uU8FwZVptc03+cvmUa8chu0e66Gj9fBRfPHh2+wYn3QWL
HPrd2Ah3fZuGLg6u2bqpzHH6VDah+SHX9Nw83TqHkbeIFbaOIMy39eOQSIRRuZgd+JK5raovUd9W
d7Pthl9To5kOGYTtL3oYSS6Qgn/YDDHgADWb7XE/RpbTPCYGkmtU6I0frdsYx9f91Civp2ghjXVH
i2y2j1FqmZsW7u2wTcjhdQ+hXErkomMeeSkLr5bHAq14sXVkgt3fzKL5kegrSQZhDIsUgaTLQbYB
SOHupVNGPWzcILuMdCbYXsAR1WbM2W/umJ7IOqz2E9BpCLsLryGPbvKmyK+0j2bdIHCZ2ZQdcRpg
41kVQ1OfgKQA5+8Cd9hP41hcokwPT06iItJNAnxHM1LFj53mcuBW8EqsmgFE28brlHWOiGmkBvQ4
WSKCrL30kEXlUKzDpJg+C1sx4u+zKfgE3JDEnTolXpqOB04vkh1FGexhCdDQFMVE7iqYBnsiKK3K
7xvPazgCgN2KzyEgQcg/XReRnsECn9x4ldBQw8E2HlO60sehJh/+ktvVcCCLk7egMYpzhUsPsjt5
oKDex3GdkmVEwzRuqXC7dtfkWryodr63e86C+CDC7kGMGVxpAPf4I9tUezh8ITo0Kzln7ouOJpFv
gEm673XndMHadus0OsBy7+Ntp9yZAzYW4pk1O23XYhqmr3g7xBNetuGhhSqfbap+ah9cSwRnxTvM
gV7a92aj7PcIC4szC7Z9amCZrJxUR/A4pssc5Pa47lzQnb6TkQg2n2TLC7vCLzl/KfKKuOTOsqeJ
r9i4S2ZS0cCG51FGK6UKPe3gLBjl3s5t6xuF09TtasMvpjsrEvGTExNwz78u/HNm0rPaE8RsPaVj
ynrHAaAlc61aGuoaW8WN4XUEYGBGD97XeVAcTCKnwGpCrrEOxFH0IYOQMBw3bky9hqhQQxJpsoYH
ndiIg28aIF7t1u+bnDSQTNzoFN079oKO+ArdTyU1RIB0lVDB7oMqyuKmk7OxqTjlYJGjL/fQgJR4
wTHlyLXTNR5ekShioRFFDH0EXapaS+K9b7hqdQpj4rAPbi1Iu8virvna5LEgUyAaIoT2TFjQh04t
GlndWR7NCsaxQLlFzILtcrwmA6IthovHEW3mWNG6HDUcs/5iMp/J4NT01amJlVWv7UF9po+aH2oF
b6WzUZuuET/6BjmpdDvW7EwzTSiVLgwqEX1wmONeOSLt3xtJDj5fTJzPerN68gf6/HAIksjcemhU
zoVu0m1a9GmHn6n8gshmUVOH+nkuq+qoVcYz73HLXI9ZjVsBS2FLlhqBGEWXcljKXY5XO9LB1W2a
EIcKq6hlnJWTek2ciIJtn3R04Rji0d7HeyWH5ykuiNbC65VGWwOf79mw/eipw2L9FYcdmBQ0wXm1
rbpqNtfJXPLTQ+KjNnOra8WqDKoRDTOIcM+03ICDVVrgfe3Cdz2kf3wPsd5rlxZwTWQL1ny8IPMU
7ylID5nI3GbFWKbc2ROiN4hcLn2fER2O5ZOGRMyIjQPYYwlMiqx5PyRBtrWjdlyz77OeZPwqT5Fv
hYc2yuurqo+GRxJniHsnoWEDDGMkzNzN83WjhfoUkUlKbmMcW5/HolqT+0lPqZo/IN772iehpu8j
Imw9sjdX/kRew8qefOd7EBn5SiEzQqIJYnhDGLom+BJaPJs2u9H7WFVGsZpHy7ml0+IfZ2xSGtk3
Ke6HqK1zkz4mMyAW2jL7VEcOwqyZBQK5eUXOg0tPhp4RjemDZrtYt+wBxxEW030VJMO7ECH9yhly
icY5pco04vLcczY2Vqol8eNgNIVPZmRZYjsvZTA80sRE+OYot8KGmhWfkGvpZ8nIy9nQpTS+atuA
V8D4gH979PUdK5CQ605YNVl2KJdvYVgGV7YwyZ9cPBK3gI30AxoUfK2hS9zJaphK9dEFrweAALGt
CW1JTx98Qko+d5HH2+G1RPecefEoDJMyrl4Ct2segXBYV0in5G0xms0TFkgM51bdkY5pRe7EPkvs
2bpPjGBPhtV44NczMKyMRffFph2XHKo5CfAbehCWReWRKIG7z8efO1nkq6UNhFK50KLyvAAcZjRe
9Ixg1MVxO5QKAX7OA2wrqwWXVBrmCwTB7mS6Q3QZZLGgXf2lBIOTTD1QzFJTHFiomqgJGS0EU3NF
KAZhVooMU2M1y5BmalzaxVcWifQlHQbvktMmtJiPqnLLPSPxq/cTbOBE6+HjAe0Xbsywete4aX/m
ZbXXCfE16762zJMJVxHbRWbT6euGLasqJCUPcgqA8iC0Vya9XoJ25yl6SqM8+BIFNa+2xgX5aeyc
9ErXTiBXXuLTQO4bbX7CeAfqQ8ACS4xMEhbIuXEgqBPpyXjWIfJzNWfpFrdUfmOlc3lLAzyVKPVA
r+LRYmGpK5zliF/WDovkS0CrklFL53zE/Dh/GnPFKKf2p2gxb6WfalkxhBnz6KEjHO9ZhoV4SIaI
85/HHnINVDMc9qQ/NuTceLLN1rxYJNC3wqEJnGgNrDBytmMxtKTLGocB6ve6LB+IOIR8EXPdd4h2
afTYtYVbDiPLeYrKvADk1+aEjVrxYZwpLhhV5HO8hqkVf3EtXAVLRO9WOV6BD8GaI2YPZXyOCCa6
dc0wBik2YCZxepT/YUGv1eIyqIzQNvVLd7sd2HAn4iQe5QARgAcacvz64KWstmNgRw+qmp9ejfpu
/xho/3uBLnxiGCv0ERisou8C1PxGjoN3dfDyAiQOtj+gSr6HTHWsXOMMyiGbgSiG5R+9qX8rmnqr
mULuguaZoXogUKa4C+bndQ+DdA9VWHU7M1Ay0zuQHu21HS9klNL0TgnCu7250HV+fZlv9RbLZVrW
Ms3H+SxN643GQyZmNYdeNu6HOMqvqGvaW4QDSDxEGj/WM1MiDoHwoYdB/TG9/m8r7jd2dYnYnvbV
vx8733Zf0LB81Xr6oR33x1/7sx0H9wmS9tJ4c1j5EeL/sx23RDtwWKPt9qdnnT/5p3If+JQt0ZdJ
k1GwL22aZH8q903xD7rOWI8YZqOFwg7/n7Tjlh/qa4WIy8rv0y5kS4JzTun+4w/5L0ck5JkPIZTP
xqdEiBi2EMDAGSlTC/Iv8K6YUX5+daf+f97aNx9Nm/L1OyRT08sy0ahtYAO8jGISu+J0PtRZ+GlQ
pv8bLYxcruT1lS76MfIaqHiRqdtyGeS//rg07FNkvkA3+xQMa6TwtwQ0hzajL7Pd1NTPIkrTPU9a
bfO887eB12NqroWz6d3uGboFsX1zREROdos19eKkI5OI3Fm1InyvVCi5VW2ySqr0bILA2/76XuH1
+NvXR2sI0hjNviP5Qb1ZcaQmdMrtlb11shYNj2VB/iZqEPd1by911ezgfpjgetIfu4VDkDzYoXMj
GelserIKSFRSz9lM5yL1xQfDLq9iy97TBvgUeb2ziovkiOeCGnXgv5UFbttyAXhEA3EeVYyO15/U
MVJSPBqlsDUEWH2AvbshNWjlzXdTJdYpaNPeie9tJz1E0/CJ5CoQ0zGjmmIzhn27jpLsDqLVfZ1P
iF6/TAsdC2DuxzEZ57034TGjbvYulQ4oyc06O2J27I5IjQnXaBaet8/FjDAbbW1ae+Dw0aObiTsy
yeggBnyyhefvSpLC95IWrbevSNjATtKyUZLhsbJVyXaMTEpvUFkkN5P2cKZgVD4IL2OX8ziOERQR
nGy8mFe+z85hB2lzixXKhgDSEOLVVP5HS0gPW2FS3fgwkyhPl/4zfbaPtCiCrTPE8lPtzP1XWMPi
1JvnQcbD9SBm0kuE3zS71MqqnePK+VR2fIRw8dL1pbkzSq/+kiTplySq3OPAQRygFJlHCEnujKbW
NJ/jU5jlHwCxnBSkn6h3qV54NE4z6YPZ8BfqNOQQX4Tphu1QXTiAbceuevRynvevf5By6dK/fp0o
NWijuBbjcMpB7619JIgqU+FjM7ddnpfg6GFJl2uEvXGGIiCq6VQ41mOSyPFqjjvjYxw6S4fXJ/4s
TBQtb896GmW/npeW3dB1/tex9KcHKxP5viE7ZO0CRbuPrSp7D/6x43AZim/fL+G/m9pvNjVL8Mhe
Pe2F8vInveX6pfj6//7vQ0KmQvF6Q/vzr/y5ofnonnzUUihNF/rhXzoq3/8HmivU9eYiolr+/39O
l3zca/wfgYUW3lm2wX9tZ9L7B6I49FPUbli+l+3xP/BmL/yXVz9L/B42gyUH6S2uD4T3zjJ8ejVc
Cq0YaAjA1oNNe/M06yFbEyp8sSH7nbxxgP+BrnNjL/hqwNnjUzJk0QlwK70yBCsbM4DNVsje/5zG
jbkJ29q7J4N1PFZG3V4A6sW/2ZZ+rOn+/n2XZf/V9wX95raJP5mHIMmHA/Ivun5SAMsvw42oBUJu
7KUXDpvh/tUj/cnui+bwN7fqzf5bu3ZR69qaDknUIO1BVQ/0WPm7mbCNbdoZ1YZ+mrHqTAZYmXRu
xh6PsauCYgOzmX2kdvRhmktnhQ8XVzG6JM4t8Q0JVyzaNXfPtcab3AqjS4i9AbB8RQNMl+LQgMmr
QSnqPHnKgK1g8FUGC1yd42QmjWCCRKwwOldxQYBEW3QPGNMjxikeMWn5mGzzWhanIhDVhcZictGQ
JT/E3dBuTKOurhIzl9sJhdWO7v5WlJ+nPhZHFqk9Iwcwq0Hcb6LBFE/2gGveI0R5n1s5ja4xSnap
131OddAgZa0kTvnEERxYjXTH8rbkCilyOWIH569Mnxw3vOmm4Y40aE3VvRly49luyuDcEhN8mtLg
fTNLY0/OKQcRW2ym2JVX6RxdiqLgqMihf+NPKV2HLtlbA1lIve+9tAVhzz25g0j405PV47+W/XTD
qdTZoZ9qtx2uoTWIgPZUA+fB5hASTAdhraL1txu1oB9SPdIHPYEZDzeRrjc9diNJTmKVqhMnOAch
gFA7qqBxU0cFMVCz7PdV6ttbOdDOKMeJAE9CH7ZcGM7+pG6PjnbFxyHSUAwitFsLcWw6UDTcDV1g
nXhryDfvzuEUUCT5st8x5Xtk8tjfjcXY4pu0yXxwO0BEQ30QsfHI6YjevqZFrQOeSYyt+yboMPz0
lpVfBfFS5jDnbXw3ZPbnin2bxOHRBu6y9iXARlXR+EJT7qyhAC4aYWt+NEYFlYxuXNX3KLiK42xp
8IhxkiPn5dc8OkTx4hCtVp3PEZWglek8RLFYj0mb7AHdfLK98rHNWnDW0tkr5cPU9B85AG4at4MN
k3MvHVQPK2abB9dqicJVFkEXHlNEkmqYHXT1ZgjCVdcHzsHhaS4paHvXeVeWTbbW1uTTqYCYYOVd
CnveICk8T6loFFWc56d7lQ/3ZinE2YjAm7nDOGzIk4AeWrec3as6e2AwYmxIadqPg/0AxG3cZP5I
C3uKabN16bXrj9itYoKqED+26zYViJ0NuTcGYHzEE2xtF2CdHKFbFsE5crKjKvz7xMd0qKbxsR0T
BmEEgbTxda/MmlAvkseZzozNuzlXN55i/OOJ7h66sf8E9yLZ4QrZIkp6yYD5rOEVXXQmseKXjwzk
tnIMdiouPgNM27Yzno3cM/u1kk28Bq90jX4q3pvwUJNUEeoenPC/3oxedErDUl4KV0HOCafJ20Wh
W1aryqqaT7QBHO57KR5GInER28l7oyFkPUww8pVBP37uqQCZYmu3WMnRCl7inDaR4LKO4NogyOUB
8lpKDqYYqiZqemoxusYdtiHGjQddJ8z2M4lEHhfgRhcZBAdkLzAhIBguZpxDzqTvBHpVb+jnPzEh
RugZqOE8iaF71AFAISSC4CuJq+Cobjb01rxkItrBE1cmXfJjoDp9r8Kiux06Iq2Sisgy6NX8h2RN
r3uEPHDMtbiCV3lTT9NJS2vaOm72OJVpe8pCRlxuZr+DlYNcovayNWEBJkFlHDvwUelrSWocAL4w
3rRE++Kko5xPM8p5bHbJMfKgf6QGuVxGlCRbT/Qhi13jPBelcfLCmfWONlsx++mhHMj6gGo8HwAW
QaA3q28ekjlB9sDeQSy9NvosOzRB8sEytL21k/CO+JASbEEIpqBBSpv1pPQORmoeC5qe17P+nRvV
+rEQ/b6D+pyf8Z8sBnngLz/uoH5VAuhuZvPAG+whK7SlsUjEmE8v8TfkNRmbRJnZAyHCUBYQ7V6j
xASWQbj2Ge2lOtNHobhuqmcXj8gdJ5Zgk8V6sewAbb12vBkwoCmSTdrn0SEJ2/Ig0YNu8aqzMJTi
pBUAdK+OvoFyxEzAIWFd6OKO72GgPVlgd//qL/xk36aIelvg/HC5b86BRBpCes0ck9S0Jrxv9Iic
i9zkDUTFef3rj/rRefbnnfUWORD/g5po+fNXtYk5gKBvYWERxed9az2CUCbH/siModxop37+9Yf9
DSHAE6St9denLS23V59mJGQTjlUqD0T/EALnWO8tYtOO6RB9MRMNgNPN2tsuzmMonHI+tAYpzjJD
j+K7UXsJUmi6PMlNw08zd9W4S5uuPXXhgowcOYEmCY8wcwaxIX/K2ciJACz6ZoxXM03vejT51yri
FxrLuBqXjVotW7bN3v3r6/zZ88Oq5ZhgxWm3eG96laZhx6aRNeahCqq7Kilcsm6AdCex85sPMn+0
P/3x+F5/0ptSGMltGSMVsQ591IFGDYOvJsSZVQ4MZV1m7icXkMxqJPJzFSyVQk3W3W8alj92Sb9/
Ayp+ZhwwWHwe7fLqvnqkWUEKlcE+cnCVE60zN0T/asmM0s01bpHRMEDrFACiX9/hn134Dx/7pqaW
bcXiVg3WwbCdRabifPEywp8AC2Yr8puNUzmN1yGE1luGG9XWG5g1/y++Ag8Z8AewSh+x3Y9Xngtz
bGoE4AdyETTRdJIDcnMB0cHct3UMsDPujeML6k3L/ciqr3a//gI/eXWD15//ZpXohqABOR3Zhzbv
PlpNMl63ZWidCoUEfDKi3zQDlpPCX72AP54z8nOHZ2xKNMNvrjYekNy0Ffp0x2rSKxNozyppAGD+
+pp+8uZwP//6lDfX1FjC6nPSEA4FqqPVwAWuGiadbQGe4j//pOVShPQdTqt/W/jqoCsR64rDDIFr
Nfjm+9wNjry3v7min/5SX3/QmzWP80fX0kmzeTtr72sytDep9Ox90Pkkskyd9ZBFLTkT0VIeq6VQ
ljWWgV9f7E+OzLZYki59X8gA29GbdSKMx0F5SWgdCFipDzPqtEcEIuYRdZF1qK3xqaqDbBP1EWp4
UPxrFcVq7akca3hhvBgMNJnZG+wOVBflOYuK9662sAgl8l2qiT//9de1/v5jY4qKBg6c1/KNUaP+
sKgw5cvCYtZ8NYAC5URYhhmLZA/tWqCyni9j4I7buhMIxZAaRgMiQw6hxi5h9L8hbAXyO6Dlje7L
I2VquE0rE9MsZ5rGMDFdjOpbXQ/RUaiFQG7ZZ9Pr1SrBYbXqJ5+AHYPcpXquqK3qUMF3/IrVFUzk
oAr4KL191TTN/fdL/m+j6neNKrx6LAL/qo7+1qh6/7Vp/8/qaxm95D90q/74e3+6/sQ/6PcjdoZV
grLs1fjFdxikEJDt40VYGlwBv7R/9qu8f1BLeiDE6VlJj6nNX/0qk6ENawNrnfe9HS//k37Vj+v0
MrnEiyiZJdKywqS8cKJe75CebUQq911/r+Mu2ylsXQSXEUmGv90ncmg6vro9Pyke/4ZEWVyMYJ9s
D0c9TJS3k9JUjiEOxIDxZNZE+0hm6VfbstVdbzLlHqceWFwI2BeVVCAY4E89crCU6fq7WeMOHnpp
PWU9HL3fLLjf15i/dpDv9wHuDQ07eneSueqbSmE5l4C3Kfz9IPOPbcn3oPr0mSw4B9napwBS+77K
LagOSQ6cdro4uhOnX9+cHxeWP74DlCcpBCZQSzpvvkPmK6AlJBLu6wQKY5g14ck3k+rx15/ykyfO
9AkJPBM3gAnB8uevaiKPm5zGc+rvrYoeQTZgFvLo2aNcWamBJtKvP+0n1+RYgquxPUdSwr/5fSGv
Nclg8oN9QHbwbvSXk19Xy998yo878/c7B0D7OwYCsApm2B+vCUCsqQj89vbo9bmMbBrIZevu+yL5
/OvL+cnNg6ywkCa4Hg4kbz7IMQCnfP/5honAt2ik34YEJ2VmlbeE6V7/Lz7MXfwOlk1RI9582NjZ
VeU1NnMkbAzr3EcsCoOX1tgM+2ZM3cOvP+77APLNO8C4F0W8zYrAOvXmWSUQl2bUqd5eEZYAVrcK
rgYInve5GbtgwpHD1KVyd3FLqO9ckSxpYoL45OZWSWthVPdp5uu9VRb9xqLUNml5qBqCtc/gzJnn
21bWRb3x4zJQxy4l7dUqCh+QZz3HRPUtaWboGcwNwhi3R2nv3mlUiXe/vsafveeLfJ0eML7pv/8e
B2T82BQTbx+VsTym5FEcp94Ra2aQTwY0BAZYzbHU0TfPiuutTR/mcYhs/ze3+me/V7Ct5I6Z8PEY
Yf34e9Up2lEnzIM9g177ONrJdQl5DxstpNFfX/DfPwmBCPsH8FGfhsjbZwr4oxmCFMSph8J3PXY+
Gsqq+NhwMNv++pPwaf397QgEs5dligIv5o8/f7W0KKCPhicbb28HvcQrZyQHzYp/Cw1pJDCTH4JU
7WOUjSRbdi1NXohLak1rraZPU43DAYtjvqe7GHQYNRz3gUAp5wW8pH8YXMwna0t10wO9cfuqbfvq
nNEARiIUT8wszC4ddzkcCtJ6TLUWhUeEXDD5BzwX7o7AvmlvqEbB0FRyazkQ5vgPBSI/JyJ+cD+0
ElFkYYaXLk6dG0hJY7oGCIdvrx8lNkE/uQlFkb5MCnKu3QfDVuTBfJgIkF9VvcJlrVrvOUE9fjNI
LnxuoDsYIcwVh3Qp3MgyvBAcvQmy1trmROkeYyfhZFYA2qMKrx9tqetn2ZX1ix8JPPAxSZCreFJ4
KKqh2aJiRSAalPkhEW36YIha3QBU99Vq9GpykvU4a4bnlnqucXZedB+H7+JgJh8RI8pnd2jGahUK
6wOYz/dlDp0HGSaug7TVN1agrWuvIGmTQBMLneGh7E2rZgWI5L1p+kTPWrHrn4VtNTdzjx4PrLa7
b5TO9lwOAtAeJn6Y41dpZlTbp75KRpClbj5dBV3Aw0yyruiwPIWoOjrEu/tcDf1XSibuyWAhBSDN
EgdLZ16rNgy5ZRYjHFXZzXuTpOyF/Z2qTeHUjbsKtQjeUbYBZXLKoH3ykQ0SxyH69aAwc2nXsa9U
70JrUkv4YhL5dQjwgq1/Bbu/IDwR3Xm3yRD5HWQU6F3p87xl03P7cCo5L4glhw1qPbrCojeTrY26
6wOwp+nMFNH+QCiB6Fc+AaM3pK8Kuj8cB1AgdqLx1ywexDtpe9LuiuZD8G5oHKRujBTKVS9E+lk5
KdfghQ6/+KBPm4ccWiy9s3ioSbbS4alAupeTvPZtjqwpRTSRMNsWLfCCvS9rGjUpU4MrmRUKnFXr
VhumdrhU3Uis4hDYnZwpcFasB8UnsIt9sKBkjU1ga3XUAagDK8qI4Q0FENaZ7usqtaNgX5F/qdci
K0hgKMNrrDQRJ+kKv9lYmnzfeNBWtSJbxU3WhXRjFPpGAqR90LuuN9UpDhyNPq8sHqySxLUsmXYQ
kuNHogxHwmBq1Pt8t8NgVNEuUG1wYLZf8HzHYhO5I7+PfM74qnHeYcCoIvMdxhfvbE3qa2U6apt0
OqE+VepjEEKBokC11NEwtSajEvUjxrgFWUic+95gKEtEfcbdF3528QlvXMfjFB/jUvtcK9Gf9CKK
F4Fk9zolTvfgWzr8klkzCaQZatC7PhWkdPOIH0Lw3wdyzPLtwPxub4zswpSi+nPvFO2dDDCbYA4v
9rpBq6NkZO58YRnMboMd0nni2klWP4fAQLejh2dPIx1d9fUpchL/jIxDkas5D9gmm4gpTBo+RVNv
n5U2oxtye+VZ6zZ4SXzXeiI5oN3miOcdiFFowBdfygHaeMX8q0224J54FXwjOiUZeXm42PtNIR0E
k3X/TDprc/IrQaCBgwKdoQMR3+FcXloccN0aQtCMfzmxV5FLstnKM/J0baNIZ2JG4W05pGRYCgUN
+dAPUnnNpSZS+9MI7xrBJ05mtvmEQVU24mWrhmMqjfC5hhi9QllCFJSyYeFoomvKyZsvUZA+A5lw
91VDtgKJvCCO3VsCaO+FyPJjERfITjorw9xBwPfc93tkUMaustzhKzN1tOhZnRUz75phPo+Bsi52
3lwAv0IFwNqxHgcxEaI7mVfo39ESI9HOdzr3so2TV8OuopeKEQPIRmq6hAZp3d+HTV0mO40baJW3
s8SIbXwbEbcXg+c8UiTN+07hNHMqXmXXFHuTXuN2GCrzYpftXZ3oKzgh08pj7rvGdgPhKSxfzKoC
+8GVL0ClJIqqlbJhIjResyEOjdAeiE5MCAbrWg1deE9IbLH1QoKlmYBe7AoRMYnqYEotdyS3vFMf
wwAYn0fA2dqd5lvXYUaeDiUuB3cc3OfSi7Ft5tGEeSnMLOT4EcANmxA6yqqprJ+oy8Y7WSbWIXet
cI/7DaARi811UjDfN5URPMRc7wcdDD0jpTHX3A23cEeWc5WOy1ix8jaeqkKBq08TguVW3BHYHbN3
m8OFz9mtZv2+j3XzibAJuqzKCzRY63Qa/Z1bwuhrm/kbUXQo+zBmrgaveynmvDryz80rrIqokmxN
PpsTKKBUGBmB3QoWn2teQrDSaROuEStmH1AmqJOMQgAtHeMkk64HCKco3iUJQHPTpW2VDfqs53C8
QXT0rqc3sokC48nKcS9abPK3rlH5u2YOUyAjsclMPXQHfrlEbq1nz1YPUJQeyHRVh6qm3xUQ2HRo
myw9jRNYyQIp0LEL05hVvisxqDv8KHol5T6qcnfPkmJsoY2IFRanHHBuIW+7Ok82pYjLD5WPS1cB
hwmNiTBvzWoxNkH1jQ0p2YIAyA+0/PqnCHc0dvbRGb7qfHbsVSVwCqYaIsQ8B4Ka0Zl22LjgW+RV
cRyS5lslZXUah9B8sMwA2YGYbrHuZqdpdhxGgxYhk6Zp9O8YlpENCM9lG/NsbqBZiKPnqBDtV6Dv
ZyePdk0RftHMB68JJox2eRKUJyLS8QxkaZcdxl6g/k3JROxCRbJHIe7UjJ2usWK5m/1+hGjj4KeN
7Kg8pQ6/BObBYmdaXbsaJekD1ZgAkp0SYO3oKoAFjsA31p0TVp/lKPMzc9es3ZVk2G8DN833YQnH
wcamt6pj95zZ3fOkxwoK5Xg95lXzxSnq7krVFhB9kyg5zobXHVNaAkib5sXCY7UvhOqPhTPts8p4
V6Khz1aEJUZbBRDrVIVFuo2hj+G0dYsnJobtNQzzav8/7J3JcuRIlmX/pfZIUQyKYVEbm804z6Rv
IKTTiRlQQKGYvr6PeYlURzCz0yX3vQkRl3A6zTCoPn3v3nMFm+BhUkhz5qp78lQaruo0JEk6GrrP
th4Xdu4zAdLJGuA2Jhk3ymFtLrBmgi6qkzu8ADWeY0A6OIXB+4D9JJNXmuF2SrsXNdc9shVzmTrg
Iqt53DYp6/bSn8P8zLTpmom8kIGY7CGC7FgSLa6Ryl85C/ocwteyOwp72a2S/Ay8wIG+qmFEAXqr
n/XZDqaCejtg/ax9IupGuz+WBs9ykGrn4DYB+Qw2Pp7QnejPI5zbl9ZZRxjsdCODHTpISDtKWeEp
aibGr8Q0HlxYEZNVbVpT2BuOUBssqmpPKV9swwTKvp/m8Z6RJkISfv+qq+TPvpXxa1BhDVKCt3mc
/e2CvLZX7dPck8SkIWf3lnkOc2cg5WwBpd29RT0IHDe1fobEyjhucVVn/kMysENllX1TTsGvpPiF
f2TYt2cAjsiSx9432NhbdVIyuMykfWU5i1mTc6PJsrMuO54gfDERNpjRDX82E9yWxKnW7FIIBdWw
d/22elncT1px5S50WuKQsYGviZ1gOiRnixuos0eCrCAE6fqpW8JnvyUBmsyXQsU/pkZepvgLPEf2
F1iDybwqu3xXV+lT6kQHWVWPDLHfaqc9KqbhiCXra9dHcCycoVn5ahi3mKrBwuVkdTkWwgxP0r9I
W+dIdiLIYL+8z3mrjmWeftB2OPrjvLHCVoIstREuAUdt8zQ+4E8YbuookTezCvQvcFQRTTN5LGIL
Inom/d0Qj0BoxvijcJlT+xz3H/vWI2eIQz6vrCX9n+kCMqiCc57Eldx1kYCqWdDXdmKm0pRSPlnu
LpyXtATIoqc638AS7wizqK+AEkxrXU/UKiqOONyPHvN9jgh6RHdhAGuVCV84d/KCpcDEK0DyuE8a
7jfnVlxjVvDAJPXGc8ds7Tvdj6FadpoUHrStVJ/wDwyxqKz5KqGgd6N7TKlX0JpeIIZfVz52m3ri
vicWYiNCv7tjmi6KTb9+Ej2mzI7kDWfK1WtuE+JuM2lAKv0RWN6LX4p+vXTs2bPS3DQgsQrmwe1c
QjeaaIYydSbovhsT++CBgNqqGJeJanX+ng2m36deCuCYhsgpqEW3mgOQ5m01UtsG3Y/aNsMeGSvf
VOQjtOfhRtrtjN7ZbbYLOpyvYE7dm6yZqO58t9zNQjQ7K0K0NBfiqubMsss5/xApElMc+c1aOt1t
13PAkIhZX1OCx/d1Gps9LZaH1iQEzyoUuUNyHVIe3ujWMtuJtWPrRTGEwsgpKPonzs2Z3bUQrchi
65hM7ITP4Tisuxd8xjjiGX7sHGaVYGv6aB2M/vToWCR7BLWiluxGUJRN0Pyc+FKnoAugzEzcUsc2
CoSSZfbst+JatejekqaomfsdsHjnW1Q0zpWY23KbaJNfFcg1n0HN+8/hJH/Fk+1sHKce9mnpiheA
Bv2htnPrQamh+xh5tm/7LvSv5gyzWu661p6pybBH4QVMrIz0tcSav/Vo42yCFPiGaBF4rUaqefLm
bB08CUC5lkl6dydIxcAGR49vXUJTEiuTKnPEdi3g/JRvM5CcVULH62ecpPUW+ca8TjtKoZ4j8j7K
QfxMCOc2iAcNs+VabnIE2ASl9fObWaAHj51PKGs97oS2zTH2chBjuSTBAyDZbSYkjnqvQBAK/n1T
a/8upRG1HiruOKKO6AAgyN5N9FKKVT4atH4aBenUdUeiALZ1NE67iBeds1TVXaAZGKAvoH5BX1Zd
RQjiKGOhmsvCHonuxTCllqHbm8nx91XZS8Iqi3lrcITtF+kMh7gYwxMm25ieC2G/bkY1zwHsYdSO
S7xsbq/9qf+cInd8xej+ow6W8qqdUjhY2fLJcby7j8YWFFfSWVBeLaN3sA6GCxy9T44jX/i1+lR3
jC/JU93qlHJY44BedzEtN2fSGdaAtkuvHWHRG6o70LmVEfSCKsum65j56ySseXyaRu1k2sTJjkOf
92KSDqJU0KiXIWebxhLar8LaDITBNZyt5pzMHHoV9ZOyYDF1Uare8yJ177MhE7e4j91tCgpsXvlL
1t0WTvTRlhVpwhxBmbC5PcI5dTabwpfvowCTpjIBAtC6+81R2PrRVByHCQahamOgS1ZT7S08nmul
w3pFiEN2mtN54WDWNcEK1gYJRvXyY9SeOCRLMr+mYF5XZZ53dDj8jwDdCcVBhKfeBVegsXadhasN
GLw5u/QHTlph5OY4JMQduFmF1qpO2gNAg/QSiFy+XZomu3AGOPPQYemoXpSTKYOVZ9zhbs6F9wm3
qnVO1gK3cRiJL1u7/hK8ooIE5eCNwSS3nUmzr4aHLFi7as7VZZr08+NSRQFOHAHSYhtaU++RetiV
r6MvzdaaR056S788ovLw9oCv2R1niFhMTR5y37BmRl3xs4rbdJeH9rQJCRlADwuzr9BKPsUF09p+
uA4ruzuVAbrGBp8qjyFmeaLLq4gUdwQsKy9YNDHmdQuuEZbJM7+oe6rKunktzmun3VTXmL6LXV6r
gEioyN6V9piyzIV9/aYa5Z56WZGk7QXNvPHIYj3YpP8+jSQ6PhTx0D5mhetdCfS8CMUQigoyohAp
EGS41qUqD7aKSA/og8xs2gVG+QrXAWsi/lt7ZTVliIk4qoZ1EozWFpFxS1RQSig8SQoxpIWEXvrc
Qo8oCjaDVWCMBQSw1eXOikf17hNbSMTtGBSPAevPtalCclJriTU55jC5N1zq8JL9Oy12mdPdx1Kz
ehX3fhhV+2hIJ7K9aV6oSOCIlebWS2wJS57Po+PBXy2DdU3Dncl5PK71ELPwMkfYWXIkZaNQ7R4a
50ZluVqTabiOLEtvrKmQxDVHbXElkxx3caufgzbL001aIGDVlfLfEZ86h2gInXXXobMYo54I3aU3
9xwpY97/Kt9XqeVvp1bxqfr0dZzZ/RxJ9qBlFwKG4fi5aAeO4TQsK0Kc0RKCPhrhS9KpRRAUxoJ4
PPSEBM4gqzQgIcss8A51D9tnTosWq3l27/fgtVHbnmJPoELlaUH0TVcYF3eMZUPnzsfUIC3YVHlV
2dTgc7DHAI7fKBaqv/AC0mACmOENi5cIP7H4RnszO+qF9oe6q0Pd32NA6l+R2OQ3XHnOxbTudvbQ
BTfUcuPab5NwV/H2bQQAvz5NukO02NONXBLCIkVUxh/0YKnw6ZcTDwjYLAbCozNi0UBmBDuDHrAg
maAlvb0A3tB/oei0p62w40VsEOAydqwkXmxkYQrHTVMYvFKgadDPzoZjcNHAYTr20Uy+AvncjFTD
HrpQE1RXPQrmp8If4q2dhu2lTgALxuI8cYkz68es1HoqM4htaJ9Z+UeSsEfl7StlixvaIgH/tI5o
X2g6ejIIYKNE1LLRup1ap7xRBct06iD6ZWa5roE4SuUNN3FZboBv6tXo5ltOQPEahf+XWbqnup+i
J0TXNdtuMufBKql1tQnsBdXn9LJAElp5PZ7ndMg2li7grCtksc2cZaekoSfEQOeYlJn1rEeyeKKM
3iVt92KNtT87KZxTFWCJXd9w6moTDGAA3TnMDh7+Lp127pEKFjdh1lUg8ETProjiMiRcm+QgIt66
EOuZp0dU1qGVGoSqQljXjXbnZicw3mO8DqL0wQWST5IC4SJO7jdbNOHqAS5p1ZAl4sOyVZVmSk3D
w49Xi3H6W+3WyNvgkfuPpEy3h65IOERirla4ZmOvO1muI3qir+dpV4QaGXZCW1OMgf/K91p2/Vzp
86BCNs/uMvTu+cRS3sYiaWjcLK37OTstRa+liJBRUW0jBA5b9QRcl8WyGM4t5AI7/JfnFw6lELkp
+5wZAtsb/ZIXORXBaz+nwSUTqTOHyQ7uGXwGR99x3SfQjIna+JKwcqpqbyS7u9TRGyKUhkLGquqj
YIdDUUdcDu00n6adkRXvVn72Km7A7Njkqnruk+EVfo5Frr6KoF44+EfwK+tWOIwY2hxiV4sB87O1
pDjG0zyhz5fZQ1YB30AHCzwsZFDxY8Z5fSNVXn6UCGLpmCbJjZka79VYLpwtbZLqPZcAV1Tl8ed6
jM5YL4sD03qqIEbBSJcPUSNDdU7ptd+1SiAIdv1QrTTB3LeFQMC9Dlud3FqLR283tXZOGmfPgrTB
r6Z2mmeGSPFLlVQN9sUSu7/myudczuLoU0ke5jpbXuD5pq914vBqzkh135zO8t/pAns/CEHVYAMW
JAQucDZPU8Iv7hBsax4RAMMeaQHEjmyrYJ6+yJMY1xZ9mzVmR2+lQQmRQd5iPbRklR7dScxX3ThG
b7ntFGsBcHEl5jA7+bSZfeYYvSJAqIvfF5osvABN2b6RHh6fFmptiuql7IC38pL1utIp7C35yOZV
/xpq09z6Ncpshg2Wu5Lk5m4p8/K1XVg/Mto9iJ2QUdC7EeDvCHHZD8kZS0bThuwiphJbt1HVLeMy
sFZTQr9LZiVFSe1U6mHWYxetirkMuTiwMdaeA07F6cfy6I1zeJyItTxlXqM+ybJjMNjYvduucekC
6XHCrHzU0Sgg/RRVc8WCEWKjyrhzDnnkzZ5j8gQJwWk5RUP0y6styJ4zuQrr4E8778Y7GtbjLeEH
7YMcguaXbA0sJ1EXp8XE/hcO6hCfkFKXiRdYpHiBvfgChtX8KpxiBNsG5O0Nvlf4mnedDpB0BZ2/
CbOW2Od59DyigWvXP/CoRpuUAemjlq2dgzKQUOeIvxb3SBS95ySoqs866Z5t0nHXtaYigUyx5Kug
TOyJjntboD0e5/dKRyn8MHqnhnoKFVtA6305aAKqThKYW7XjGMBFNmqgwLB8tYhTnrZehbzYJhC6
m+Lsep56IsokU1fWiKQOdy657RfQ7btgg6Oq340LMZYrqEkA2ZyQzcbRBYNoFQJDxOs7MbaqjXMt
TEDDLuj7eS39IHk3nYpR5HX6lWRRBUA2IGZ3qLrmPuVGhTsv1N6TZkA4bwWoVUJkRogI0ZkxRaga
uKnyN3pK/cZQMTGe5x1Pc66J9WLPXPW/2VVBVPs/zG+ilaLkv0hid3zy+/POFoG+ShaLrr1V29Ep
CeaPjjSFFZPjcVpxtOY9oUbiGzBMsIGJNC1bLn3siTlO8JaUS/nZJWNMy7KXxD/NSEVs+1L2tDDZ
C87YLvc3wiugg+2sMtkx8HD5H492PwxmpfDJ1VuVuDBNjB00/dZLM1pn2s5/xtorj4GXwT0qkx6i
WiBEBhorbn92czCz66J3Xw2MbuaLorDKtRh7/3VpmTowxODwVnVxdc7bKdzPvOzFxdyRYk0g9Wzv
56Gq924x+Osy7+edjxqVYV5YH8k2YlAWMEy7JdOZHGmszewmJEz9XHJlU+I5VvcCnavajAPVRJOq
L3ewowtpedEpR211Oy6uVa742vo0d7q7mmdjbZjVcsafSYhASL2ymPbtOdugPeTUTHJ5OLjpCqpx
dpuG8qZk7rt3kjZ5TKvKzdaOtqZDXoE62zG3T3e19t5lI+Z7y8+9nxa+FzISxOXs2M0ncvv8CbZT
ieZ1bCKav177SpxnfWlh9L0uEXjeJ4RA/EGIcRZa/F3yAu4eFRQbN3ZSzzvLJ/6iWEgLESiVtuH5
TM/wlBPzbYDd/KbsVca+Tal6M9hW/kQEEVvpvxdMeP9KLoEEhSkoQBuEN9/0PVjz/DCLpnA/YyC4
iXzVHYZOM0UQjO3dcRLrmDMZg3EAVJ9AmbmrxlQ7NRT2ynBnC6XlOgwrmp1KZOuyZsBUT767Gynj
mTc79m2djC5tmcoP4HpVEhuN7zWn0cuXK3IRr7UzMKqQ9AZdlFoEao3FwrpCBcxeX4JGNYWzhw5t
rTLUQRs/Zi0zHVmoYpSPE4T0lRxn+7bN/J85ObdrKxj6A/hFRF64FQGjpSj9wBW5f7h0/wQj8En8
oWcLDJZABYbB30RsFY8Sl8+jWkdDyblB3Hoemdtrk89AQZEsQZ8+zETCsivN2OwybeZdVG6pAs4a
gxHHYgZUYl2B4QtXpvK3eeQOR9FgDGsm62IShvNuWVAAuzk2pBxM8r+/+79jk749epFkoIV/3UbP
EJ6Vc3959DL2EjVEXQSWWsHAxzm2lOuQDKmLxerv7WnwNwObM+YanZ5sIcwvJl7m2IFSPUCb2Ui7
JshXYzojQj37w3vxz7K9CHEm1moIHxHK1G/XN6GH59s+QcCFTaOKUWQSXYq47v7wa75Jv8/CvfON
RPHIK8DS/jt76i8XQTEw9nSsoj3jz7lg+w7ACI2d2UxT6X84HOBZIwu1ru243sRm8O8zitBpQ2O8
uECzE92Ucwi5yPCyKEDjN71rBEzCeMFpmIlH6Jr6+Q837vu1Yb0WtpQC6aQX0vv5JtMkj3qhIcGz
N2iHRWFxIFAHguZgHhdqRd/fe46Km0ZkzVu50D1j/iPW6YBvaAaXtkHMMH/KPJr+xwPx/0XafxBp
B5FwnfNN+H/LtPcmf+/e+79KtP/3p/5HpB14//AQrNE7k6wowj0zodFe9P/9X374D8T+AqgGquXf
yrb/K9L2/hFgN+E5wF7ES+zzQxpXa/rf/+WIf4AgcAGmAnr5naX6n4i0vz9x5LzDXMJ0wBvCe/Ld
shU5IKs1s69tL7GfMQWe55fU8af/UG8qzsyCM1sNoBSdWffbfqR9IPJjUvtb3yuGH4OwwrOkJUEX
1RfDPiHZ7g8IgH8K8Dr/RsxZqONZAVw7/LbMRNVShKaggRrYU0SPtSLpFoFYSsBKHbj1BuR79kBi
fH7o4/DejCKCn8dP/ahn194LHCkn7af4v1v0hkz9chIRyvGqSpbl0sZu8Senync15fnzcss9TDko
80VwvlF/Wa5ywrFnAs6DbRE31ec4sGTpwOa/RUQWH8nd4WpMAoQZWdh8do1YPs0Ujs9zkqu9NI33
lRhTPNXN1J8SWjtff3mo/4W43vnn54SP5+IbIPzN5Zn8tjIFUStUjqd5a2zlXWULIVPrTDbuJtBj
ejHnE1syyOzmAn0MPSYLbmJPyDj9pyA8pJMXvDhzUt0ASb6wbXXEJ3830U6kEzmYkISOdijeKBDD
PUAavGuN03yYxC725Lur+3//Xb7BIUBxcKnDgFeIVoOHVv1cuf3lUofZMoreuBInTZlezhJ0OUHo
TrKZFPiZEVR0gZdPyK3V6PETMUyDQ7qqo4IV+MwNJszmzkxT/0ZkMEIL264vq8KSr5Nd7LSWV0GX
OZs6yIZ1gJ36pnbNcOybFD9zkr8pSfski+VrJHv3miE1WLv5Jpyz4aBmvyJRp/Sv7YocYc+KFxgZ
6W9eQkZgPPRPn/ljEGzNHEL3LUf3qlMi/Qz9Doqvjd/6Qvot9VdeER2Wshpd0LgbZyajVtRvGoJg
Xv/9tTwbkv5aaXApkcazuJ2LTJc59N8vZVeOuVJOK7c1dciFa1XLJ9Gg/qXXueKeCQzPKxLTqKE/
KupbdFnd5t9/gN8rx7dPADlO0uS0Xdv1v/vZOOfBYtKz3NqxW7E1FvWuyUdxCWdsj031y8qJxDVz
NoFgJeKjOhg+9Jfflt2Hp9r+qk1G+jRO6wTHsaHFGFjtCDS6Dmwktq4C1NHowzDoZEL1Vs2fEZqH
BwNY+SIqJ+uVLPrkUsGewmevOAjOiZguQ3AFu9744g9Prv0v3kKWhvOehNlH8i7+/XKrUKghOL+F
umiH66Q6z7rPdc5RYf65hbcCkgCLDAfTcrnr2jC5cJXkxO6FoTpQboVPUssZkUMi/kP3wvlBOL9Y
GAqxLoT+twcBiVg1lHJEwRY6cu12zRfp00fartMmmIb/0M3y+5dFmGmEOFtwv0eJN2xQACF7uaWA
DV5FM6M/HsyfotH/xYocYlf439/ybZkokSb52u3ktnCz7Bf1e3M5m5oJi4d5affvH+N/cWPpfhKK
fjZlEjn5zSwJZUYy0ZZyW/bB8GyPDHqmeAn+sAs7fzctM+YKocQJ0Ogs4Y4gNvLvz4/DkhvOZe5v
B9ndK+0k60rMe6a8sEwegcveQCBbu9P4OaH8xY9u3Sw2qGf2k3CTu4hDImOQqqSE5PhajfsgIRdR
TvfaUThVAHVsVZaA1jYMhr2JnCc3Woi1gtmYJ9kfTjnfb48MQ07V7JWeHZ3rKvfv32XxFvh9fhds
W7YdjrNZuPIhtm1oaFl/WGT+6bJFgr2Z+ahPAWPL8NvDnS6xg+bHirZB6TMPngvrEIhluEg6kjtc
HZsDlzr6wy+lFDzXKH9d26A98bpTLrGw4XH6frtGp5dOZY/xdijHR2xzzdZN8MFE8TS+um1TwaCf
9D1a6yMdpzeaWvku4IT9nidn+Y5IL6h9EI2EaLNj/1YrJTasLYD3O7Uve3TxOs7eYke/NTRfMjGS
ox0WeoVOD35zSZhRME5HWQzE6ARa3NIaU8Rpl3Tb5hSeroSglIlZ7DrAO6RpMClh1nVJP6jcwaOi
fRODGnFVdYfSNVqdZV3sA/czUA/W3GPhhQ9J1JibxX/31PJZE3R2Uy8VAjApk1eNhu3GanNnR/cu
2TAu/x18Ua1okeb7MvNrXFJtmb/Ni2VvJtTs6Tqa9PDplFG391L4dqsKse7bRNrSLhLVI1qP2y5k
7NkAZUnsnzHNt62MyePKrKT6AcsyQzFaym5Hq7SgyQuAeSpJw3PmrroGYF/c2pMfk8iSt/3WJrxv
ZXfG+aXdIoR7FEAbshPAWlkxxusIDvp2Gf2g2sRsEj8Y8EMFQsQEpHheq9J/gNrSbPr23OirjUG+
tbTpfNGB+b+L0wEbcjaj8xVblHIHMIXL3indQ+w/moGp7+Rt+tmJvubRvSxG89gO5hfaBfmcneMP
3KWutlE4vFRpe0IRrXcAI4arGAXac5vn7h1ZSDIk4ayp+LdKWjrRQhyc295V0YIwyYRXQ8FItFeM
jFKT0L1D6OuvbasfbrCDTJBtSnnbE837CZ9E35gOT+YqTpMveMkRDdRYHwTE2juNt+y1Ru8Gqtsl
T6Rv+l2WT+Ft01TqzipKg7UEAr1E/d/OG50TFlEmS3/nxrN5Uk7OVNDq5kcrjdWeTl1xbak2OSxT
Z90XFFrXdIrSdY53aGO3Fd6rxVfXHNHNtqDLtTVeaL9bsd0dG4TF106n2k3K3TssUBTvAON8dAMd
3vz8DUchrT3SkVuB4mBpHnGTn0/YaFnj+SqmI0z3LB+PjV00P+PYTh9pntnQzCFcSRPam7At7BM5
acumBzcJYIx5VDMl8i5ox/S6AA28EWom9Gzu6q9Q6Glngbc8ASpjZCXDX2kr3wAkkbmDbAmtQudk
00ugCZsjcc9azTPt69Sd3JXR6XIMIcPQMEteOqVfFNKcfNVLu/soGW08J2EBewMNzz5izIiqrHbW
nHz0ZVd1coN0wj/kHXygzgqTrXT5UKDvatiTtXWV8ak2RBTxl4v6nhV2OrRVOx6ZmPhb/layd4Lx
MtbDL1cmF2UzEXaQR369qoVLtEKW8heACD0MUxRuB0BZO6RY4XnuW2ztxgofXDN/aBJz70uCdG+k
YVXgHVw2npsNx7KSt4sS7p1JK+6JY8BI4zMzJ8/WIy9Vn+7SaETWG7nryWnUZXCO2izcM0lgZpqI
jC996l360IWLVkWIli/YtHo9S1ZHstFmNoiW3Go7zd+1qc3lkMjxOlvi8k7Ozcho26q2ENv6TVrm
ewTHb0Ce9C7x85oEF0gAvUCcNUTDBs1qfo0CjfwKa3J+umNOPGXY5ps2SsUmK5L21rEq3FAxRzva
oJX37MYt+gc3AQaPLwmpYHFj9cLcJ/F8YaOrMK4+QuF+jBF08I1VceeKyQaBlDmfApr2GS1HpR+O
i7fPtQMzjnwzKFudf9M5+FNqlS6HdnIfbCbnsvacFdT9gdmF2deLMtuocz7qob1IEXKUXvGBPYM8
uHrw9qPynX1niYcGkgBwgeGqlkN8ORrAaisplH7tl8pGkoRY8EfC8WzAFFSh6M1RopOD2F30BDiu
nQr5mi6Sa7PgWeqd0V6no7s466DBvUQGk1kbdN/Ey4G32PkMUskRjU+UHXig87y4aFxruLXsrN1l
gg49AgJ1kr5u7j2/vUsLKAZNGVnvmdc170snir0dB9lzXAN46zE7XkLtd1/51M1Wm0Je18iW9vTB
AT/5Kn2PaLif2lCglfHZOTtnbnkvVHQYMoNlBXz+5UzXb6MT1O/KlQwaZokNoCvEFSp/s+tJMeEZ
7+46+6tI6SPgE5r1Y9gHKLLtVN06Yznf+0kREmJf4utagvxsbpu3HgkELzXY+FdT0nWMnNK+n5K2
3dfSYy8ku2/vdX324zzVwzyj2x3exODseBHHLI2aUw5za5Wl861AhrKZiPi7pbMDBJBvezkCyr/o
By0vY9fIbRoPAotUmt2VWe8eOz2Gl16UmK2I8uRqQAdEiEI0XLdB/qmqNn9MJfmNmZeIA4/otjX6
IySgbFeX1IuQD8+rS5SmYNBLRdm9BP581N45n6k7KXMjz1Mo7deksGbtKlFT2K9t5cdby4TBlUvw
wD2ENPkps7Z6Dc5NTcvynueYAIImRedVt/2wlzhEolW/9Pkee3+9sjy/OvUFbsDI9bodk1N3k4kc
RpvVtQ+WHJBTTUsZkemkZHqEVqd2YmaiXdoteEev4sGP+86Cglz73pHUouVYhwJPeh/chvz8ykyW
dUfGb3m1ZO2nrx17S7qZSwVcdvVD3ZlrS7sHbNJfddidkmJJbmUR+Rts7kwoxzQ/Di7XOQkynKEu
wmraUVc6UdsBGTGFWrxj3DaiprCJGh4sO7oZ7cjc9CSWPnHCw25Wl5m9i7yaZJ1AD901Ecrxc9AF
9n1V9eI8v1YnN0mmK6J69KeWmYDm36bp41jzYSzhyV/M6yMU7Wl9KgDsbp2Un7OJHdl0DNvtVUbR
t4tl7qJenNz5HXNZcFkNGu154jb1touC+l7VQX1M23z4VY6TT6Swa6mLBNfAXiNxQ35lZ/aThZwN
DjLBaZtGsl8PtH+Y7wI+2kM+9NgqTRs/erhluflIZld6rJL93LqSlKC4xRbVps6yysDaPZ8DXl47
1J5A6HQJokylaQyuxGAGXbVNHl0XaTHsnMIaNy6HIZBmsSXfkpYtKFBx+eY7Jtjjj0VNV+AZWY1j
FRHH1So+vPDRVEYLuthB4ctdla213EzF2b/H9FdBnUv1VT7k9+h1PrwgfzGVZ3ZpOjunDvvPwZjl
1dB6X+ulas+CMCL03KXZOhUqn/C83UBJDqhuu6U9t4gYGVR+u4HwaS4dt7N3SKbT3Tnt91RZQc1o
rYqn45COu7hyN3lVRjt2V2yFbkXQhYZ7d2FNmXpGY35h4k+0hPfh6Dx24fBuM/smUuGHLPRr6niY
hBKrumsHoGxa1MHaw4t8WZLX2W9KeFubRtiMZhu8PNf4r7pNgGrlUJWWsWlFOdRJoayvcFT2D+ig
io3dhK5eecox1yRqJohBfCnfEVKRisJHMLdtLJO7Mpoe4qlyDwje67eJHDz0YKNwD7SWSIzN4/5h
YUpPYBQRVLVSwQGRY4KKjG3v05hwoPlqx/h2UC7Ftav2vMlhu+675i5M8vEwECzyVjc9ylMbv6Pf
JPW0TqKTWxfqzi/od6zsKGs3A7ROLEX1+Cw69CKcVQYXek0iMRwg8/ucRNbPTC/97IufqbdlV4HD
bWeLWCHKGLKBlkVbJyTJOdFbicbFFSFS82i1bjsnqi4HtJVylflNsMMQESBnEj1Lrte4a4A/FkPm
KHxgyM+BIaBp+JQuM3OYPhAXdAiafQeRhZfbRHgTcB548XJnE+k6oMb47Gk67ia3F++8w852dkfA
eyZcbq1BIKJHAkEZbLrm6NahdSVSTLkrMXXFVZnCSewoPraoNGt0K2WzN3GYbTLXsy+qJHwqB3Fy
Kt18LCYB9Zm26YM3WM3DAhJ0bVQ/32UVy6kGTHYHk1/8SGUZ3TN9da6cQMQr/snk53kp/FElTfpA
Dhn+D4pc+6LL8fviVIue0F/2j0ERFdHG9NlPFpbyOh3G6QlbZJYTSQL22251/eMcBMN3SItDmoQL
ZsksuSY1GAgL1qpTkyv3CNqov85shG2N5SQvmTKAIJ2k5gWihTgyt76oKNheqgjHO2PpqNxT8yi1
BQZvbcNqYig7MAw+dxmyGxpzw3Ph0ZibrLk6NchXopXfjPpO6DSgnbJ086GmXrvwy97/NdotsTsL
iIg7l0f1rg1zkiNX1ug4RxlwPk5LTpMHUL7/h7oz25EbSff7q8wDOBpkcAcMA07mVpVZWbtU0g2h
kqq4BPed8fT+sVpjjzRzps8B7AvfDEbdrUwmGfzW/wL1ElvNfN9kfnlM0GH83HVF+6XJAFHuLIPF
waZqNPqpFOfZ88A2doupr7mzCwHHESgOjY0fF8a5ScbkIlyj3JlOVYOpaMeNsMyaNjBp70iT2R4n
ktziLWliTI/9BYBJWT4L+MF4Z+NT3NSg0nRT9hflzfde5Hsc/hGydc1PECBq6vKdP+K3NNk5paVa
fNTfAwFThN7Kdx5wUUy3HkC8HVrRyg6bIO6ezd5kXmkY1Hf86+Y78Oh5N+pR3prAbWjvKXguUSvG
b04SQTJyRNnuItOBM1aV9pQ+WEmCHCFuTsZW6GVoTpUN4AdvtAd+KCP0Gt9TmqrCOpDUl8PsucVR
WcKwPhVR1L2DPMevRTK4K6+lXQARpjFwplOwpGi/68j0lm2+qBYBgrgR4tZw3N4/mYsLPm52nJeh
mItjrX0LG2wLa26Rwn0pxgrDGCr8rOJth8ayo8+cbvtmaggFLLlnGMBpgIlQicNYXyF/hQimX++W
rl3kmSk1vEIXRtPO9Sso8c7UiKu5cSr4JEH3jGZEFk6Yd2+mxqNPE/78rutAF0xh7elag9V/dcx6
3CM2QYrED5vwb0y4HBVeoT/L0u7eYbS7N7gMih/89ObLEEHkx9217q9JhYQBno1d7hbA2u3F8ePl
0lWuX8NM1vl+xBX8zDQsJp6Dq4KDYcEAbaKqvk3R/LxU0D++0lrSLnpT479CAlAMtwncn3GdwCrL
tyZ0GRIf/gGgPGTNJrf+0jVBtc1rO3phpcR7NeYYRLpp9bhi0s5R68RqL3zrFXHOnTWBG7B7mKY1
88xDNuprpeAca80IbFNC/H9IFy8HwTH3e8uo4xP8RvNWOQoeYNYOrYeCcNntl1L3aJQhmIHoWNvv
ClnBD0Ke5ZiRvj7FCnIQET5xga9NZnfd6kx9qyiXVop0f+RVjU+NP5h3dZcJiJCABBF8hCOO39rc
R2U4zwuW7o4H0s0GCH6TmSaNAd3wq4TkDCBQx7Aa5rfOHN/aTgDDgfMH3Mi8QtsSPgGU/L09EUIr
pxw+tXUcX/tBHZxRNUjfRhynkBWv0uXCZIvMUFBYA++V3gAh22QM2kLp03Mt3gAWRoDyPeu9k87U
fV+/Akdqd+qDhxl+l7NzQcoo0PRI0sErN8AYGNZib2pQgniv8+OqJaIF15+cFuJtqPT0mooahMbo
z/3tHHl3Y9I7N/1qvcDPirZpPwMnD5Q1nMa+0VfthOEvb8cXdN+gGGBHt/IoPIUH9oJoEiECVuii
v/oDc7j4EBT2F6/1p1uj8ayXjp9+7ZOGN8wX+yt2XJDLysL6RHYKbYHkPOCExbkIc56w0cJIcsqV
v21MfZOUBQq0LgjZqG/qH0s+M24rBnGIanpdAWMO1ZWpB3ELhx90MfhzX5jOVUdJG0M7COS06WdS
MuDt+YDVljhURpdvcVBHNyQeZA3KSJR7w269q8qTCFUQ6czH2sdinVFGFmynzAe+genjlTa7hyJq
kztTMhcMRAfo0B2smygakJLmHMJNrWIwT9Vy5InDHNbSZunqo6s/JMGpGoOXSVjep0RDx1JLW4fK
1yaj2QJrDXLvNfBY68bHiW/rU668jFh0nVY/2pDioEYuepzCdGwqjDeC6WaefGUzSxDLDssttnVI
tyf33kJXbI/TeGq9IP0et+gG1HnUhpbDFkulcflc4Lr2hIeNfhAi9j6xr69oiRCYBf0/QD1C4aUK
czdD8xUdAf+Tv0KmrDqXj5AZsd0AOhzSAtVXCKZ2+9qCr9NOLYI0jRpLqP0clcBeSXwTteSBNA2A
KPUMIMPKQXQZ+fKYcmsZvxJGm572F7zJPqgmSnsgXD16KdyWcOmauth3qTc89KDTjjnlPZgtxiMT
bZcEpBw4k7hP8yW7NFWFGllTQHes2nw7TY57nm14WZMyy73faKxlx44eqMvdbRtl9V06V3cQmaxn
c442ZSu/ppWLIVngALl35xTI6thAG8bXZItUdtgv+Y2LWu4xjhPjAbC2FQJ39q/hRuc3aaeeygSv
NDMfk/cGCe5Hr7XtpwH6AzKRlt6JBsUOOeEdBp3/YSom5BdzR2G3aIflUJS7Ls6Gh0joGGvqojh0
MCj3smDKzEDXuplKGwali1LJ0H2YiRHz/RZ95jgXhzkqrqAceYfB5hhlSf/e0638WLQBU0rgyLng
zz072gN4XWM2iLYPErf5Dic8dYBzzWwo8vqKE27FcD518tQPw16zDrWakmfMynZnLN13uyv0KZ4m
69Yf+hY+KFyQGoYRgG3mTwc7MoZ9pQyBjUkv/R2OCA1+gRgKqhrUqtMN+2zxkI3uWS3XO6PJT34L
WqQWuwDlaxz6hi9F4PxAUyM+DGI2ryCh81/7uXs/GG1Yde5Z6v4oYNpvqj62T20DEpKCl91BccAu
+r4Co/+a1HpaIcnJRk6rjsc8LicGYM8qQEakNryQxUO4ctQ38TjUV1abnuJV0LvH1PeH1aNNoaz2
q9bx2UTpIEYRoqrQc5BxsWG3L0kHwtnXDi2QdtIrTy4dEMigQditL9lkUXp4wFZn9Ow1DTIiQ1jc
WU4Jp71AhWhtJxwzmL+WiN2eihE6mlW5NO2rjRQxd2t4sRq3eeq8VvhUPsLggUMUJxKjzUlId28v
WX/Ml6XG6c+ukmtHpAo4cGEikDGaIv4W8Q94PdsaPg3mWE8W+nn0WiPTNuyqd4r3tg7ppXfa95dg
z4KCUQagr/tI2NEjWgXoIQ1BFRw8X14FjrWNfah5jYOV8AbhwWk5jp5Ov0VeRFb0Mo5Ui/Fa9oTk
TsbK0bSS4FucRgRicIVeaDTYKJ/clP4kjJVrTl+CIFP3Qew51hXb5Ay+1MB+hP1ods6dUYdaYa8L
HZCZKN4fmyEmH7roB63xNHAhfLXpQzaN6nHobaItcQPQMbYRejNFpQMOJHW9LzUCe9+WSjo/FC5a
4I2DocAwk7q5o68LJbbte617CaViMfsjWhAlNEIeNc3gSLcY1aBLfNG+MChud5lEHHkz99615zrM
8AWsP7uHpqXzCw5+eCchd2VlEopu/Q3X3pYLnW4d8jsGw7eWiE9d1otH25wWY4P2RHzvUJDccOKS
LwhVNHTEzWbqYuOMjMqP1pmHbQzK9ZiP+Gk40dLAzAbQVwRfx3h8cJr5Bcj+3EP3oszINHpDM7zp
2I/7g1221QVEcRC6LQe9SBk2xo5cQTbm8EDuxpDEV0zJsrwudrQBdKq9sMFk53os3vTo5GGLkhak
qgSGf2LBLIzomezRAGXispWqg26CqlL2z/FQowOTWgypc6e5ZOAHjFzdIBEOqWv2zK3pJwwpuiqK
XugXCmMHKq3ZeggaXY14Zn5NzawrwtZd5pPucSkIR0hhFL4pa+EG7o4ohpiQh6Uu84Ili4PjYpjD
1qDVkcSforoYeek8NhOkSmiiyJIYguWIk33pYrHi0Ym4zFbnm7Ry2q2MZv2yeHRteDz2I5MNl8Ny
67bFyzSZ1n2sTei7XW8tXwEsq+NAdXxjB737sjTaZPjFWo+SSKNZki2BcTPnwmg2nsdtAA8m4BR2
cXRrMRr6Tm9KF6IzRGzGGAuqnvvHnRSJZ+4ix8yfaeGQI2vhuSwynArTONmBYF/Qjeq56GFiDfWE
seT0qe+KhjsYP7NAPtS4Ch1zdkm7QbcdHqVLm2ydFoWHKhO3VsxKkbiSPvcVcry2X9OZjBy0Te4a
7XupUyjvmJ3b6XLwZAtKFQNe5MRI2QzyQ+2nTOCRFYQfMqKe4CfDxpZYmwdLgb9DBRjF3dpO+ioH
6dSAGuvpiLFG+4LxNrNVEPFXTiabH6ViHrudJQdkSiHzbQpUSR5z7AnmsDF7dVSRomvQ2jt7iV9A
snY7+N8M63BdxUqc6/IQDi7d+D5p1KX3BiqLsU6v2ZywcpBFfpzbIC+2rQEhfGMXk37QOKEeAZ5N
3Vaig3L08cmC1oPyCdVKlr1kRMXv2mxNoLqmfHTrCEGvfq6x88AHuqaBG+96/Mk2o4xo5CopTnkq
a1ompH6uWjnaZeg6k7pM1DHX4xLFPSu02mabBksbJdi84mXvDWlvp55bHgo5fFKdhifoa3+XujDc
0clGjyKQV64HqH8zJc7B6aigNjSl8oYODg2zlq0ighmNvi/rHx3yXm+YMCMb5w3irNaKd9IyfQCv
V12sYBzgiuXZXaa1e+RVsvC18/UnO5Hezg+Es/VHXdLvOf3q543PNSKGIe7ZxC1kbM7AjJAt8Var
7aiZTkRcbGWp5fYDUfrgWoq9f4VQHwzbCIVvxg3XEVugba2CZItck/swaNyFlFk5301o2BBKdbWK
6WXIRw82woMJxhardci0ZYZkbY0EgnGtRP/SIuf/aHI+75Pa5CjFVs/cQVcPMOix7WMPFZJ5um1G
kGVANdpXRmOgoFSqJd36ying39XqMHRu/7lBsTesDIuF/lSCbIOtmPGLCzEkKNOUCNLgJNSjUFgl
33GblF8ctPVuF4meBOtEmFQAFTdVZsFV8IIxlAZmtY7KKxjx1nJK0GxjHVGNPJ2pavxvYhJfcGJ7
i0fPunEC644DxbSeaRKG9X12l2BMj5Zg1q6dA9Ib8yXQrK4PNV0vUgkEzwSthm48cqwbykeLkelU
+MmVmaXxs9cY3bImotHYVkG+zKHgzgIZ0MEZ1cPo6HhF+13GEyT+8gENuP62wfz6qjRmzBiVGNuw
nzDz3SQ9XiMxw6JHTlf6WZW1+TJJCyEMr4t3iKngCIMj0i2KFzlyWAP9ZbQgctPnpvEC6rJ/Vloy
mPKRlNpk2vSvkhYJSlBb8VsQa39bR1DzA1cvj03Q1GeIYMWebJHvXA9NN4j7GOVqWMesX8yPLnkI
Z6tsTiKj+5Jxnl87mLJciT7ouzWHWKHOfQxrMD2/MGjpr3SixDcVx+4nq6PQLmmSjp1IOuawXnKY
0wxvnR4ZCzkPP0SAHE06SVRdPQnVLkzM9Bzpab7jROaU1Hb7pXLH7DuUC2bpeP8+ep4c8eGl36m3
C+tjEAzYw5f4fEEBg5vqjE9LHAVDyHLDn0Nj7LtHcy66i62qxrkYfjleQ7RHJ8kR07Bz6LWOTYo1
da+VcbdYCTRE4RYYl5lJvqvdHoyKCaHXw1TzKRoteUlqHAHhtDK0wYeb95lXr447lpi+ztF5KYCQ
CCBUuqtuRCWevVK8WUA7n4paNA/VYKOLhV7VWtVWY2incEFFO94uuGU/WbMaH8SClEyW3U+MWvfS
zoYX9J+6O8e05hcBmXGXAUQ5WVXqh4MXDS+ElResuK2bRaz1wVSoC+bR8lTmHbJecVLcxX2qwsgZ
1Y9xjLp9M0EdaIsxpVUxiA4ArI70hmkcNrXskxD4B7pAXtccxtbXX4q4afE/XrT8XliCeqyrYW3l
1MmnLHXibQkf49jYqIl1rqfDuB5k2NgrNKIckB+x4hqTHJe5j9sfWssbrusJDYrENc0XJ8grYi1X
VWwapJjuGbamp1GjpcLMNuNTvXlf1Ya6iofcuqu9ptsVGIpuEcXwT4PJSCMr3yfmNQjFAMOMoOJR
RqMdtCD/vUFRDbZTl5XHxmVq7PrxFz9JfoBSevOZtqLM6u3TCE0UD4hagxf3oW5gZrqq2mDlcSjT
Nt8UiyL4LfY2KcYzTmGIF1ef5oGwM2sPHysWQwjsG+yNkx2vbDiY9nZMPfMqH1duqnkEMQSRY0yO
C/opoTOlIBDYCvWbaWaR5UN7gt+N+KkUR20017llH+Ebne2G6fdiumyE+Mhj58/Z3u7R3WTjntJM
DkP21YOjuhdenN342BU8SvZfT05Jx7iao2/cojIP/01XaFa2rO53nurjbyJJ7BtaYAOSYqwOJUIp
zx94xv/bjJHDW7XaMnb/ff3g7xVXmsIS/R+//rH788/xW7WK5P/yh12JG9Nyj2rF8vDWDTl/lQ/6
+V/+Z//lT3/I/wQXBD7dP8A6/0my/1B9+50H8vE3/jcPRAauA2oIzpPrBauv9p88EM/6A24I9Iif
NJAVkP5TrN90/kAzAyqT6Un4QO6KcvzJAzHtP0BABiYYWNvk49Bf/vuv/wno58b9eTf+BcD/n6CG
XJjhAitm+gyS2vgdGeohYeDk07SD/F4h9pvofZTRYpkmUBqALvNfQHh/R2+uNwI9dcgtCPVzP35z
ushjCzZwbkw7bXcQnez4fdR1htUEogr/8Az+xS+T/wQR57vwm0FCF1Kf4znGb0DewaWFYlkx7aSJ
WmlcOGwMMfow0RSV9Y2K4vFm0BaYQtmXW+Jc8MPNq/EOrJ66KgKbYNcIoF3GMrFtUUMHa00FcfuZ
ZQt7lhQw9MV1Y/N6MGT3ukwIvoIF8SLCEnV4vEGNcvY2k1W9iQhjNtdX5hPD/X7cW17amKfebo27
NJddHHbgkLZ95tlvvZsAYQHkNYZ+h5QXC7rkDcEwtF6gr2yrKNd3JE6XxqRZ4gPwP1Q+aIzuM8R3
Tw3uDyOBEw2QjUpQ59qQJKLPeI7AspTMbBFtiXOPAYm/eBDQY+Edag1qe0NNKppwCKYYbr/dSpD7
3ti+F3iqXXude+XFnAdzHOSO1fa5XNynEmBqjVyVhQRALPQplU55B8cOpykJeTkykK9J6xdRgM7y
DXkPbLIE9OKdFxaemzSQyaap8cCyAtGelwSWjjEMjIxRDQPKEeTJFi4rEE1WCDuT2cw1TeFLigs0
koS2wk0zRerOw1BhHj2cgLJsj5REmCSAbCwTyTgH3C5GvIg0xvLebGlppXhYmpFRDiRv15yTA+6u
Nq7CwZVssPBTtcXXty0bWBPjs4wo6gwZ/wdpNgah1RHEQhCOuVfCde6QUrH5cukWmFH7BqaR9GwD
ZXCIR9E31AtuijJWW+nGrxNZaGOCiGQyKw54+t1Xqt366x1VTF62kZ089iZqs8YsfzhDdDaVh5Qx
U5acIZkBrGaTTnENM9O6jyjx6SDMH5lb7HEWbsJi6A+Wkb3jAKEgEbUvDn9ggXPBTvtdBem56OPr
uFYmyk+ruUvSPMaQ0bFa2/jLeEoidejxB0vyNt3VAV44/uwz1G2iponPmWXjLpYxubhteueSiuql
RBwrJOuiLDDlJ+SY39wBvr4CjLZXBQ+vxZKBbRa757Gfgt2A+tdG+8DlGBxnG5CZFwmM+GJF82sS
dZ/nWLo7R6IFoiyFTF8kniIrPqPnYoTaQgShEqtUq1ehXheVm9mNoe2rir2AfFFGwA9gWg96stzk
U/qKVCiSqYIxi8sgq/cYu6+VVmHw1S4q6lddxRSh7Zwp5MHeJ8UShFEFVUbkeceojxdVNVI/9aID
RtR5T5PBLy09UAIlz4Hp6Ss20dXu/0navEm/t9AN3vtfE+VHuP8/WfT/q+QKltYmt/3HRMv/Wf74
Vnwr//at/PG3S/q9ev3W/u2qy/lj92vS/flJPx1yrD9gWJJgSGkwhKB1/z3pBvIPvAHA1a+OFJ7j
+WS8vydd8jFw+yBwbdv2DLnyq38mXfcPQgH5mGWmA7mez/2vJF3zN2KB7xowLrkyptEBOYpP+4WJ
1nXUmwjat4dkKqxN5hSvZe2rneURmZKoRWNS5+9Io6MAHajXyuyQr6qYkoEAQgOmAgrsl90WOoAT
RlP6aWQvE/7DTf4X2fM3Gy9vvURsfIy1LOCOUG/8eomY9JLJVdwefOrVDfo1kol2w3w3Cc4jOqW2
NV/cDsXOWPLmsnj/i/T9H1yAjZUQt8rDP+fXC0A4ofbBNaB/HXMBlp7HsDaBS1hptEvoVZALjrCl
DfrrIVn7XZPr+Pf34Lda5eMWuD41EVYpK7fpt1qlsxFHy4u8ObRDvGwo1Z6GhBjYlH9lNfcbm+7n
F7l8DcIRgbR++6kuqPmefR6Y0Gqs4E/2wd7r65eqKVixLUEaLi5NUwMracMwH524yEDEYpb3Di7f
5wLUH4hMK/rWZc60a2dpPFjotofrewFYbm6vhrJaDm1hKxDOhDOlbG/Haoo1wDD2IOtiqr5B3jUi
YQoBMQR1OfcLSh9XRtuRtdImuo5Lsp1AGOfQOTq5WaJnPdmc1kI/Vabv7O15Qj+5U++mpdWuG/PX
UhT+NkcTXPvBG97FD5b2Pv/7J7RWcP9AlOHG8UoY7MZNnNFtZA9+PSOeLo0cDAtMWCtiYjcvX7Io
2voAasNIShTLE9yYvWYM/oK2JdfT/+sX2w6kQw8WqfwII79+MdBhrwYVlh38jkkB+mjZleez6KKw
lFtq3A5slAYw00pmYeyMwZCRNT2/5IEiKoRCGjNyn3rF8XinLBSXtkEErLtqpuWQA61DnFFSby6i
/CtTFSn/+doR4l01GAyU8T3jt2NtDAHQN2RRDjDDy20jHAfM51o1jYhVAireKa/PD33UFxdKD7Cu
5tWEofywYjsj9PT/DEA2vblzdsFTb/yOrMlmvdt6wD5ZnyHUgnn19//qs7bRCJMU7QQkuHJkjX9k
7/YyFQaTzfwwidZilUNQ8JFg/vNGt24NYWSgPkNHS/7V+/kvbpi0aeKMVXvdCX57PQdZRNMQtCiH
j10djmiPwYTqu7/gfZGRfj9SuAub8CmBOVsEnF9/X8lqxxJNnh+SxSsPXtuo6zZKXv/iJtrrx/x2
cl34hhIVDtOGt/nb06+KFgwrtr8owObvLASZcrgdxVNcWgy61pI2EEzko7FnL2FqjE2d/N2MbX2P
pNSOqU5C3qFoMm1G/9CiBSYjwMdz8CJ77C5QbzQEPkyl/ySAyKMB7F3kvLRM+gafIpHyfQQlvBfW
1O9SfFt3AN8Pxkx8wx9HhmkTiF2V8p91iWOe6e6ADw25wevB37cbH/aSpldEzcwH2TyL40fjWss0
2CPpWG6SoLb3Unaf5t7vNrLGJjrqs9dCp6+goe8LMHXXEZT2jU153MIzOXbAPNBVLI9iDgwmlUaw
B1T7DiYYGZeKmAvEfJ0uBhw4k/Ndxszlxzp/dUfOoK3i50bXej/mwVPC4QhFr7hu6x4eGcoj2Gvt
LNmji8rbPq3RG1USmDsz9bctWh9ZEkg6aoWc5EFmfzONhbAscZhYy1nox/7WahqJrUXehPRYX8E9
IJ43FPIBewyKh1STiLUrIClm78gyItMT9z7ahVwvNE3IDurNVWTPCRd6oAD4yGMagG9H3e0UCWSb
zRrjkFa8eNA9tnbUBmGQWP4WNmkUDjZibsSy8qDYIlkrQB+AQBqKjgycL721Kezi7OT1Y2YGT00H
7KUZINGoyE8OFD8WiWW0UUTm0ZRd++CmGvoe3AEKjEPkla+t0bVX3VDTjXo5IvszY4hiIVii4+eC
g3T3TZO/s62Sq1jACcbASRfqnS4sOOCW3m1jmx8K5tyh1b5Bz4v1cDn6W2l4FyQVaMcacgBqrPRi
Q2Nso5pzXq0pc6mor5TJV4Hrf6cX5sTyZBcPPwOIWCHNlYO9ASqOJXLBG7CK3XaO4vcq4EyUCdHa
SCefaWR1ntEF3QCRRzFJF68WG57bgQlO6I7wngC+7zVC665l4K+yGO3Jjbwno8/5jZSnZzejq/54
MFQGl84FFYdEDluN9ewuE8fGqMGpIAOJ7H2SvvrAybGYsu6xQQsOgFxefWNElJETbva8Gh8Ht4VP
wcpohpAJqtAs3MMi/ac6oJDBbUj9+QoUnDDgcfcgV4DMjRSfNoTMm3LmYQ3pWm0IPg/CnrXxoQbR
V/P4O4PXpR4qYyPlmJwnA0twuKppWPsc2qpn17heOJdLFYPn7D4T5DRMWtuTdIbuMzOGYD/0BvG6
nnnVvKRGQzzAk2fk2XkLaEWN95UJUWfrFBBJ0z7Iwmwez9UEdCBTUbZfkX6bggAmgGJuAo8RgeZ3
cHTVnw+4MJx7mTcv8OmgB8/Ze+Ny1aztofxxwAZPvfczdbQ/EgnKLOYLOlrXfu3waxcJntbsaecn
biLNAPUQu2TWWwF4HGzKfUeCe6h8tYWK7KOybKqdq+sXR8LIWbMTyrmoJ+L4tHdMO7qWbva+GFF0
J3G4g5WJxCjrjV3blehPzxJiSfCjzAkmluTkovgOiaJLn7uO95hN54szEmsV4LetMzsHpNFfe+qr
NZwtOE5gcuRePoLS4BBekr57YQBFYhzci6zwuWcHfk+/U6LPzquC9cbrIlKGMhajDgbVP7uJZC1Y
3NQSuzXtAIa/fPzCaVHv6yvRpM79mgrQebnvay7s4xnUMsDyRUwIHEcIt05nkP0OE5D12JSoGEfS
wTbLZN+c2YjhtUwk6jjHZ56j0hocxo9I50NFCJ3Ef6oWh4jKJGtHNJluO8j+u1nw/ma8mbsJrekt
innimK9Glv36dGbkOENHV2cdl8YWKyz+Ua3n649IjPgDhZgbAy5LmUmQ45kbaf/Jy2vgi/wNlyvx
5z1787WK4QEM6VDv02rQe6GK9FIFhtr6DvhwvKchbxncsY+8gvoDMOC1eFauw3Qp2sEXWQ7oa/Mi
LtzI9YTNmmCc1JTpRJo9sumYGlYcujYg8OCWjSfQOkvxRx6NxUrt4+l2WfuSgrPEWYOoTxdUHpqY
D2zg1+4/4i/YuRUMlDBNU6a1EUFVHZusA0tLBGgDviBOONXOwAvkaXV28WFC6IJwg2yf2n6Uw0Oa
5bthgmggonx5hj1QHb2VLmAhbAsDQb1+nJWyL14zPwGGMD+htrqQMFpGSCO3es02UUBcVD2vQNT2
6gakt9q6QN439phL5BLQuAWCNGwGTB733qghR7hQd6eUuwq0gPocgcOsaZIjYnwkvKVvLkTJ5pTa
SX9lT8yMOqdw0QpL5i0Ln2CvhmmFdgfRFjIvNjbdBP0qShzjiEJ5/Jp462zRMu10PwLHBoiWdofA
Y22WziiRN9VL1Jb9fqaz+i5AhTxaeVafEOyEwV73jxlU9QN9TgrshAWVYZuAfQsoJcqz0m0ymNHW
sjDvifNm72japLGK19KgHqur1knY+Q4FS3ENPMSeImbGS1PB4yEtqIQ6udHtxTKRFPbsmbFyEL8O
AufXzJOouKrICuWku72aDH3CSsnY4CP1ikC6vK+8Wm1Zj/I/PuBNx5mSYyCK5pI6uYLmlqUhGiaM
PG3YfB3ous2cxzY1SgNbs2AWXC7csVG2bxn4810/QkY1G3z/DODnO9y5UXtuXvLVzC1Y4UEj9lg3
I25tsL+t7lCb4ERThoB8PeTjsufDbBNd/ESXYAdMc9i3g3PN7PxrnMfTm+rbBFsjP9pO6K+yrHe/
1966YVjgm1A8CzMhaCHmD/YXTrtosGHkNLQY0ZUpk1mDyZtdsaaMZApsGZMpkTFEtrrJgGIH+M5w
78SE70JLAOhAMMbslwDA8kzj5EZg1pRWxF/wtM+mMV23bu5vfMAHhHLxVrscPm+SCmSuiaPkIL5B
bUDmojGtq17b94jPYtrVGudWWGpbxoRMIxu6bZuaYt0Ws+2bC97atfPRit2FoQlL6ZC+m3MVwCej
fjKhW2CClizPVm836xPW2EmQgaD8Re9TJiqWyH7+qWwG+2Rr42WUhAphdi9lxIijUE37PdaAH8nE
ww692R6rIYrgZG70flJUTMZKX9pkQhK41jhuCwWLgTzHQjhEa67fCcxWD0Pd8rfWjt4JKO7AHmBh
x8qRJGPeW7PfbvKS9XAL7TAEQgtVD+8+e5peAar4B1WO94nPiYmCokUXFV11TSpYr3MdeZtMHw7d
KlIdka3xtcpeBzN5VU71gtcRNbJj3Hfs5sHYeJzQpJuvP9ZKqbEiUrz4rsynM8z4rzSQzd5Am+TU
GbJ9Rpn9S0ZOi3t8Y+USIM1EUMP2Tt1kE1fjU1UBCeyprtdwiiCxvoFUpZjDI1I8Of4TI+fXeinO
FBjACby5pQq0buqWugY65hnYhkvfCNutlxOSznPxCOZ8N0q2X73M+a1pC75zypI7ozXrL6nBvYem
h/gDk/nc5oTVOadhwDGLAot7CuqM+2x7/qfKKttTLNLpqWgEqsZwlbdyHV6l8RJOSqG+uM7Co446
RzXJfBHodQ8bN1iDdEHhNI41tXfXQ12YqDGlHmuW0Rn0yLY6ouh7ALPbXZkBmwmRvMdke+gB/a4r
nUtscZ0fGR34fEqOyF6b9azGHJMLrFu6PGoCmmu5y6xF7AQXvLHXnFkuVY7/Hl2LnhkQgZjEXydu
X6qC1DNOw3Qb17xS0jF42AjmH/phia4XJpPUOjkQdbdXD80wYuYITUrELH9mL6G6o6PffWS5Fh31
cwpxNgzsxQegGpjnuOZrcskZnhNLfy0Qa/2BcwwwSHbmTEBYtKMTEiPfxmkKlij6lk8dn9IW74Y2
jFeovuU5J+t9nH76zV3vZYi72/qdIQS/Kncf/Dk9uIG8L5naH7uIzJXBzlgHVY6tm+MQB+ONw058
s6DUcPxYcw2VxOqAGoqgENf3bVAWJLOgBqECNgp69QWzMR/guKWQ1gb3pJz+Wgw6JeLWp0VqvbMb
vn5VpQ4zmwIrFfI2b0c8fWw2hyKZTAD1TKU47aS4gUc0lvb9R+4NZt7TxI6e/n3j7/yr8YLrs5c2
pecaxu+u2WMG2gmDNnWAzkUjbjGwdfr+pakZCmYGvkjw39ix4fYDGibX+0QWA6Gm/uQ0n/2mfjL8
1OQdptFdy4zBMwSoIe9JjfGdIWeNORM6mzJHZzOZDExLpvHOLQTQPh+NcNnHzx+DzI8eiX34D4ic
ybs7QypzevfeVLrcTqI3zxJc6bVbz8V5FiYFHcQ0TgM9UM/SlH5JSfprZ6VgGdCO1iZsQProYfhf
1J3JjuTKtWV/5aHmvCDNSCM5qEF579F69JE5ISI7Gvu+/fpaDOlVZUReRUDAw0PVQIKkvEp3Z2N2
7Jy91/Z+gMqrz3M8TWs7XKpAvcwHOfNunNALjolljf9+i5yJgGRQwICersB7ElFM1EEW8qbsg4Yz
Jd674KxhXntQCPVUlsBkeV14l4hTElaXUxJF48e39c8GqE1KC10220IXTj/3bdMIwEblRCLp9rHb
YOMVsz40NXWSVsi6yeUlNFIhAsbZJT9pVy34yveNJI7vPkAyKGyCXtLbj+bNtgj88bu9V439Cnur
u0H7aN1Gg8o2NsbNr50ZB9tgsQ2j7j0Vfdbf+aXYT3K0nj++DEsH7n1TSyEVhennujze7/rAnejM
UhdDsreXRWBpGMDqooRGb72tHfsmClldP/7I5ee9+0j6ozj7GU+Y+Cne/XyJf4LjJiFZTSC9bVpN
JLaG/CeMuvdjg2a915jY86EmXTnss8PHn/43bzNzAr6A73H3GWW9vfgZF1W2jDn3FSFLm4SGzjrn
QPHJE/43l5Uus3AU/LC/GVOxmwqHKVm7n63IRtTWcvyKx68M4q8an0irNv0M7vWedEdHn+YnEkzw
gqgywJW9/WEVOemUJVm7D6O4OQ9aGuYRQokjSwKtnMG7R7qVr0qT7tkyWs/GlPShEVctTA2g1X30
Y04fP77W7yQyr1+JOSJqEh52msDvHq7SYDLumyXvWBJ/LUo4ev8ofpOYGi8dq09gbcuU8d2TBajN
dcGOCc9fBpFvL0EHsFgFedLsvci9quHUbXIDL0oRAE0xqZqRYQDOSuOHksTj1HQf6kgZqz4aLjuR
4DgfCGuBaPUJqHSZyv7xtXzhIFjiybPU60jkN3qm9MZyCt2w2WcksYMVoHiGOUkrx8xpqOCjRth9
oWmSPcm2LJfcRypandHSRTRg1SONKeo4QCIC+n2xJNwqeTVYQCDaOP6umoPTmuNmtilBWveIfvRG
UON0oS5XWdjFW6MNtxq529qdQ73G9rlJl6ljogCJCHMJGc5aROdyOVubpsBngWXAJKmQS0Mraxnb
vW5s8WzWx4+fkPfscB6RZZIM3Voi2YI/+25YCvNrbDkYkl4ZcFwAHROu3TbsUSRk9MXcJTxMy4jW
QYb3r0cnvPxMWquI+KuCgtClVRuw0834ds9KszO2DlqQbb/UzXNCVdrAn72kJYErxqMTGmafrmfW
nyMtF7UUtCDpKIbS5rv5Cr0M1vmaYpOitFnF5AVv6KnhH3LrZ8wDCN1VduEBkYCAhtbfSAk5HjCT
fXwp/3z4YVMA7YYriukaxt/bhz/DGFP2bljt0QyeiYELs6heQBWpTz7oPdl2uWcuM26fBCdYe0iH
334SU5CA1KGkJA+WrmBM3QN1d95Vbpv/Smf0Pa5LVypausvV2EG5TYhXEx2BakEGbnAo9TfBER5W
gLhwM857CUfAVxFOsZwZcw7v9LcvaslsXqa04YyAs8vHV+vvbhoDPAagjms6yNnejaZyTq7CmnW5
1w2UJpESUFPjcF9nDVXnmI2Epwzdj+W89Cqe6Sr9a8q8T1asPxdIF1kE80QggvafaoZUdI1bWla5
N+3ip/RhK3EZ6CCniKEIYfnk08SfEyzXxYvtM/eVlgnr6O2Nk4DOPCSNJfPLIdwlJXkny1gStwTG
Mit0aOBSUM8tQw50j+E1WVrPxVgklypDcWWb4bfSs6bL1K5mAK/CWyU2UH47W3gG4M0uAV5ef3yb
/txH+cbOMih2QVtRNL79xnjDoNWOvFquMUVElZftxiACZtuZnJ9oZaMgM9NPhpZ/U/DzaTwRpk+F
itry3ZuUUjpgfhDFniR4HmF87RzER3ERF/a4xLzTTw2hBVpJdyQbS52DF7h57RnSbze2+PJhmeW0
EAIGRQTk9CSiO9I6o7Vi7YCrbEvJEVOjatxIp30WM/XWa08ktzg4LREAu9ZdVrPIoV+7jF9s0UU3
CSeqdVZITe4pHIEwwVoRBfIhRXS1sgyGeqWlIDkwdNhpdynmg8HHc0NrEqHnDfZpBGbLbKNI4UAx
c8PGEv9SUcvHjZhnreCrNPAilmUzYBbkMfz4Vv7tsqGkjYBHAW9Hs/H2XpbeHOnaZtkIp1afkowx
psXxZSccHNQ0lgv2QA656Bu/0Tanm+1wo/Oh8jZDJ0jaVDXpphM9ote1PsOkeIymiIBZuykdCILi
y+toE54SYEamtbCEanmlY27Cx79keejeFrBoY6kuUDMJMInOu/W+Dm1GsPA990CgwOdA/1kyd3gl
bN1DOPWzte/N2RfbC9wNWtDkkz3T/rOE9YSNYRTNC1oj672+x/fGxAd8Ti52yhStEPV4shL6/V5K
J1yS3/WYl3hMI6mTY0eoyyax2SFHgz52tPwnJyERrDPhbIYzjyl7FxMllwGQmuyvptXh1S+ejYbm
6+v8gdYGceV0qkfSuQMccE65TAMcmuwxTcm9mS09vnFp585ldFNXg/1ops6mNP2LuhcRjq/Z2U2L
5iUL/V/8i6EHZsKf6JjTfQ4+YJ+4jBs/vkl/U1l4guqbyGMf5q2jlqv4W9XVM6vL40EX+4ohxeuA
ILOXkTBh2+sy4jWc23RYwSg7ErtpruaIioGEMYYHuMCXMcxsIqota7CJ7NY36bK+VeqetJaIuXgJ
3oUwqHBiFuGa2bT/+Nv/ue7Bhaai4L03Oaa+PyN1rVE2qGCLveHZC7CvIYyqJWGTduRrNyoNsk9W
vT+KZ5dnivqUQxnmRTb2dxuitppgqhNOgrS2MQiVLYrnZXL/OotpXm9vx1CoZ31ByYFohMA35pxt
5a1kMXbbuqqTrYOYZYVU47PF4/1G+frlHOpa3rdFNbT8+W83U01eHBsJDv5IoyNoa77DRBnRLVPW
dLkqH1/+v/m45RVHqSQtDhN/bDtJ6eDPLZL94CxPLRrWyaCgshueHc6On52IvfcnBIjFsF9cFJ0I
2SxOjm9/nq57po3YBPdaa4d80d5mLSQWbLT9HaMmH/9kQkUSLbpoSRl6iBxwWJZl5Fd2YbtPg535
p7gn/lh2143yxm2lWrWyB6gOA+/ohu5Kc56CPdoTKKRAFuTRRS4x7QVLiFU0tznoCf7yqCcIj9n1
TUQ7/Bh3uQUbHu+gUYhsEy9MdM4wtl4bRTTAcYLtY0rdw4YZgAQkFbz+itRKEcoztBwGE5XkuplM
e82xTeLClVxDBOUXqjLiTRAnoP45J+/m3gACkHvepiOrlcQ245u1qO2genc3E4XajsSumBxpTmoB
CaO0DeFsddTc0PGYU2/yJJNnCFQddGCJH29UVuW7vLQjECM1xrfMJhx4gE6/l27lHfyI72CUQUh/
965s7etQkz9g0B0+95Qx0/6Zra/d4MNhchPnkxdNvi/UXeFRhAlEtKxKJuf1tzfbX/wSRsouj4LC
O7yee2SKaiRvTCbb1FIx/rLrsqpysC8DkKd5sreiXG5gAUABH4RiftFR17u1C0os1d9TEcudh/QQ
mwUsfocHaDsZHgZcFki083W+Y4hgr5euxM6Ts3EPuNW+8Je/Pi7a61aLe8dFbTLgTt76Tie3XZ3l
mLAa75OG0/vNC9kfLxRvMHUMC4357lFn5QSUUCXeTtfzvsYgQIvok7f3/eL5+hEuCkNyQZT1h3uF
UxjUCrVkwQLM2RQ97dceDtAmKYHDNK2suDZAgj5eMt4XBXwoaye+Ijrsy7LxboUKcc7GStfurirc
asvwq16TAlgxdsM/4ElGeoZ0mmNRmwE0qKT5pK1lva/tXck+h86PAp5+Kh2Xt0/VBGW8jxe8QadK
coFHsJ+lkDOOyOUDA8c/ln7r7Vnt7mk7JPvUVv3Dx5fgVQH3e2H0+h1okUPN9hD9LgLx31dpXpva
FbWhdrFKjE0/Vc0hs2XNQdxsANP1kb8mkrh5Gc05uOJC2lfFiOo0bwWUwMSdN7p363VDItquy2bv
2WwEl7JqqO50ucsSXd8OBBgcHVg/R+Lm3YuqstWFWw7VoyDJG49DbsHh8duTdHG56t5IPym+HMFv
ePMbKWBtEhsIO6Nxzd789jdOUYv1ny101/FWXQyyHncwu6y13xf92euP8IkBOJnEuFyQr26tGTzC
Np/NeZOSc7+eKcE2pBdCKNKgM32goRsXngHvtdkcx1n8KtFiHIxeISHD0r6JQnmTLJTgso76s3nW
DUwEVaMAmL29Gt2eqXazBSoEyhmM2zZV7YzCB2c5ya/GLivFDAPIwTeribWtq+YKOg7eW9UjsdDh
7WQ4Bt6RIT1Nc/k411BAa92dOQP+qNk201UIj+9SRG77bBT5j48fGfnHTsvlpAmPptKlFYwv7+3l
BFkVRECQ/F2Y1PROOqNew6e+iMLhLsvsAMKdbe3m1sK7rybMLHS81jGUukPiEakOqQkTF/Plderz
msV5r8+rJDRfqiXU2AQofs7foi568kKZCNv5gUZSh8VGq31i9ksco3/OKc9cmy2SPadt7F0lqhxR
n6jXhioeu3Tqdv1o3Gc0pDfJXH9W2dh/rFbQzTht0jZyPF5g690DFWPXVLRTnB30su7aw6PwVYwD
QzC+OLa4zhPbrvDafTuMxo68GAMhTqXPrbj1DpMdlTCQgg4XWpE9kKKHvCPitUvmxgG/5MTk5g4l
D6YK4dsijtuYNc/I1BakyEZevO5Mz9pOJG+Pk4ZpLuy7oZfPtmGlq8l37wId/eCsA8iA+dR51hru
IUS0cRnmkXdqqSe3OvWqrd+nHMdzXZJcMbZ7RW9gbzPy2zGY5EHv+cjRT+UnPZy/e3aYXNg0vVn7
/igKpzHSzCh5dshR+YXbwDst7wosEYiDFhbFjx/V1zypd2++dCQKNTq5WEvfi5mzjl6V2bWssMip
NjFz6GeEZfq8nHNrbc7ZuJNmEF9p1epz4dUseDXllzVw0ce+ooL3wMkwTXzq/QD8tLoMZuLjLVQ+
ozojlaqAvMp73cdIXvln1yU14cbweS7rmO1DDLzNlO2/igZghigQ81nV3P+0CuJ2sIpZTA7H/CJu
TLVNQhnuNJL4hwFW1i0D/2BjCd3flFE0r22BTiOxLVpcCiBviGHrEjGXD95J3bT4Yw5+MrFyzH53
mamcQGrcFZeDybLclAmJTcvXYWK6ZMNm/QNkA2PT9GwzhibeYO0IN94VAG1eqtaIr4RZQN6oc/Or
DJbw4N5inK11Yez8OltYJ6Gxg3fNYuRaaqvpBVGB8kLMn2zQf/O08JDQi1n06Msu+XalaZRKkyxE
FethVGQN4frVpcPmVNjFxnV4IT5+Xv78PKaKKNIpsTioO+9P6SrJUQbPhbNLSbtnvs3bgGzOP6I5
8g56JiH248+z/iwsObbhlObEi0yddN3lG/12SPKQt1UiDO0dOia5jSaUoRYxbxdRxiAqn0k3GcHH
b8NGkUfd1Ye6YblQCQi8IuPldwGKrOEKBeuRk/Pa79iozJ5bbRY2SDXXavH581PA/da3WcNy7eTL
5u5A2yNXOT05efEyLctImGPohf/L326lL+gXK+ALqELjIjI2Ib3J+wLk5nFW3iUIuWTHlOFXVYDU
nAfnV+KmL0Lz3Q2zHXeTF8zn9LXE1upGGitFfd/MPOuWwcr/urUCaKnXNZ7QZxRlcguLcb6xEPmi
EeFt8n12Sc0jeF4QZ3s+tHa7L9Sym2bkUYcldUkSsc90GTnz5vKuQqKKkfV00zfY88icep7zueIR
T+q6OSDQZe8BK7dpkrJ6jKLE2HHdJOxkvlDpYrak4zJvfEMzBZiq8Z9/mvK8R4T47mqXXIxVgTJk
04mhWo9IC1bTsuvGWjRHO4IbWVPzoA4bqAfaceYijs1Rt6Z3aVUM8LuU/+q3IURrlzc01/wjZkgF
kQdEljUF4m8030AjwqYGG4yKiLBx0BjLzzQcK77qjXnelL3VkIpWqD0eJXy8WcS1Sx1vn87qQU3u
d8LjMb6mtjjydvYXeGpAJQ68NaEzefu+giDiRZTRr6+7r7h8KE35BINdoPSpdHTG9de+bDm0czte
n/b/alzCv/R9vsEn/L/BS7CUZdPYMykQ/rWpExv2S9tGTfhS699dnL/9n//h4/QI0TRNm+Ez0VXk
VS55mP+AJ3jmX2xhiK/p9FgI2pY/+aePU9h/Wbg3aWwu7kpXLfbL/4QnuH+5KCaY0dGgoB3vyn/H
x+m+uiB/200JJlwUAPQ6MNKwfb9HDLBTItyMe2T2cP3EbrSaej00sZDryc85p5FF0sRbShYotaQD
ICxnqtSReTIKIMmtajms+kpc5AMZC0VXlIxNgqy6cFw3vUuiwbh3rEAfwxEugcpyfV5nrhnuaseF
N0kDdetKmD1N3ugfvfRmkpAQHWkOGjTYg1GljxwnoC0HtCXOQyu3e9oSymOQHkw3aiwyiGzzXdjJ
aT3TpQdejeCsz5xtF9X1ufb8fD1iIxO7qYDvuQ5GDCWMfidj2Oe89ldRMTXLoGc27wInSp/lOIZ3
hITkG2UKxGcw7C+ndImOmox+/hYWvvMV+K0LT7KrXwaa30xskgVB5jO4YkoGpc1C4hMzvD0h3k6v
SaiPtznSpFUuSOIz2xIzg2YuR7r0zsL9twY2U27mQlnfiIkfswUgRowVyt8EBLdKvg3Kn7E8Isb/
ERZG+IAYX0LEd/1gIWkZwtqEos83rQOUwoedszJlRPAuWVpnMTdgDRAU0KSK+/OxqB+nKOes54oR
Me4MKYLU9Bzw6jxW+VYTTSYXdap72akhfolyO/tpigAXZt1PMCSqvGelNv2puZh9Rj/05wzUntlM
me73bTiuidlpV6EhCyJw1BBeMs33z0Y/L79o7JjYdKjkTQwNERA1xBNqXRuFfs7SzA5XdB31QTZ8
jjXJvGelHzxsA2Fb5Yyka4jUBYoVdhAOK4BZze5HWeeD3knAiocuMqBHdu7krEWoJjo1HSEF6G2S
cpvyWD+0thSnBBXwRaC65l7nunhhEwSepNq88s/bkEcRh+NYfq8yZ/rS+LqwNg796GTlx3X51eqW
5LHZWgRTcZzXd6h5/JNNgR1s5nKAsJwUzYngqqoiflpbKP7Qp954Kh8fG9tAlBlkpvGTutiBkmbh
KbDdJPtG6mSx98aJPy+EP9w3eU4MRNhmSPrRB+vpMAhXo4+AGnTexiCZGdgOe6MdQYTpYXhc0s1u
nbaYAUCTgof/pDq4njbAM5UKBohJhu6mCp2xgk0hkm8hL9fyfw1S0tzrNK0OZoRonzwBhVnSidQp
5SwKfdtOR/MprCbzWfHITVuTJCgy3DJuoNcVfGs5eXAdZYWAoTHrAQ4WyY2HudFAjgP1M0jF/AUe
BwmXBfK6QX6HRYxm1Uzi+pvjjlm6ti17/DL2RBRVnSY8wWiG+xFn14XGu3VI0G2d5UhT8WzBKV0T
WAJBdhqbp7lxbb0Jm5aWHFNCgCVtcUa0nWpXclJkY09lvksmyVhg9IID5dCe7z1vi8VF0A8jdGLE
ivsOHO1qFm7w6Is4W+do9HxKMV+tDatrxGpq67JaD2FG+NacM3+058i01pyuMmI1AvD9a6Ak0c+4
K/XD7Gp9biZ4zrdVK0VKEIwYng1eFOaN5Gt0q6SqwM3KWNe8Iq1hUfPMvNpz5lSncoqyCQdgjAED
Xuu4sYyyXbU016CRdqq7qqpkokTJi+LYZk3z3JiUiBERDQny1G6T16zTfZqqc+0n2tp6nUFzdvar
B7MVMQcLBpxE4Yz9kx2E9YUMtP5i9W4MsNDJ5m0HXLvhgcVXtqbRbkKUArbyvcm99BBm7Xezimw0
43lfnLGVONBo4rT6YUNyRg5ad9XMxRuGS9KIwhafEak+m8aK6X4ZHJ0Br5N14q34nco9EIygkT8T
ZCc38C+anxP4fVwHsGYKcmMRyKM2I++rOiMRI7/OuFKQnEtqW461adLuEVQ0+lAwAd7ZkWrNQzbn
frOOOW0RTpIqB1xrJ9OOX2/azYZHs/pFLqR3ZraF2FhN03Qrbx5ZnPyUuByD141iNhoxLFbVl8il
AbwqsbliE6rF4+QWCwe9SsSFqQvxAM61eqZV5J2BkQ0l56WW8ssrQ3mNqyi/VhxaHyqyArncseLx
ISAnlbsJ6wqMsai/nNxWcfob7fDRtzoz24yFa/0yK7Qe53xDLTcKHqpYaW/yvrSjZ6JOArJzyXvr
ZIcAuduiRHKAZUVufQGfNb4CSSZ2JI4yqggE/P7RqOd5lZLEoDH0pdbOqIroIp4C92mKzWFF+Fl2
ncS4RVNRYSsYiuiE1CBf69myTszXirVV6OqxC83kofRlubGm7ktpuvK+LXv7lDDs2XSgcw6Vk5n3
lVkYP7GGAbUWoUAaLwt5JHPONdaacvc+M0P35BbRfVGYxikAC79Jpnzhbeo4ORmx4KwC5aRDbJFD
UWS/m/V2idEC3MZlQ3HuxjZerBQmOk9CKsuXyMsDbDBd6Ox6N+mIvCmGg4YIeWxDSgdyJ+fvKY4T
Eh4qRKR5V+jrQqXNBYnd7rYcVPQ1ausvGeSA/dj54z6Iunztkq39EnTw0gpvSG5RxOZ7o3Lmg9Pr
fFcZg4ej0xOkxSzz8KnTEphe04j60oWX/jXVPdF5niVGbwuTFgBeXpv2MQ1LFhd4gvaR5I/2vpph
8eRGrS/9xKy3bQNEPkMYFq2SgmmN2dgSHagFaFNk/b3D1nJDgJuEsjQMSYBN01Pbwhyal5mYlkuv
IXNly4qgj30R6KsQ/uGdaXflyer8GAtRCLLIDHt1Jx2NtAXqqrUfGin2MaCcK4jdYYvsODAjlPAa
4HjMya/Eb/Olm5LktiUg9FddpdJlV6aUWBe6dOTWqpJ24H8hpmrthF2ewjZnurNyJLd4BYg24Fzb
wgkElzw9iZkDExy68pSUC9vGbtwqWsnGki+K+AcFOirUjwqrbr0bfK8waI7W+twO43kD6SYI9lKT
XkOAWTcNR0ADDZSJKVZP5MWIhzyL+lskV9W+TTLrehAaaGSLAwG6Bil1B3on4V4ByvwSTklxU9Mo
IfMk7BhLVXi1lCa0DjNdFgNCltMFnTk8xgawwBsK2KFaQZLVzxqhH7jioW8ZniVa3pvxWD1JEZcn
v4mT7Qjm/8rrFKI5ti173DhVzR2t64iQjSlzfxRYU7MVI57pygDrdOaXublH6oyzoh5a3M+Nq76T
RtESyFjb00ur23JaM342tvZU9t9ikcbEgUqQ5gNorEPczQNxmC1409dfWdmgiEu76r/4PSxGGGir
gYP8Ey+ntOET5uXJGzBI6Sp7ADV6m+osggAYNhd+pglOlMgzaUf1kAMzxw/XBrPnTc64xV0FgfKf
MFGxgzAKC5O1sjmoQr305CM4x+rCp/t1i41P3faZKi85vKQXTTilz4ZHhNdaZY33HVeh3s+JQa9n
ZDB1NXqqB4ydtuNXL5rM6awYZT8dErSIyZnOBa1PwqmnA6o+53uQAnJBZ0QTIDewitFGd0vsHLXn
X+F5mw8A9b2f+HrUzzAM6m7bx8kMq2k2vZoxJPd65fQyEntBWPBD7zcCjGUaP8+GMd+afhbIXT8V
PnubJsWYSe+tO4mUFL5uPs2RbGFgLpsvEP+lOz4X1BBhcDvpqfk2Fl5z6eZ5eQ/v/ByzdqjwrKFw
1UVUkSNve1puwTuBIscb0K36WQCzT9xhw3Ai1CsdTRX3OXX8DhOqnYCA7mLUEPQqWTQIy8Xjinzx
2QytCn9n1RKUZUb1sKpMs/xuYz7DRVRHl7SSChKThuqp9mf9o6FHcUgxWD72OPLn9TiN4RFTVNPu
rGEs8LnkbXg0fHs2jghRzINwo/E8Qe1nrZxJt18hGkMaHuu2u4i0zMp9orwWrZnVxBccCaKDqgdx
KEezSpCAxT4pQZo6dOqB9+qOgJ8NAbozyWuBM9OYdQnFzOkvnmVZDNatH6nlFpcigQipMRNMIJcL
LDuiK80mxqFMDAbweUvchjyZh8FS+TevmEm75ZTd8gkySzedLY07s6u7U5Za9RPD+QmjhMwoVdnw
10BViCS0Goc/6U1KDEMUOLSm8qLww5Q0e+I2g3WRFvFLVqR4/gSxT9eiyBb+cFICmEtsUKadn/2q
CRGVvC7ZHkF8fDLqiCiIKe0KiPuv/JERVjfnSvOeliYBKSLGQ+ORxAFjoFPJeVz1FCRFL5uzJnIg
+uOftqcVTcDy0LQVDgcnjwyOpjpeNmV6hYe6bbg1lPFm5k/nvTPUZy070kuUqFGt8yhooMMz0WlW
ueWmID7bNuhxONGum3EWowNqlO5XdYxxdWUmCiOyrc8bwUyjTvr5R0ZC+W4eR5xzlJGkI7idrr11
qpLoSGBW83MMk+IyrBNWEoP5+E0FE+ohc5YzRes5KUIEdvE1k4v62sbEcpGpNjgIs88PfeI2x7yb
dEWzNRsfbVQ25j6LVXEklCL42tZeVK1nNaeXuW9X4ijreg6fXLJ3KADdoZn+0XX+b+tTvaF8/n/E
J6OxxGBv8Ur9617W/6q7/OW7fkn/41S//PjZvG1o/Z+/4J9cMvcvG4IYjSIpiIxAMPmf/Szf+guo
DRkwjmW54Hmc/9vO8v9iOKT4p4UAZOYu6e7/bGcJBUHUhAbKX4esCFTXv9POYkpOb/23dhaCWh9Y
AvgzCUHbQcnztvdehRnnKCYsx+X9jA9gjJNrt3G6diODjpC9cezS+JClOXmLbllr4oW8vKs2havF
EZFXvFWWqMFA5466tExwL6xUEf/OkSP6Mkelz8mZw3q95TwfntG1gdri1MLcIk6T4VXhOFl0MNiw
vwAJJSm3sKK8XjGaYldIQvbBLbAy97EZmA9YrTtwlC77LYROgWfTs7+VM0XXNmCejvmAuIN0kwsC
6dbz4A83HBfi6EAXh8AKMZqTIDI3ruFizT02+h5qyEkK3i+QgSUck8mxwkvCje0bhpbkMidVz5JG
zVgS+0nAJBWYl5m/dGQWM94fMlk3tm3Yt7kObOBKQRY+V8CIMEh5wfRdKqM9lTS2Fvtw3q29uBy6
lazt/kXHDXHrnpMh0ipV9MWGQ3KoAzje2LpN82YcVL0ZMqGOltVi0c8ZwBJImQu1knTy7lslpme0
0GR40XMkP4thVXQQHrRyZDd1goRqimnqlY0rL0VmDZfDCCyUHQB/7WxH85WMss66EwxcCGO0pyrc
2X4p/aee1s5xqsib2aa+icFmzkOxJD5abP+rNGzr6Fg1jWNew8kfCHquZtn4uxioh3ffwDpZhmtY
FQJYY8+cOwGDASznYulj1+ocF0c5bPlr7HPJOkYCgEfstgURJ6Si1711HboeFaHhEiMSD3G1sQLC
y+zOHG/byPwVs/Vv84SG4UDT/khwPIVnSfevJs8H8AxY9n4K5ivmTHqVyciB42GTQ55YE1ZYWBrk
b6gBQ7nfuXeoBI9DaVg0sYzAPzPSLtvacXDHnBBYZdo/iVIypldI+nk+cKc6P6wsO+Z9fRzGkINO
amaLUFmsF0P+VqJGuwyFzM8Uj81tJkvjqEZyvEBqcumqyttDzlm4fuVZp3DOhIa9Vh7MrznwLml5
N5eeXeBx7GkHp5o0KmHa+ofdN+meo2b2FLUOCTwycQ4dkXoEZxZALH3yHwhNCq8Tr3S3HOKLW1KN
iitMAZhNEmfezsjFF3ekGTyE6XiXtAROTG0SHqdugPrpuiT7KhJEIr+gzzlKY2UXMQjCWN5VpEOy
IYWQ5UIR7FSQ2ls7J67Dsn1r1QfoYqy2u6wwO4Df1siG4snp7lNdnvqyxqZlzqRAAUthFKzb60Cn
JJbMNInWDvZEh0qtcAQzmXodTv0tkosUR7JxR234s+uiUzJYgNsDWCtpSxs6jxuX2E3estAzcJ3y
Jxg1kvyZzn/JYiTv7Z7nf8oInc6CH6ml91aX+yfGRuZPzhY86UV5Xiq3Q6FH48v0DVIMk/GXm7fn
HW6AdTUY3PlSZmSaJLOByz0kNKKjQRs4lNMyNYARMkknDrS5iDUBM3lDUw7VClk4rouxfHLmZ4Pv
vYvjYEZkYFd7qKwcOnUC3sAzhjvM8nfs+/FZ6mQugJGU9NuhJguCBsc2kWN+U0Pp3lKhkIymsvkK
E15nb6ZsdDivB9BKUR12G8XIwVzbdh5u6LcbPUBUMT1GcUsEiwyGK9+nj0uYG/h/zXmgrepfZSWJ
d+i86mxU1O/agtWKQgUCa9JnJ8dHYBm2jTgbsTl/YzBB3hpCDH78AOfXbokLIYEU5Z9YMm3pMTVb
Z6q8p8EX4Y8y6fHV/7arnv6xC/0HuVmnIsrb5n/+D9DY73cniJ6LPcnE0LDMwN+J7oqC8KhYm0Tj
iqZvN4E1ZBx9mUFcNwBTHsgHtFnjCjrzg6w4NuZ1n9/n8PiRAqXWjy6s/PgCyaBlbZOWrgTRTFA2
6uXuQ6Kw2KYGc3CxeRO1WW1xK2TmKvcsfXS6jFi8ERglTWZy+B4bkjZuJ5A6MkWrSL/pvIxm73Ke
u+SkPc0SVZVBAzdCEpLRirb5hsl/mTJq9ZQ0E+cfUjHwpxJL5axI5/OAmLhquPSDpDkOgzvtO9b3
c7jK4y7VNLNm2Y8HbCT+GYTeYeUJBpWS/BJe+6B99El02iiCO1Z1hyqUOpk0o5Y6BEeFE0MoYN9q
PTqIhT0Tmjv483TwFKMDvHEW2oo9jmyFPQ2O1KE2Jye7cO3I2/q1IsWy6wHmu+50RqNmacaQfrqu
bdO4TRJVbseida6zqZGnRuqQVJ9pO8uaYTgdx5WVzwvvLbaK68zPoOYDTLjG7+085UYpN0ysaDQQ
3rzTbU7P20T9X5qa/MjQu9OORxIzuLOY4t1vX8gJJm8G3Iagv3hVxt/6HkmIYXkXhcWw3kG1t0Fe
3dxqMwGCVHDhqDfoXC3kX2SixiE3u+iF2TNAghRZbucSBmHkt2Looisy7TX9G6lOfaQPLkrDI9tK
gqCKGVrNWTlYNQg+j7PbcYaeyqbfliGEF7gY+XNMS31jivIb+HRnXZNbtXJmeHIWz+Z15VbWHWHF
3118N7d0BetfWLK6q4YOS7gzCFsySEpygvm4oP7/N3nnsRw7coXpV9EDDDoAJBJmOVUob1isot8g
SN5LeO/x9POBLY26r9xoNxMToU2HummKQOY5v/X3WUdy8o9kNIoXxI0Ivth1HWNDZqM8F1PR6RzK
Ug7PkFq0Kjl0OLyPJD+/Nh6SgZv0FB22B8vhuDTR6L5qwg/OdtGIM1Xh5kcfedacV4M01qcn+APd
Qs0ua9JRmGmN3DiKSmNsQDGKzrpxE0JpPgVWokVMUfJNz4Y2WFF2Nm1kYtPUUrbyZA1BdWrzlh4W
D2n3m0xt/6pSFXoiJp2JoKSrqGl73zWNIVyZpmI/lMh2aDQS5jtTbWxxnQy+tu3VMtmHFK+SBUVE
jAq4ocTXPiv7HtSwEJSTVnGowubPRk+DgaNecdgV5ZryscL1ObGwAVdTWy4xAfhncq8dPk494tq3
yGTADlFexzxKn2dx5E8omHbL6MV6Rl8rAuWC8tgF4S90xtlttgXDmzj9ZlJxRbh39mRKAkjiMRbn
3Eg7Cn0c56WtkYGEqYH4p/L866TQYQQRV2U3foz4QZsm/rolNRNE3Sfq3rTBOILSkKQd2hSyBzEV
EsvKKWkD9fJ6pVf6K9RLuA+oRSJZZowjiqZD62X0+q+uaBV1qWldt9XUbE2jI1dXLyO5ieNxeAN6
oJrPG/D4QQjb6TtBbd1NKxLjxRssSB3QUJB4v9btEOKzw+ljp+JtignF41JSXimwiK6h5jnvRV0O
D1BL6LBQkMboUfWauSTT5NaIqIldIajU6dfL43ZNU6L52ZpGtC2UtkGMhfhzWMk2brlXcxSQQPXN
+AaQpJyxi6ZE53mRcBZ65sUHxYjKk9HOYM6kdz/UtCJEQ21q+xn5SdXgQtUVcchjHVY0pOXnRW/7
0cNDPITpslAqZP4Nl8UrYqj0JqnW3AF20p7qY8AlVMZA0WV4tF8CyOli0QNc7Tn0SC1Wx25ISNMv
03Ehh15/a6xijLeD0QcfY5SjAEm9pDsV0dQsSt2DXEzYyaeDzYytakXsH8aB42WNhcr6QbWFdvRC
s90HkV7Rzyj06YkMJB2uutHqrfQH5TGrZXBpzMz+yAetuXUaK9QwP5IsT/FAf5vj8xJSu4mSzi55
RpYVQqsj6S/aLiR4j/1nSHt/0TQ+dDoaTP9CDgZB5Wqo3I3RwGFvqQEY5DAlylfTGhnZSKnuJETJ
qfJM6xOKNBT63akktel1CoT4gC8cCZyK9PLn2PjxTitNL16Cu/kv2YAMcx1juCY82DC+9LBDO4Dy
rFylTUhqZBlaw8pTuniGSOLyiabEibLQbEhXuKLsfMElCqEe2yN9kApaBRcfc3Ooq8i5Q3nnXPl8
snPfaEydZg2VUPawbp7IMhdxuV4sB3J9X9MmbyjSs5ELLKkDkyvN74ddZSBAoD4x6l3IYA0dHM4r
fxEVQ34HTBzetaHub0tF1PaiN3yxrbIQei6xko6MvQhEZiZWEDllVeM8kYBE4ZTMrUeNMpcP9hgx
M6KhAexL0cHIoxBW52ocRlRjDYFCY9W/6Kp665SmfEi7kr6/FiPbHTGlan7p4gECZdLlOzl2Fv/X
mNB77uvDrqSMbFUMev3SlqL+GnzVTl3gWPuWq0QQTUbkP1FNyk0UdxT5pVUaYAmHi6bsUsviNYOw
ckJDoct1WyjZLkAuhf5VBI9VZ+r7MRNNtY8JVY02TqtQce1Xdn+mYLa6g5cHX6MAggDOdKA6zah3
ltnZr5amDreKcQvGlCy9HauS6a+1QSQ7AiXSak3NROpOLU/nUtfH3LorNSA5l0wM4vntbtyoZS/e
uzGrdtABlPtpdJD1jjWSmVMZvcM+WTCBBSjtKH8tlQHwr08XYSL7T0v4zQ+/SBT8h5GdVqRodfPE
yjnxzjrbEb+aNdaSgIrS7TJFB4CQvcVYFI1PtK9DwPMRQ/A6ThGxSxcBwbXUczL+lrzYdCh2k3AV
yy530dQ2D4ZMIo2A0wGZppqIzN/4RFMu8DOVJ5s6RUrNzTkMsR1eilx4MdxpavIMV/O5WYTqKFzO
c0EGKfrrS4HUu1tR35mHm6E0aJtXrRzW0GEqwtU1d2aHRc/DnDjToigb/3OqJnGobXruVmSmwFw7
qR/71BrbBF/BB6s0KnjjuO+TTvF3JDhXwYogNJoNHcY2tY3Sx4Hirp8y7u2dqjjZs5Rx8OQAs4+L
Tlf7Ta8q2i7XUAeadCJRxhrYCHuy9ivW+pGNGA8wSW5pltDqV9udO2o0QjWDVDZcSaWLYJY9TmUZ
S3WLNR++J8btaMlPg+CHOaSqkA8Q8thYdZZI3zH3Fiad9Zigiibfdrp1w6ieE9AZV1fmIiUaL8dl
OET5tTYd7xOCmvAHWZW3RB1G7my45HWbNwr7YiPC6wQohesjSJ5pVuzOSWwMD3lhZZgb0VExzebq
XWhhF0UR453qRJX7jhf+YWwY/SslGbe+NRCXHg7ZV25b2Z3UK/nAY88kHBl7DYkmTdZe8+I3nXFI
TW06WJOGHVqKdkfUBKGijcg2ekx9oyVvzOTVPRkE5YHUUMxsrci3MVWlr1Ae/ocnqOxgB4JCDY3K
9SYtPhZtFl5qa1wCUxkLTPmpv+h1cIba0/0v2wgePRysW0MWq7RKBJZRp1/m7JmrUcjq2BQN9BNh
u2Vc9xsncKoV+mciKE3Mc2hAnx0OLLSSRb+TdfipUeA3oxU0B1QoW6B6mAf0dq8HKHxMv0kOnh3p
LpL2cOlrQ/KGtT07TUaZLBzBisDtUG9xYzVbDAmWqzR2tOb3qddWaNA1Q3h8zuX579e4f7D4qNIg
cQFvCeIUOhvMX5wCCsdv1nOQ7PQu1Bk75ynNFrl/LmhM7peSR2hcYqvRFkUryJQeW2tHS4L3H+Ob
/sG18a0NNBAR0jaGSdL+JWilaj3S0TRr2I2VSaN93Xyg8+wJuu4Mp76z7UwzL7FK9uOKVN/+CsPF
/kd8aoPXoOP9DozuCS2MBCcb9cpf0/cKfiaQGZTvJt3NhmvUCgwikXIXHCJ88qZIXmyKnoElZkAu
7Tvtw8qGDBqcrfEZ+ENZD00jbnrXK59VQLklwXb+o6WKdqYe/fClCaEjOeKMk6OGgAJ2pz7blc+D
EgbDfZmbEZHE5NisYKbjAzmalSvGXDBICP8OpitfNnjvrpaVjgeM8uLUJj7XISVQazEkLzoE9H2j
+3ur12wYN0BLa4Yvqc0EySTmhBNSIbwgWAG5ymvxDXv63xCoRXPGFzV3wAG6UVo/6JiwL4OMqys9
v9qzKVSUXSWpysBf88A+NLIlLN+3w22IGvjRQbRIgPL3dK99T/rO99Q/fG8AYRePnxJBwIot1b6L
vvcErckFOkdutIbgLx1f5LxOgCaZ7/hxkoWMHXunePojat92VwyVT8QDH3xMU/aCnvh8Nt+ws2Cs
YX2x502G7kR5IjGSf5z3HC8YmmCF3CW9RflIEK3WsxHNu5E9b0m0S4VuVaRyo5cVGOWMiC45TZSP
5HvJGuZ9K5o3L2fewfR5Gxuhhl9LIlfHJVgO61rhBPp0o6Q4fpV6UrxLC9O2mxGuPTyTccOHJPNE
npuJ/XLTGyZYOEB68VJ5hZn9UAKzDVeBbP2vRpDBc/n376v+DxkjwC3Ub5B1pcNPaLYOG/JHQX6b
oX0kgLXdhcxap0IZfJKYQ5o4KxHvslS1d6Vdpf3Sa3NvNVT5nZ3k3jGAJKVBzOyHvdn4MHTlpPgu
CAAiwCyN+ytbDzpRA5z0Bf9F0VHaLcqb0ZNZWuh0e/tj2BMxN9zhmr3rCf5DKdlr3VGzUyq7azF4
n2gh6AoMC3Nn0jp7T23AAKRvRnthajcUavhyvQt9CyQNej7uIuEhGfVvvOPiTOTdicWMrEHFUDtO
PJXyU/A6ik+r0ja3QVhK1B8mAyp3h7rtCiu5IORTLwSQYEzNDek/4KPMNj4Z0it/aBUEliLvwd4I
eD9zuJQXu6pJF2aSaVwJtkxpmEEF7EoOSbyfSjWlcUsjnpQFvMh+WG2NBym2WwZJ2Vx0p6uR7/ae
m4sIMaKcEtchai1Fo2V5rwGswusgR2QdfZpXa6+Jg01I5iRyS8+w4CyiZh1Zo7/NbMkrZ5i9OctA
Ceoc06j7kXoOKoWkVb0Nm3CGlqF2xtm1jGN2YbWdszXVyrunczf4SAmx3jT0JK48L1OuA8gISEFI
9VYouz26ip5UxFA7Ay1OPJUMnUnkwIY7gfLmUGyw4ss1mB3s7IqCdK5ulQXCutHjDSAzbdH1DZgZ
TE6wNtuWK22S3XokNum107XwgQJR/amMcPISJqcGy7wrOZqGPrqf6sZ36TURB8kptTQsq1nlcA1E
m5DGawVa9JipNekuKD6IcCArzdiHQjUSlhjTO5L3o25oJlV5r51IHIs0vzlOT1ZzAkBhft9EOBWN
e1Op/FM/wV8D76itt4hE1tiXLJ6L3YqZRNK++SStGdpp6X3zTOpMOVWgunMr5sxEeXUCK+WEI3IX
M9M/tG/WyoG/0r+ZrFpIscZNYT0l30xXpiuKXGBRZ/skONPPXE634pVe2yTcCsPU/DMpe5q6mu+x
H0bbDxXbt26XDAKwbdHszlgUFXrQBZuBME9UMFS7KqHGoe+ltiv1smGuLg2W69aZgJoIWo+jbWSb
EMgjAIZ0K2riD6IVzBPlN6Y7zPBuLLWX0i7wqTf+A6n3L2E1vyB6BDNkhfvSm2YBhmOtCy1v55+a
zGKI1sMQQBHVSi63iJnq939/UEGQ/pm7tDQGCw4pQzUFLsyZ2/yDb4h+8TYGErV2jk8SqnNXxtWx
6O6/v8l/RYT/SzfGn1juhzzlf78Wdf3faNhgU7MERoh/w3G77z+q998ruN7xbPxl+979TMI/OTf+
91f5neim21IXGNSYrCxjDsfk1vhr66X+m6MZeLuExSTIdQLJ/DfjhvqbEHg6CBKSs6ODP/HfiG71
N1XomLINFVWUjrnqvyG6fzG1waajwbeIalP5SeC7fhn8IsRdg/ASb9WDJ0fRsDGNYK3VOv0kxuYP
n9M/YS1+rfridydObTaozdZgh3/882Ppp0pBZmDtUZ2So7XsrmNabuvYWmeY6tAXv6aqpP/52RGU
uU53fjqpy0C8MJQtdBRFQ1KsOSy2/+Gn+uVl+f2nEvr8wvDjfSsc/viyeEWYO8RLeKsiGFdNXO4S
s0fgo1trjVFyAi20lHRpUulnz0Jcn1XRmyWkfrGRzdLQi9/fq39ZQwo88ufXd/6JbB2NreRupoz0
VydNGliFQm2Ct6qnNtgwAOzw3xlXmEXvbghAgwupYAdJOgLeB3Mih4p4v2aSNH/FdI0jOXhTqkze
e42WcGLZ3sEwwh2747oYWmbgrH+zhs9kzNyO8cHMs5PZUS7ZA/Z2yMIl0W7gE6SHilpFlU7CLFJ7
FPtuCaZPvsdJLRUXnGFdGJkbJYzfgJ/oUfemcu31/Dp5KaJIRv6SaCJ7xPfXkvhEuYSq732TS7bM
j7Wpb9m+F2X1Ai25UwJEPN2Hkh0gIbmhe7EvxkWiG6j4nrq2e+7amC6YkYisYrB2RvNEDxF58gDv
He4BWlbSOmH09e8nrjUrOie2XGLRX9pyJJjY28uAIhYaFB0vOY6yv6VdthfCWg+12JrIKfALNusy
osJbAZJBC+XqJv01ASytUZ26wFxjaRxAZ22D75n0qyKnvLTM4UKeTdvZs8MsrQzcMJForMF7w27N
1oktNd9Wdb/0k5qPh2/jIJAs+2teSUQY3J6K2LaNmS6mvnMt9Nh6VLlaSXz/nZ6VxwzQNaTguodt
VFVnXxi8mR2aYGTASniLkf8q1RmSY81a/N4RMmsYH+WQv9X1J5wfChMU7NwAiHLxQ13CKtva1Hek
NoXPKTYIr27PqiOLW9h4b76VKicUD4ZrEfOiFFF/1SdYraXPo6U3nnOBWMk/fVF64aIo+NAYVqMA
TDz5WQOw3OuTn787IrSAV/F9EEJgLkDRg53VGzdLa/VHM9a7HZKV9pWyXdTowvE3kHxAs4hc/Ke0
iDNkbsJboG6AOddjWNiFB+l4QyHWrjWzttymAnlaZD3aGX4Kc3iX1Zhs8R60hMSXnX8KuiI8clPf
yao276ups66Nnpbr//7+++c3258uv/+zK/L/LSEYj/+MIPxrIdiZq3HupfzlWvzrf/dX/Zf8TQcQ
IBREpYLL5I7727XoCO4+srIIr+LZY6H/w7Vo/gamS1kXTkDuP2FAfP/tXpS/YT8ipITsBVPyJa3/
5l6kGPnPp7DNISwEezmdyWSfWL+GvFJYggARbGI3hjiWMusdz5DDy1il58AYvWOYtJI42vQxL2LT
lbQnbEp1SN4HQ1qnyK61xVDbm0iSuwdIdWHuDOg8sB99op3oAnSIn2rniLIRV0KPWvq+Y0IGIRMI
nIo2udUBCv7IqaqtHRivYDL4A8zTWHMi2JItl3h3AlS9+1ahyAbSf6XSeAuk7z0OgWevwcGThZXK
Y4qN6d0KtWTTYZKsc6RSse1MpySduDX6Jl0k+MyhpustnHS/7uuu4BSy15Nho/JA+yPcMmU6GDCF
EISvgIb192VgbPkL/uCeXPRFekQ0tRpr/Yrc9JBXhb9EM7AkPf5LauGwVwIvIj4htqeNHlS3kM/2
Lg9TpoBJKTYMyo+DGixMpT+2kg/TaQqBx4RfORTx2cjIdlbgDbOiPAnZ1kuMLOkmHJrPQh+ns/dU
c+Ys6pKOIeov94YWJCALDSzl6MLLrlC0kqZjlEvNzr4agwgWxyRrQWguynHy/qOH0vF3QZHqbmXB
zhJdv8BpC0AyRVtlbO8VXXa47OvhsQ0nuRNWuipafXDDOAffhtcfrNLfprkf3MgIuAaio3x3tCAY
jWQ9DKNNJlNq3EmgyUXC8roYPWRTmAcoTWwwcePSljsdKcKDSPOriEsjWDDWt26UBuNNTbwJHrNu
ig3xC/7dYJ5QEDxScUEadWRml75SlCVZuidfNe6CaHCRIzz7ycjqie6/aZnkor46+lW9UyieUdHH
9j7FDXDQoxxD/lT1uaqarzi7gUgVbofgZCutIlmO1I+hhFkZWAtUHOIYGISC95XiskIvz2OnHmPJ
mk9N38K2bUIixt1Qq49e+qTDTNLRRbrJYM7fO9qV2DmqpFAf6TcJl9zdEu0VGoZ1FmQ1V1KvbUpE
KJnU3g0IrsOEXYTl+STiaWGo6d7yyotobAQjkQsPeq2mQHvtYMhw8uThymgd++aYxIR5NAIt9NGS
WAUr5Q5+T17g1lC7OSifMhJBwPDK9kApT9gs61HiUyxFsRdePR4io7K5UUr8w23mH+jIsHeZVrU7
qiiT50hQkoB4ow6PgR6ouyDyq+1oVf5DbYHj8ajWO2DD8RXcgzTjss8vgSm6nWVlyVuMawpqi8CO
RI2xPhQZFjszdw64603utr5fN5oGy6hMwyntjPRhasLhgZKSdh/BFz+mDEDrsgNgXVSFU72j0rbc
Ugs6CjoceXKkURyZDvp71F3iLLWp3Te0drxqUdKiVUAIQi2LeUCVFu+qwJF3U5UHP4UxcHPWdHP+
IEMh7dHM8KmD/oSnqHD6o/SS5pB4+EyBGzr1YuOduvaiK890u2jHNM6DR0rBnFPpgNvzqFhHofTq
kVmhwdjL3sxwVVgbLcEHwX7gz/ry8T7Cd5v9h2FeqFwNf1h97dnQrht4Kzm4TTrIfg3fiWN6rkU9
wRn5fnIujCrvdlHd1edyplNbj1ztQuv7xagjGdH6eHJ7uH9gKHgHo2kfza5W1jgIQAOsaFZz1VpO
bUKormlNq5ewyj76kpYYWdJf5cXM1OjQqOmZrns81KUzXQpTyxZ0GCan0QeU5kl6lPBskH+O3BJ9
my4JapCLYJQPVRUEWDL79M5sfcLd+rH1Hoq+1xW6akfERbU1lZkbZHzhhd7T57g0IeeJ/iAhaFmH
Xjds1JSKK9rdjfwVpUgZukxA+QqjRPZIh4j9ShTwHmsMLV66fW0tPDlhky1HYbpFhsO5bKzMDdWE
1IiUIl3hG9sxRVzYtuJaDM0xKKqbV1k24TV4JbpBogYNB8SvXkg1H4ZmzE0TSSPRuNSC9FBPRnfw
qvxohbz+YTjCCKHt6bMQJ3tbMYvLNF+Uvel/Bp3s0aT0xlqBvCVb25TnHECIMwa7mxXE0bWYTN8t
Wj8941CyZh0xj9Jk8VRNqqkeUR9bx7GN6iPBus6plWrwGKi+fvRDszzHrL7XXDPVSxALfIGEMDYH
/tbDETY3PPUq9BGUDM+7TZTeD8vPOmMBOBD8JHoJs3/lDetqflNw85gHe3579Pk9auc3KqltJA7e
IM4xPP99UYbl0VAz7ueg7qBvuCqJt62JrUrhehn60RbMb7Azv8vq/FZ72DofCO4YTojj/V3RiX5d
zucAaSzOYZx681AYebzsymx+Dkr7BomXvIXzaTLN58o0nzDGfNbI+dRp5vNnmk+icD6THKVQd7Gt
kQrpmxxZA8k+z5U9tbsoTuestd4/JE0bLLvGtN+jRB8PhacUexXW4BKklLrOmbftgQHE/KT8N9gM
kdmsmazNC/+2cteWvom1kyTDMCSYYjm2I7ZHiiAwm9eTw4SC/4pf23ZiyGldWlEPskzkrEvXoZku
NV9UI2lyGJzOmRXZS1WWkmAWy6knV3cGPEfIMFGDZlPtF89YYSv2MhkXDalgIm62uV91/lFnbaBg
r4Z2XLSN3bUofTOK0KoyJLNU9RWCxuwgGH3XGYfSpxhO4uZCNga2UBlUk/AaRLjm8VnfCaXTT7Y/
yPtBsbR1gkNuVUWGdq2nCp+yYK9VN7QnJslKqTSQXi/KHVSQhfcxJ2KxGzpwFIvKmgJl1aYJE1AH
254sLY7NlymheWTJcq5xtoxR5PCIaaVGKnqjX2Pgx5JquHvLw2E1RVG/UuuxQDCZbWuy6oGvm8em
O5oTYYe+p57wLhUngwouFjPFg+YVSCWq0MMehalG8+BnaLgc3DQv+oUw8FZTjPlGtE6/HqP+E3t/
ubQrgXZ71C8ewoUzdZX6EvnJR2h9oJt19qNOn6CJew2YgGtA5KWxiCx1YwX5PVjENcqxuA+JfdE8
PJpBaplLP4WUavEPHhqcRVvID1KLQ7HHC35FIcWdF+LuUbj/V+pUfCZ1rsx/I/QqY0EZYNBfuM4f
J60IvyT6o13dTt2iT/LpAFUKPoGu9Umz1dGNtHL8cnK8EEtqegqxrKtGjQiNCy3/d7Htf4Vz/v+4
580xbHQjabo+23RAIecN6F+vfP8cF/3L/8x+/MV9T9+zb8gU1cofV8J/+i3+DprSbs1zBCtNsv3s
z/kraKr+ZpOxD2PNYQx3Pset/h00/e4KAVBV+bHBWv++HYKa4gXh6/HrzF/S/m+2w3+I5jLmFB5D
J8qUunUOL4cf4o+oYenhwfBx3q28/pHQpZPzoK1JaCNaGkWhh6VlGcq1Wl/FY4a4BbdI9FiXIaDL
szc0buihhSSdVY3TN8cjnyTg/aFkVVlbNu6AwqYULd0F9sc44MYrfPyn4XPbv+khZXZQ9MzwN1wU
bIvjHekTa6HsC/urIoJl65kPnX72fwTZnMdwxM8AVHLKq3bpmV9pRkMXpRmEgISaSdgM25+jaucu
zdyRgJckGDepGRNkMrTLgXg45DCqGVXrSGv8Zd4m5yF4yxDxmFn/QU/0Y92o92k5BYRa0j8lxVis
agtFavbZJHcmZN+ixVgMa0hank9aANxWNS56S78Q6XDzE5JGRLWe/UeKke5jXLlYfI+0IpEjVxR3
dUtvZulXLrnQq5lwTDSMpEUULciF+SlR9i2z0nhVIwXcmpKQ3F/hx1xEpBcbdbwejXFZNdRKYhqi
J/WEReECa8/cKj5jy7wQl0Cy4AgBXmj60xCOj7lCfH0Kh2kQ0RHZUF+BaaXwX3xVMoUvuMJaBpSa
emA7PJcAe9HwH2IJaRX+0wz7+0sB06xa2N8M6x8Q6bhTa1JtFGc1TOlj1dCQaBj1ZeiwOfTmCmlB
6SaWuW/ibJMUdzIdNlIzDsS8tO6oim6R1h32ajLAzDDZxoq6Dtt+jTIRE7snLqLL2UnlTRiSmsmo
dksRHsrsoLbGpiqygzauoSdX5J4g9JruZRJsbSorK805N/wJccV9GcgdZPyq8DF7FNMBiaz9CD+M
FsAJNm7Zo5hhKqNwxNWH3AUz2BaTeqlkte6EcRnJkTcN/zTgYXaGdJMGzUNUEEGimZvJYX9/M+Gb
uTn3pTmd1ZzQFiX3SzwC7IsOTyVm0XXRhUc7O1llsqHtDF+L/ZE24zZJ6CTt55lLAbyO2+k4UXwF
Qfw+FnKdU9KZ8gUXLUE19B+Oe46LZ133z1H2oFfVCavZttb6h2x4myI5HAAYcuYNzXotPdFS4oMR
nWS3oNA2ZsQj0puY70xnW4rqh0rv0qLDteUzxi9sL5cAGaI9lBj/C3N6+8Pp+k/YFP0XfOr7dGbR
ESrEkTqbIf98Ak25ahNrlHkrM49/+kr7TPPkxqu0t7IKwNKrvWZV19KLz1Pb3fl1tYv64RySo6DF
dYmW0WJ1J1k7qosd2QF3lNxxdjXXmqQrFrT4EgUdybXZf3i6je8quD8YK2d2w2I65wDnV5gDFf/8
c9cFEEOngVSXVoUgRGc6AAGb0IFDGCcgBJJ4jsDesNy6hW9ulZRDqtRaBPLrgbzzMkgoTFImyYzX
Y8pmtT5ovr7K9XCLzQ+uyAT+CbsbB+tGJMMljNobZrbHScwCQ/2HL4dbapC7L+zGzQO01V4Y843N
Jl8Nts3R2Olfaot9jIgv5ciGgPp6KppFUvTXoOsuvd0eCtPzSbDNAJtJ0DNN561EPrcQcfdgaskd
rPmEv6ugmDIKVlIUDwQzfCHrSZZ2aH6ZCvieGb3QH0geVp3ACX8VSbgJBnpbMn4Cv9xVtbGYSK0i
q+WpT7WNIP9qYVUffaAASWJgSfsVIKOv9kAzNIfEWEmQFPaYNtB1smg1J1VBgddwexSqjsfa2Spo
ZzG8t89R1TyWKj3ymfGC7P3RD4c79DeT27UNMslmK6JyWfrqlj7Imwz6repPpA5Gn55a3JKg2bc6
4TI673skcVzZFyqnd4yaF0IK6N6xb6mmo1nFlNSqzsrR8MORr+IH6po//RE726rHu0N41zOtYdvO
aleozpdyPKn5scEfBiizJlMHnTI5PJR4TzfPFMs4pGG8PThFvIsy7xl0H5odLQbJAAQjZenGjrGW
9XRUMlR/xUHA2mNeWtVwSdB4LVOgUxI2SEFna1hOwigXkWk1z1Fq3eesI9TvluigQQdQIlxCGX2W
iYHlUv8K7XTnKc6zUScLT8l/2ESckl2XLXLkPbQh8V90+aUp4y35JOsoL25pb15jPzoY+ti7EzxI
OclxqbAKeUrjOnlL6Grven6dcTO9RHq/JTBum7awbTT/Qi826aMIshe/lsehEk8JpiV6N17kVD4M
aUuLc9TuSs/6mnRx8NrAXPV1ay4SzUeOb1rsQuPoVr6d0IQ8HWMkP0Tx3NFEXG2sSn036ilZ4a67
5mJ8p3sVi3/bvKAEBngkW4HOlvFSGc1jN9n7zioCjBzhSol3sS6f0CNiY6FDUg+iB3IyqMRqD+ow
0EA3OVTjJi51oFulH9xBVS8pK3wsvaeU+d2u8DsaztVsEW/HrxPN47ndLh2yZuouvBekR4087UZU
fE0hXhQ+sWFwbsMonvWStqBm2rEyXT3MOrH95Uzq28Dyh558rbXOZwQ3FqYo0Xwpr57zkwqXheWs
DOVc2edCO0txl7XXqAsvlZK6rSCKSaBkJCAvsh+pol8S37/MJ+yUJjUY5Gbp0c84BG2hZzuuXyzn
oZckPQygBMmXEwaupr+2/s3y041pV/gQ7udkNr+G3Gt1HhflFKnEN4TElk9H1QONH/GecUeFprEj
V14a6Sr+joRDxGbeaf0nRBxmX/HStPbCHHmvY/3Fdi7p0BPncK/O2SOclc8llcrLNpSuH370lGCn
7Rey4mVaOB+DEMkatdSHUpjbsPK3caj96NA/QTwGKalADlB47C+k07v6iDzGye1dFBBRquAIcW0/
faJJxV8N+mj8UCpdW9gKjTQEUq57tjCi8x4Cv7TcKdIenFh5zcfxGRvgA9XGl8lDoN6B9y1FJuCs
mxhxdGJnK5Rhrdv12Sdl8ht7sraYIBbkI1VL1Wac8oPhphglUJmKWonErDTq3xv0QQjCdmbvgflg
9Z5M6yPtur3TBz/tsX1A9lwsy0jfRhHLfV4zmoAPYXifPb1zUm3UNQ+JQG+upSsG9SNb4heWpGWk
bfzG3BuEBGt5dYrRODE+nYJSnsex2RBCpyOMJ24Z9zeMTS8VtweYIRWxov/CcJpVEqPS/x/B5OmJ
1TKmFdK5xHqkYs5oH0I1fSGBAvl0HsQ8Dd5VBNqezwbFGIbFhf6/2Duz3bqRdEu/S9/TIIMz0H0u
9jxplmVZN4Rs2Zyn4BAMPn1/VDpP2VmV2SeBg0YB3ZdOpyxpb+6If1jrW02kVzXqLNbF+IJMbG8r
p/Qe/ruWk/+esptlM0gB8+ft5dVrlTaD/Ll7RCb148t+LBQdgKbIqaFfuQIB1LIb/K1lDNHZsGgM
Se98Z0X7aEB+bxndD0T8Ed5hORZNLqKpf7SM9ofAXgoVEyXOksHg/Z2WkcDKX8t6CNUu34ZkmJD2
04IN/2vh47YdphUcmYdMpuVBY85cxynlbj8jnOtjIttwRz3muF33DgD0dZzM08ey67F9W+knGYft
ldEG830cldPZF2q870aH5PGSFf9scXArB9TBVJs78AmUoomMwKUE5RXBLcdOou90MHScaYTuDWg+
aA+m5ItrsF1xwSauxVjcZkEWBKsiA6W86jwNXqsdmM+y+IQv7HrjY6hZZk0RPKxZ6eaK6diUwKfS
5ppAuZqxbJTt0yb3DwY0FvcQduH0wAYxeU6b5hvG8crfxL2NrX1Ks5cULioeafOAv4gC3MNymBT5
WaFq3XQ2vL3K0d9NoyJDd6haQF7INjtEy/cZ3itEJ+5BQwBcURxxraQuU2mpAHO3qck/lD6PTCxX
GaZ++ImULmzQKMSVax9NS2ZPGYRbiJYDn3PBWLnjEclXbEObe1Nlb8rtHPTREXkFicabb5mKtWNn
vpTWhDmf8OxxrwWmY2JL44dRTeveVsbDOHBOj4Vn7AvlRtWmcSLzDp9O0KycWCUFc3OLDGILwQLr
XMW0lKFdjnP9fReSLmuRCBou1blTYvBHwUHnWyCVKZokNqjTi+LcTEWf7aJZ5OnaIbw7Os9Z1I+7
JDDC81h3w6deyEgeu9brkn1IJXxqe7el6Q/n1tuMrmZGSYk+Rmtq/8Lh9HHMr15rT08V+vsRaWjn
2yvHb1Flj2XZo583dHhLcg74jBKNJBHyoU+HphRYRCB1GVL8zpNXM9YTfH51RkUWWxG7SJA91qaH
vbSSfbEA9yi2fUw6N64Dsu1O51Q16zDrCKM3Hb/wt8qxWK2EkhXNfSb9CAOyxsZ54gmDWkeIeAzG
zW8FUfEKX0uTlmdfDnG87XUjmz1T2I73HDvoqe9ylibKkq5aY/O+A0t/xG7kMUNWEcSLfNubfbkZ
MWgw9ffZ/tjXgek8F51/O2VLeHxqCnYs8pD0rGNdaV4VDdtTdM3347LgbZwH9OBbbTn6Ol0WpmV+
VaqhvWRxtLHzGiE2MYvs0qsliQ064LqXwLIcoUg/KXV5hIho36baNr7xOIMJRFzGdg1wFODvKbgz
TdzgtZpoWF1zF5ai2fCrfrfnu7IfN13A1xA0+VwaIrvrTPMIqiLdKClpZRLfQSyQeaxJjTcnLXLC
po2I/Xp3G3h602ndsYPBATC6UFbfN9KDnTyW9phgoPVpa2EEHlrczSvPK/Uq1PjprbLu1hpiBMSA
2nh1HMzkrb/H7Zfgc6enRha+KKxNRF21vfHxs4LsCu0aOkFVX5lp5r2EOn4QBbS4FNv+XkVFw0eG
ft4pgo1lcyciefa/zs7M4N3SWyuYuosQGU7FKDgy0YqgyvoPHH1XceaC+W21wOVH3iFGBp0Vxc7B
AL5vQ7kvm2DY04u+Fdi1UMnpb3EeMStTAAdmwl6cLng05tH6pvog/zLM8fefbqd/1Z6/p8j/o89d
NpGo98i/RaFJcpHv/2FCWDUTOIrUoumKiTRMSjrTcC6wi8ZT494ktcenxJjpEbcuFicanyl9JjOC
bfY0jgjy8NslnJNkQ3lo9BBfZYCIF3V9LoG8IQpjYG7lNcq9MddPtaysrxBe+DxbdDAIx5uC+heR
h/Q2GqKbYG4mx1NuJWgKkxgZN7W0y2GBfezMPmIkdub9NDHeT5b2/ZShSyjOeEpoOWkofMFKBpla
ImXFYM/E6g29I7vvMwOxA6Y9/yjblmNqWe+JaKHq9fGuwZRxKTDXKaACuyGFKI2I/wLBRZ1dszqL
LE/OgCezLX7zaY27PtngFYNxV+H0xZ5/Py8LyYzj7OJVkbtvW1FtYES7rJ9SXI4TTMeqEid8Qf03
K6grPKCsQFubfAAK95Y8tC63hglfU80k1pup6TskFenGMzOmkSHSXEZsjZXlD6lm+nPWKOyhWSu2
tC7Zw1MI9x7NY7nBJ1A9JcuWF2kbO3MWv2kts7OOLeeWaSRGxiCKq88cCnhsmQjs3FoRRlGTBccb
2mY3ONeDtxi7D9lv2Z0sanHyzBS6E9BI6wrVSX7N8o0lRv/bQqNnRHApA4FSgKXUDWZ2Y++PifM1
iOArEprQ38I5iKgo4/hr1KZ8WnELDy/a5fQag1HcoJ4z71LUQBCkrC9OEVkHc+pKlEAuNbco5W3B
VhsrotgXZa337KRO3HYS54MxsvcET+pNktg5fKtrhMEpq69V2+tL07vPSTxPW165T8AwCJTNUywa
0Ae2VLVLqWs9lmFfM4abDqB3SKguiKqd7LfYtNTOa42vrZ1VyapyrH3DUMEm/QyjwqUQ1rkro09R
bG8wgB+R739hOLiK6/DaHEf0M8Pg7qZ5eCuTybrOW/tb7cThVT40zga0nNwFkxEcaqt/hS3QnZJF
89h5efKm8TScRi/o7spa6GPXuTNeaaYpZZmTgTB2XykWEbm69tvooCeio/PWNEzBprTS9OzABpix
fu8hV1vgIsOrTM56beeD2FaVoTe2b9U7Qr+jdTuAgx9dOaPzGLAwjQVZF5xW8Iu3fYDIhuCSuun6
q7mx5EbPWu99p0EHM4kHGUfTVWFZ6VGUgq28pYHFdpZ3HU++dZe7VXfrVvEW/0x6xKlYrGO22Uwm
KhwHXugKRQNUON86fPtbMVjN93yM4S3mXr1zQE6ilcUib5eCv03deJPZebZv1bR4OAehsdL4Iw3a
pMUnXw8LR0+W5nPqpv1T2ztAhKs0y75jrMRoXkYkkGegmpfciKlr9iCcE6bwrSzP0XJHy+W2zt8v
7ub9EvfeL3TbL+L0ELxf9OP7pT+/FwALSoTUr/fCwHkvErylXkCG0P//vd63qidc6lE33/7X/3h9
Kzk20g6X3df+n9sm5/+wzPuTjd1vPdfyxT/WdIuDQfBf2VrQKjlLCM9Pa7qfbQ+0O7/3XOYH9KMw
XVltkB0YLFESv4s4sT14Nug9F6/AsnZ0/k7PFdK8/aQG4md639JxB3MVWwFd168tVyONVjmV5ZDT
nn4ffO/al+6+8cLHLCIrwsxguWl/AogfPYIluENv8hkFxX4IXxKFDN0y4nOUzE/54O0Jb2YvYmyz
C2nFp16BxvYLVvHjVaLMp1ZgYF4uu9ndZ7M8mA10Y8TYRXO25Nobgh1Mom3WVpcikwenLY65Z995
0r12PXuvWufOiSyiPxlex1+mOAHyHRL/2z4ERvMwT9F2GX86CUcpIKai/zIXDzoGKlaCn5k8IjfU
ld8E+LbLi9U415UzPTU28ZB9deu55rbhdClKKmO2M6z1H2eiMTZB5Dx2XnyQKrspIwerWxLCL3fl
YY7Q9NFk3ZFkcLCbbllmjqA2w0fYJc+Zw0uG1HBvR94Rk92Wfu0r9kMEDOXFyYrtX1dSfzRd/vYm
LsZLbMm0z3/sm4kzEF1iGs4WUtwmruhBiG+NVXvjan3jS2ZJSZKv89nfGiyjRt6Zv/4B3jcp/6jk
ft/HefTvi1iZWcCvTxHiqwDSRBptOZmwmbF3GuRuMpnljtrFQZuIGyfKvf0QzRDP56exSu0Lrh7j
WHoIU/3VNw2OYjfjIVmPuZ3ufCsqt1E9X6ZCHoDjoItgonw02dWWM2sr6AzlhrkjIo5cEo4RKObl
dsjVXnjLyNk9RKF9bifkpAC6UFx04quGl7ACZnjHams/d4ju+Ox9Yph1jvzpKsiGcwVK5VS3TXx+
f33+lkDiv6Zy/9P/6992KOX8pRdsnaBxT3GBJf/igOUrf5yR3ocgMBGY+9i5fggWfpyR3gf4pmzv
PMxHISaw/zwibY5IlmOcg/iSbIJVOT1/HJH8lYcAAoWjzcnpmdbfGktZSxvy88ONtgLzl4/Wg6Wc
Q4DPrw83mwMyGspM7z0l248lYafPrQ/tMxARTFPkX9NniHZfotyS3wJpVy9qYUl6Y5IMW6dT9dYf
a7n1EeA9S4tMhxEQ/sYK0uLNLeLh099/1P5f1OJY3F9LkhRv3p+PSD/2/at8zZdn8pfH8R9f+9vz
GFhIYURAh0ryHs/Pcp79eB79D6hq6Fj/yN21rQ8OFzZOCAc/aUiM+X8+jiL4wF8s4bC/qXF4iP/j
f/5idiOM65c//0I29Jfn7efn0SKG1bKYP3HWMjwz+Uz8LKxJIgY5GOPEng6/BMeHG29GG1gjiY18
97XTkbizNEVo2+TmGi4BwUNmrj1SKxyI5Mr11SXs7HSNjAKUYAYCLWk+squjBAd265P/vEk8LmCf
/IkvSTr0RzODksCkMDZScl1J0V6NgTsfDV0G+TrADn9PwI29q/p2vhFch7S6cEIyeHr1iqs9YYs4
TNgvFFPPRn5Dl4jqnigJ3GZlitcjtIJrsx/SS8yRvNUiI0vCH9pdKewE0XGZbjtWUOcMtNU6TGa5
bi0ELQlosLcMMAtAJsZfO+LcnX2tB/PBJ2LkJm+8ds87429Ke2J/4/RqPhkWsdcEoXQ7MfuVWNu0
ZekKI/trQW40oeNxke3LgOniKh51rtAzj/Bg3CG4U0UGl65toDYFTvPFJH7z2snNizN7L31oXs11
Sv/mFAdqB+JXQQ+5+i4x4Oq6znCL9e0KloPcTI4PtFByBXkxNNiAOJ1dbXgFPYpRNldNMKl+k+So
lHriylBuFmNkbnB5EYCZnWGOBqsmKJ1NRHwHPnjWg7uk1NQlfSjNcVUNon4lUEFfaSmjlxDYF0Cj
oLmdOwuC+gxZ8rFg8nSSme4Ok2eYVzgmixaSGtt/HfQ5gsklZ8srJ/8wdq1/4JQaP47c+lBWGAuC
vJvpfmzDunB0Gsda0KZ2dk+iYO6KYMWTxmaqUv4nxWD2XIFhgwuE8AsGOV5DrKHpW8pZujV5Kg8k
P2GNqN2k2pu1W72MrvBufMIS2dSa2RfZ1J/7QPufw3D29+RS5PclVqBbcjy8J+zuBRKcxLyg//Yv
aI9jxP5esoGkcIlq2BOjOVU72drGITRVvo9iR9z5wHchn2GuYeac80S7ebcIQodrkqTyq2Jy6EuL
XExryy+ti8YCAPfNyvyn3hekiXUs2I51m+oHsGfTsVSddSusYnCgJDbjq+0GCsGG5yCH7TIsRXP/
ospIXSKCcw4YjO3HzgyMhJqlVihqM/lSkOsg13k2d+2a4F23vQ7NHLNmpEpDbhwL7DyjZQPEq4I1
GqmgOZA1P6FyN/g24LPV7cgY8smpwWWxAOCtaPPJT7ZdLKB5VqNdw8ECIGF3Iy6RTFCopWZww3GB
+DdPRXqdJaSGBHAHb1U/95eRldDtZI1IlYXv6gcc/9bJyftuWXhY9VcTZ/+N2euE6DErE7tRtt02
nRgsQJn2jXMZ5QCglaVqi29aZTditquraJzz204qtAzRVG17tGpchM508H0FQqo3VHMXNCq6CWj0
L0lJmNHY9CTddH5A2LurmbmEXpFeRBaJnV9r72Il3XQ2ZZ/ssYT3l8ps1FVCxNmL2xBLQ1gCMQBr
oT82yP9B+5G88WjJEp6CmOt9xNpynetWPrgMIzepQ7RbSmT1HjMYny2tyvw6igt1B21zuqOSRecS
1LJfN5DPiNXxQO32B6M15cGvxwS5UGQSJAvmoveN9hbZU4lIwnefWsNTTwh96m/KZs69wjMqDtEc
GA+MD8TN2CEasKLWYGBH2uYZHAdhmL2fMf4LeaQr2/4OPoI1s6WaJ7c2rY0Bn+YpTYC55MxWUN6Q
M7u1GYPsMhSeWKLzBHFlopjlxt26dSTpNAZOhwfHL6NdkgQ9POJA6WOdV/YlLtN5r0vP3QMmD+gF
5byJrcw6ZjBin4nPIeO9E8M9c+Polj9Gizzef06VhTYtlskOFXZ7LTy8sozRqi/aZ93COrF8weQW
voRBWd4O3pjuWd0AD5mBcOeI5bflKG0GN4YvjjJfkoNbsqvXbpEnp5zAhxNwpRZjdCCPzmxBUcO3
u87y9KuQU0D8XXdqEskZz61WRvVLY8/thMzev49b9ivlpI9wd+LHNivGb1Vnqo0n7WnfowlDajCI
1tp6eiamxYQ6nWA/wV5k4PuI2UPYzaXxDZQ+DstyObDHKgLJJ9JEbu4SZ7sqAYQ79rPU8uSSh3dl
1eOhjFlR+Cm6PWiTB47qrbUgV8oMFz++BuKHJL0ubK2q2SIDTMHJma5dnHK77xiAB8i4kmyo4JUk
A8HlfVYckyFbfhcrrrZywonBZPmFopiTeah9BOrKnsjJM/Fry27Wm8ER81a0yt1VIdhR28AxuUX/
HR4mq9HbEh8nURoTa5/s3kfFxPh76G7NjvusGeycrgkybRvo8jQ1vDz4X9xHil+bJ7ZBAdAB4tVE
dG2srtJnS4l9b8/zAfjJTDMmimeiYd5yLq2ijF6Tye8OqmQEEFTGoYej1zvxunVrwIGWg5jNMex7
MrvxI2a1+eDgZgxW0simm8SHZ7QidABgipsgTiLWz0LEQdoAYHPj+xRJD10iCYt8PtoLy8PhYMO6
5poZ6jfUcOMhEA0bLtHMtCbEghMPcLsU6IuTc97GYxk98AaUvKasf+FM4WgLBERhp2uTayvGg8H/
aIOcm5i7mnN9CwHQvLBTKJ/VaELyS1hZrE1jHJudEhhDhddPJoeTGX4vDduGP2mEZAflDnJeGzly
GgcqZV1Tec4egE5yrBzgOOyP4OQkkzMeKuISTBLcKg+5ZljV99QXaXVVxKTLboyySBgC8+8mR7Oz
ZhRkbZupm3Ca5EmFsoBkYKffSk4cvUqg96wRjZH7ZnvpR5sQmC3Kn2Ad5JaFC2/EcYmQrefPvn0o
yTvf2ZlA31KnJhPTJY4uQClolikx7L5q7julbhb8c4UDgW/YHWWNZnWAT78KzIlEGkoL0nPyeC07
Nb2pdJq+q0a8dcD7XvxifPWa0SSuyonrm9BAsDgAWDzMfpquq9pWF9+W+CYbczzPjpCAVsno8ruE
QIOC66kzB/tkt8GjmBX2KQEWUwxIbiJZdZukA/1WNF28cQu32iXdkJ6zqlI3vRUZ+whY3gM5Vf0e
hI3HYhH7kUcy2xsSFggakkFWlcw2b8NQPqZuDfXGDuJbk5n5vpvHfmdkLL6xs3gPsR8T5Fdxda4z
MWcb1+kLTMConk/a8Mdd55PwI3G5frGycdoylIpu0e8MW1PV/lpyRGHBydzrAeI4IrcIpHIL4ioq
bDwwKqhCsonSyd3OBfYVF057vRap8rdJZCa7rPejmOpKMS8Ja+eMBH7cWnJyDuXkWQ9RHyZb2Zju
1cCi4+BqJ9/nWllgZeMaG2pnAyIc1TEtovrWVwXcxsGbBUos5I/Pbir7Q6ty1voAyDfIseIbJ638
VeDPzhMXHeZgTwZ0B6kntg7c3FNqlcHBj3qsXtCKvgdVHlx5nVt8HEkA33t9ZW5ZdYnDnDvuMWy1
s/OzyDxWYwNRM49CrhpdMftfElCJnpsundnfuWa3o07FL+sDHQoK+ckgwpnpZHI9auMzPjg0dnGN
rbdixoOeDAJoTdMClL9bN8KcTg0Ii62MMBivJgce2LBEHXpDCaqfBwOzd9kX6t7MifMzndnd6LiP
+A0mfyXJ9zn91Fn+q/XmPw3F/tin/WEoZgTBnCkTsSlQJQQWtptvkJD5JLQG6U64GfnUlTI+gqLD
wWpZ4bMOxuZGJHN8DrRoP0cpixBnpMBfES8Z75NBN4+THc4704UEDJ+fkEYZGrekSqAzbYNU5BS0
QNbWoUMpAcoufWYebRgUNRXAbdFX+2b0lxyGHDhxanyNvTre2AYkXCOD7sgq52loO4uVSeMSjBJa
z2IYsCpZcFyylrRybB58aHPXvXaKPN8Vri3dDZpJZIeJ779Qqcd7V4zswlGo1aN7O/TDg0OFstJ5
lbMdFHrjzom+G4cKCnI+X9jNAuHLAyKiUJ1AGcsZnHi7AjY3x3Ys3TfRt+Q/GZCnuNxLisLtaFj1
p1mUhdiwmYK/KRNvvERw548Jsbk2lBPh3dV1N950EKwWTKIVYTzMBY4IM31rohnltGOgpiAj7r6e
c+aIAFZI0/Bsc1vr0Ts7/WAcXJETwZLNdQtzEWf7VgPf/TZ203OXzO2uGtx058gSdfLUFrsxpnfy
SOxb2aCpryLlQk1tS9kjNnXJiBzqsds61pzezHnFDU3w2imif71Ngaex853G9J4PenicwkkdRe3g
YyQlEFKK7r6z/aMULJWaHpMSyd16oF6Add5Wg78OgJ1exFJnj+8ld/FefoulEucWpignPwZgeN+K
nUkvT1SGSpIbe6nkMQpyNgVLfW+9V/omNDbOB+p/ZQT9JVx6gnzpDoqlTxiKUTgrGcPmR55r7Zo6
7MAa02DI917DozLjMFpaEPu9GxmWxqRcWpTyvVsBPTftlUT5x/perINEk3tvD62xjRMG1eF7yxO8
tz/I86vmgA5/wojnWadJuihtnCbjDc95cImpIMrEtfxX4v3QDqALgxQ+9rcOc9+9DiBBcIjRbyGj
fWik420Ko7k3RJoeGoMXzIa2dA+WwYFiTaVs6G4yEI2n88kHI3keE5o0R0Ys7oZsIOkhoAzDKtmT
GMB6FsGt664HhpO3YQCHreU90GSQ0DKSBsCa/r2PJH43v0rynkkBTSacbew0750nAvclBXJpSBvL
zvft0qQOS7s6WF58aelgm6WVBaLB2760t/yQS6NLyyuX5hfe7XjrLQ0xrAp/7xpx8Lly2s9Tl+Vf
vKWBHpZWel6a6mppr4P3ThvQpz4kS/sdLo24fu/Ji6U9L5dGnaWrOMNc9T9NSxvfv3f0aMUjsEa0
+fPS8Gcc0mWEx7gHeFCCqFkmAwiox4/DMi7AbuMfRD+Em78+Ud+hbL8MvrCThQ4RW4zf0I28ywd/
grZ1IYnbI/KJve4D51QRndaLKCBJBIWpWBjDxK67t6QJoKayQryabjq4+1H41ucOhyvsfDQAb3oc
1IlQB302Agu5D9O8ZwqD+skOmsuQVh3+ZRDKFE/qXoIvxw9jNDnvaYZxSPuA382ephP9eYaH2YsN
/9QFcVUjsOKnskMxUllFc/VKuEABjrz3EpJgloMsfz/TsvfzbX4/65z3cy9ZjsBwOQz/+gX7J5vU
bzcQxbRYxly+y4j850lhCEVbO8A19oRzP8zP9nP7ajy39+q6u4MGUt0YxfVff0fnDwpOh+9omVDS
FmYbR6X/h++oGLCQTJdG6MyC6EuB67hHz57p63xKZ7Gmkm7OUrc9xug4T75Y7kyKB6uh77PlTvZK
6zTaVZmCtkLYQz9t58jmDhdgnc09uRfGJxgf3iNCVq46ryKdZZ07foBSLdfyMLV1ixlF5icPncmR
SobziXHKyvMx9k8z8gXKT4YNZbaD2djuNHrHc1C784tH1sWxQ251HFs32Pe6MD6WKUgQhNX5HQ7s
+CyKAQL0SEH8kITe/OqoNMuJMZ7gyk+pfAIdv5xfpSj+L4/0/x1XRz8m7jw+fz6tPyWv8k9n9Xzl
j1m9/yFEKYye8o+7o2CBJLGwcRAn/7I6EnCVAhRnULVRQkNNoDL7fbtufQj5rLBV8vGMu573t7br
PpumX2f1iKIhELLc4p9j//9Olf7pyDJLE62joec9VFTG1hBU64qzyWKs3Q3uEDK3j7xPfEzNYtNJ
D/Nq0+XghGMtY2uzhOgsMbDt+KAghJIB5Pa4fgqjvAqmod9ZKunva4KcV5VVY7QkXBxTu4b4mQDD
P/MDlRsYI+qgwoHAIM1kcrp4tSnPTVxX6Y07DHFI0wpKmX4385Oz9P1ObLOkLu4htbh6NYPGJ9zT
n21UXq1ZhXvi+5BjEz2B6ZBIaBwXJOkEB7yu7njI8Xrdj4PbHlraopyYgOoZluEUrgdAp2/8cnxi
A2Q35M3aw6PfeYhP8SIU0SJSjvbKbTCcGsojZx6Xkr1DUDEiQLZbv96ls8KS0E1Rep326I3RMDOn
38Q+1skTlRrhI5GaGAMQlhn5hwz2iXlwZvrBbSSdlDPWU960JtvGeKkHkLbM1nV6qSMySVumCxd4
Vg4ZT3Xtp+dJEHG/CQoNC6S0fTSCuZQdseljFDzHqh4+FyJXDuuNvv4m4K19TxwfyhClc3OJUNBd
TQqwx6p3w65dDfByGSI3U36wDKHIFTPGu8yW5Ve7TAyS4rIkLrbQcIznrnW0sYkQ89V7B7HuLWwl
Ji7CiQuW6x3zvDVDzeKxtouRegONrlyzgmhqcm0D67vXmLjCoDoUn+GAADEeDKgzJEbN6M7BCjBC
aFgMwCnIIQcMeLbOFtLzndVU40bIrr1ttNHcJiMTLLuv2/skC8zrFnivgccvK9WmcF3sPm7ZvJpd
PyE3y+wBkI8Wa47p/GTIXmw9J29IuG9IhE/palazrvS+d9p6V7vYZ5M4n1BORbjZ4iqE35B3T1NT
p5D8M7ZH9gw6IjCD4JkyY36w6mm6BdKBpbgHs5RbobrJLE79IneRCzdtfjVYSNEG/i3WYeQrRRZh
4vCgAgZilckYhx9JzVKg007nK4OB2KqOZHSyYIIfRJkQLGkDZwaPUj5Jy0GaEtgfPZslkOkJaB1h
s2rHM5UETz4bK00mPJHl4YhUPk34TdVgBih20+7cRtLcYGVh4hxXwGiGYTrZfbVE18/jujUXWq6n
Zbi2SGAivlpE8a0Fh+jOFiMp5xXTL551ew8f1282CcXb90A5/d0QNRgUB9d6gPI8Py2qu0PhB5oh
U9b6I81DUz0VdBSfUBE2T3ndD9+JmM2efMvFIhQMByfn385Musp1l2P60wD/Prei7O6q0rFeIYlg
MG2FHz6IlElUlSDvXmclLQ5mP10Q7JPZwIBtzWiY7eOrmjNCPhujcz4K0TIzGIt8I9VYos7J/Bs2
4d5LRkm/TUo3QkjtdcwjAz866CYlpYYQ4De/w/CzqrFZkkdguPom8ysMrqGJvU2krfW0PAiP9uzP
3xNfqWYTKLP4CAvbv9PltKTck94xJX0p12wyFL8nibebAorsZxt4urEfiCXCY1wU0TUoy+GkOSPu
I9Y238okhzi0UJs/5VCnYYRzNB9s6IuY4+0II5SswaDATVsSknLhPQ5hZQnk18Cp5sKNqQ3j6tVD
tPlN0Mw2+PSa4tZMvVGwHiCHFBHodKFv7611PKczztw+3IAjpkcH8rIVAW0ZGzEScSiIdvQB0IOc
yJEnprlts5EFLc+msob5UOjAbZnFJsNSrRbgp3I+JI3nkr8X9KK7j0XR7tN6SurVmA7dQ8bMeOt5
RJDRzHln2yui+7hwnM/MzPJTZc7Ri6G6B7MB9ZPFg8JdY+rsDpBNXh5qlaersaO9xv8bD0eqVrJU
LEOLo2Vp++LlQX9VtPhHVowbk5vcncJrkIR0YNlsDLwQOHvvlIff7ACNoX8gv7p4TMbYfRGZobbj
GPtnVq3mHeM0dUopJJGzspdK86EkCp3ctm2eT+FNWWl9GGuASjRRhuRDNuJbLUyVGlt6Vg9tddqm
7lp5+H74KIiPXtLVd3GbUaz1o3fS2N1eJ1j/rwZjNkTvJj+zAqfwZvUkMcKcF4+jRXbd7FSEKLZJ
AIVNNl/jKFav0FsZQMS2C08tN9hmreZRyYOnU1BMab9Ix63qe9TVMmdS7QegAeHLj3RxeiPczj2y
4qovmcptmG/LK6rtNFn5yq13PVLWY0LVf2f4xLeupRmUzS6dcu7boAnZ/iUcL6vWcon8TLABs88t
GBAkpYjuk15jcRhhed5Y+UAbXQcOsUqkzbNfS7H+V0Oq7yRYOm522cm7qvbLcN3Rp2NQyPA95AxJ
L8TAtFxeo5dfd90UQ5Mq61PidgVoWabBb36pIvz/tITmOrLhH4DbUuFOiNH86PlF+sSdjb1Gpg2y
Wj+sR3pMwz0XRYB+2XNDAhrQctHBgzwK8LtUyNYH41yk0Wwe07GrHu2KXCNk0l12nlvDdM5JhYu1
bkwPW6wrj2nnec3K7SoUM0ud3te+uJ/MQJycMMl3UWeSZxTEAJHqWd3OVccLEnLoLgGw/SeXwIDv
STDOn0xFYEfRt9WxmwOCtGfA8mHUOhdf2nQR2uu8xQ+Emb1XsOtWbuy4EYuvhmlwkqTXRdTmn2p0
RuCzeM32ERMXoim6sLiEegg+hzN6/Sn1niHFN3vt5dhiF1RHGjtgFGXjPMJDyI+JV7LRDRFHsJD1
O/8j+6+h2jYAefZsKIrPVWyqJ8HR2WD5l805TKxwm/SziVeLlDR8a0Vy8tJ6OGoNfYJhDjCDyABd
YTO5MrIsZYyhxhctEOcDK3a8dWH7+edAL14E4miCg4zM4NrWQyJYk5vjt8jtwu0wZWtJYbQ1m9QG
qtgtPsPggHUpxyOdu2erDx7Becq9CscHyx+bT5Jwy/3oyD5e+WPAiZWNrrmfjA6PS13ExUPKY/Kp
nUwAZ+x8D6kyxnILKSYFlxuO02kwACus6//N3pksx211W/pVHHdQo4ID7QEQVfdGVPYNk0xSJEVq
gkg2QnfQ93j6+kCL/kVZ8m9fqiI8KA0cphpkJhLA2Wfvtb7VYOpbppCn79yqHh5ym7nDbOCpXuOv
cXmqRwn43c1Y5V6A2Y9CR/Ul3V6+5nHWA9aoeGzn8j4sRMdJdFs26DrL59qLwJmNAQGb0ZBypxJ3
i+x+UJSjyMJrgFj20Q9NJK1qZCtzDEvGtjE7cHdRxrQ5VzPlObcS9bpm07+JJICnCJjWyiczbS7B
6193JvblKFqNAJNzxOKHKlFpiqiduYTAz5jEVdlzp0GyTYjfm2PR8o+VU+cLRWjndkL8gaBUnhWl
2l16RRaexaPUVogRlADjOGvsrPN0WNJ20dmL1sv0VZO40Tlpx5Aii4QZiFIRHbNJYr8+lLjWKrzB
lri1WmsKAK2zwMC9nCqgDCkQb4GSCmdh9KZ/W/CsYwUbrKvcZnK1mDwhxkorUtlivHdcAnAhid0w
AXbPAb8ER9+upzBSfyCDtCXIbsfwobirhCZuHCmGM0HABEKKtBUknWbWJQ87pjYJmSX33MDqyhg6
ImsYiqGcdWWKNqf3D3lslTxR60xf0Gtxdjof/LMrWnyNQefbdLepN7dpl/gE444IJ+aoZip1kyc1
MqbKqAKCxXMj5ak5aMqiqZi8z3zJVGw+Mr4x57XvIwduKjtcoh2w9Hk5mspJUczqQ+p7ozGvqdkX
eZImF6Mtm/vMFkRMFUSTHRrHZmDukPNaRQolzmC2RFZXQt5XdDFqknyiKCFFNlDJ/yoKaS2swMSU
7eKGJBit7fEWqWnA1KXPmXNyR7jJxmt196MHudubtbaHWicGG0bPjXZ7BjDQVCbM2qDiuB+1j1VF
t3tdC9XZuwMdX0ZOfgh5x0kGXBklmGcmpubnqmSits7pMA8rTyVyg+6j49cLZoZVcFEbJlsOKTMg
LE6gjSx60sX34AxX3DPdzDKSClNmMFJr8PTf1wF5rk2S7nu4Th95LFlXImM5CCPP3aftUEMZiCt6
+HL82I2+TZ5pEPaABjO882WgStQW0GjE/zch/DUTgtDoHFgTHObHLZLrZxjS/ik9fSNnfP2Xv8sZ
DV0XU6AAx8Nth6Lwdzkjlm4bnSNSWg3A9L/0tZqLb4FGGvpaRFtstv7VJNEsbN8kL0y2L8yfdEn+
jqCRI37bJLEsIGEUSbD8J2bY1FT8qkkSxmycjKjzV4wBrwRGhE1S9+wmaS6sXCXpniOHFodCRMOm
yRLyvnpZrQDOGxsx0iJws4iBYysmpYbUOuuyEh29kdFLt/hJkVTIuIc+6osDw12bhCeXEszxrKdS
97LVKPuIcTPV+QO4ULUCSUGe+qycVnRhacFtnafVoSALC8YW1lMPNQj3pU07cRt2Xc3a71uuBLKg
TiD5rmSLYLItsdLu0QvHcjmkzt6Ju/ZOkKk6t7JcJ41ZE+HI09Q2NzyYwxUpX3k8T0oTQWCVkUOT
IIAC3IWyc6bL3gW8YjoKKC/XTy4YLKCegLqYgyFSXKa+nhOm654e1A2RV+29qzojSng7rLe5G3nX
E00TnRZE3QEAqyBUKi7pr4DFRgxSB0Z4UUvZ3papFcZLEInqngQ9xrPdcK4NWrsJtap7zNQk+UQd
SjOjklV1wRgHYQJKmnY+SM269dTOOKsNQ7kOYlu9U7I0hldt2O12KNrussX0tywN339yBjpNc1/0
0xuXxgqg/Zqk4JRQTafcAAbJzlQZggLna04fRJNbW8wNwCtb7Ma8SZhZM9UIsnWMO+UCFJlHbWnD
cqGNQzXoKKRo+5ZAayRwOs4GEBkmuO8FReQusysV9YCOWRezOT3hEEJc5LeQyAk6PUsIwAayBUr1
5AdFtOsGuztwQTUR1mAnB6EGc3hJCWLj8HQXbV9li1jVWtYwtuO2koS3OTPnxdgrxZ5xkLxSFJsM
AKcvLpic+usM+yAdos64CFyCHaUT+RsG1Oqeb9Tb6grYqWSM1U/FOI67wPS9Y8Ym6TBEXKhl1tkP
EM36lWr01TbOdNbAlHzkopsjAclgbTbBkZ0TDTXKzhuCSb2V3zjmKdSaYc+MkZgso8xWgkk4Da3q
o6rm90lAN0OzeyqnogUT3hJskdL0NpfAIsIPgFU2JeSSnHqqCaydyFe+PdJ5S1lBmn7SzjSIb+Cr
whqBOIjMFjFGeM19YB8qLRFXyOFEysikJ7U+ULy7ylYpJ+soixeZoRnOmr8UEpbQG6QfhqUcPuiF
WmxAolrnKqcPa3INTAGPVIj4wQDpl2TCvE1Bz52DNDM2WllIm5gqUrc9uws/Ezmcr8ouoegdeq96
UCUKNW5Kx722Uy2fRzVV38wnsKrD5C6GI97O4NIsoKpPKgVIrCMakBwUqr4g6Da8gngFZ7QbggR1
jGjv8zDKJ0xYtxvU1DqPfYMUdWjPI0fCck7oiHbl6gzCnLEgu9jLrfbacXv9pknsbiO6fnhwZZiQ
Q4mCCeFQZD5wfYefmWEbBuR6DeVOOujBScOrLOcFmSM0gRmvX0RmkS4HNdEtDMKJQZZ1FhXrzi+g
v9BkCdZ5E6cXGI6N6zaBauyVlv4hTirjDJsXeg9Oijgi6NZIHxHIu9BN+ua6AfFwMXaRdtmWPtmG
XVif1UGePEZcwnyrnqHfVllVn8HFMJaeNhYbB2HRHma2c56mCeh1WQ5szW3DU/fCy7WNWwDPtbQ2
IoAtjrHnEAZH00xBf6QwCq6WtpAKER2afW7HdXJJJqF6Zeo9fSCGnkawy8fOvvFlohrzJh/Kx45N
3pxuejW3Vea/89Iq6K05u6gYQOI6UVYArurbkpDhLAbU3CFHxfYe7Ay0fbS/03OMzEgeNQVYTW70
2ILcWtv0jpZciog5usWNu6zQPK1L/jPTujH9ULXGAN46BG4RuhdthLAv7hPnMTbc8ND5XrzS9Gzc
FWXd7n2R6Bu7ttSHeKQf2bbANiBw1Wu6X/aeiHG+Q90XZ55LQqdknjznWZTuaXFE4zyzmm5pJ8mD
VslsKTWF1quZio9IElbCaT5Ggp0lt36w1WKxDAodRRhBNk9mFj5DqLCXolKGeYBydd5mChWzUexC
gEFrq7FM2OzhBTtSe8GoQbnUIIxsBvA7W1/xdpPAAsOU6FXUuMpwN+WJBzOPXJ9L3WOwQuKiglYR
btSYymu0kv0qsVow9kF+J4FSbmVea8iDwodIaTu50xlF0k1ym3hBrmvngg8Z+1Xtme0VOXjRAcd/
TkpQXp+Xuo6OyfrU9PnGTBMgEBUbzqqvmnkyYFl2Mv1Mg/wCxi1wVHiaJbt+soIzc5EBsdvrRgqI
pcpHEEQ9APZ1GKj8b5OZyRrP9K4kbi2aEzJQDIsxUBERak49JEDJu3zTlvKUDDLZCSmaewMBmTv3
ggGc+1C3aMI0IghTQymuipqdLjBph6G7yb7Abvtmn9C+ToBggoeoBjrCY6MYzwTIt+GSJR5uhpnX
AcWM4st53jVhO1fyinUg1KuMQD10GhUtxEg8prBILphzdhdhHNDRgwW1sHEgkFHcDOze9UOWORd8
LJqGvkUKg1GpBdpCtwbSAFO4v/W84Mnlcr8fLbGg7DlYAX4ALP3RiQdicYVkK5xltZWAXe0p91MY
xbg6cXJC+RrvFb9Qlz4t8x2zCDYHFPEYAboaw7ZbYph0YuuhYrLyyeeFZ77GRNZxcYIkiWIzlMnL
m8xu040v5BIqCPk9ZdIc88jzb6f5wDoZO+szU2KJaNLMV7TPLVIQZJqEG1n75aZL4XlBxSjBuTJ+
UJEImumRNaBbNzJuzx3LGXdgo8zbcGSy0FdKvyt0B8lSUYDzAODHgmRbxJWmGVISPQSBQQ9zZrn1
+KgXlrphO1QtDGv0VlUC9h2PurVGzLJGLHpDq4YtixUubKsr5jmpInplLWyV7ZuD/oNk9QSBW1eC
/8fsaWVcinEvlroKhocH8QJeG9wdoUD5Gy4VFIW7LKMvEOeDtQnRI58gI+TwsCgprCoB6Oyk6iqv
CbrURx3jWOk4l0RST3mTRbdK8so7pJ1G6wYDzypHI8zGv5zySYHVts1e14fPmlbRwiTESO0xlQjr
qZEoinBV0IOk1Dp348xcpTg/9/XoB2tlzGZqRcdz4sW017VX1jeDCW67D/t21WkMb/wAjAF2mIUa
iGgBLj+dVZ1vLGOPTT9aG3dFr7EP5obR3/OP2jP4ceMDmHTy3CM1WpkQbM7UPJ74c9YE8RFNGs+x
gJLnF8Tm0kJjuElDMyCcwrYv85a13GtydR8A3ryAGwyJ0hu9SxxPDv2TND5DdhOD4qFDcOQORYuU
I/I+Yx+SXKa+bj2PUETnZu2lF0avw6xrdLFrYGI+uyTgHgQZF7OwC8IPBqQN9PPC7CBjpCHs/6Q+
8NiU22KMuwVKlUckK+7GTiO58M2oOa9Nzbk3zbpepswMmdOy0FMXGRGunKFIqPxDI9xmiQ/cNrDy
gadHHc7gO6QrON3Nxi1tsVUse7iC1QGjPS6bXRbaHhk4LllaPRCSDjPERQ/tKRO2d1TxWN93qlNs
DDsPF0NsrDEGxcvBjwpQ8EJbJmWPKSfQsvPSjljpcs8nV8tAmY1Yc9G4AstRAtdSZSvDaXaSi6Lh
gUf9mN0F5NhPiZrxDvU4F3BZmWeOVuc2apSGPn0V+sElowOFLoRolmil+0ePQQ8IctY9z9F55aGa
pK2s4z0AoH1mFzeibv2PDmDbuZ4IddFQEKGj3Y5+vIZkkW+1hICfNmuPrKgoog1K3oVqNdUsVpWF
qtJkYZuF4CzvHkMyJq9jhPG7qCRavY3admtYmob8qoG9WMXqok9ib9MRTO6q08ijkNHWlk9IsN0n
n7zfbZRxKEpYFUWbLB8HJRj2shU+o0KgPiu9wxXnJR05wBm7vnTsOH1mZ14oljOsxyAuj11Dd4qM
kfxB5YI5b2KNOAwdFCPsLXvG1odyonDRr9tDfUgYIcx7Pxw+eF5YUS9E8sQ4cuSj5MSEkjrxyGZM
h8FTaovIU8wZWabFjaKM3VXcjrR28XJo96mdKZ8S221WkLjyjdUPkLVCV+bunOxgNj21ox1LTONz
r2WC6sQZkRiuG68cbOqMsbtMjOzk2nCeV3xfwLfjuyHtO66sTqwzJe1mqdccDJqJAjiJTVQ0c2qg
lW3owGXkVNfuWZ8Ss+oRFtC3UE0nuRTlqbqLBYB6/OPP4C42ne9eO/j35kIDChmyJAIoSYdN5dg+
7Oiy2KL8q7cxn5KQ4qw9wQtCWEbUxy2SVfcswyzwqFAzTUCStJm3KPiQBvnmEneCfTBGmZ+J2kzu
CWRtqI0sa5uplLSNoSisgkOvLMlECTHVjFZfonJQ+rMiTXnEw3Fx17gDAdB0eLEo9TNn5ZWRgzVp
ADzjVQxTBunZn1yhCMTtsIBvc0qkZe4OcJq7Ud6Rjxuuh5f4c93oT4J2LWtHnGpH2UytOGg1l76i
gASyxv5Sqaqumlld3M7xX+hLD53ydqRTceUmJM34gxeuRdnldznrG4940uPBWUJWjLvywJhOBTCK
eGnZIF1Y6DR9L2uLIdakCi2fSRxqr5VUdPasas3qIBCjL7tmMCC+DbpzLytj8rnAWY1Td2cGAWxd
xFLGEU2iik7eCG95cNCHU6smWOSK1Rx6e9R3pafreFqG5I7YKCpXep3HlNt9FtQyO/fK1jqXJdA0
hAW4R7KAjiu0M706xpg/Lyiuo3wSXQ+bMtJ51BQsolc+6BJivgJLQtRKnHWsjeWHKKeGnVHC0ZPG
6L1w2cWc6Qgm54VMqxuhIsIGkmnPhyr24Zc6ISRm+MIQn9po26VCZ9SDPzOhPNsVxdjdtaMBTY8q
9HKKuYUbERm3id6HOxdA7oNvN6xFXjeeW6OFLyHOVf8MpZl2SKsWsh+M1pkVSWur5m2PsLcY9Wye
RcI6taYS5DM3NtQT1tG4oHkw9h+Zodn0WiK3ovFQmyoZEiBo9wrWhqWROex2Cw/y+WDH+YF1PL8P
ei+/be0CyX4OqZuhaDUbHD27QHLkMCKLbRrlpBVqTWstOkVPzvGoUmJFE3ZtRjRZe4d5jFg0NQou
PLPX1yXGDnuGv0Hcj7gXKBoY/dS5I/dKbFF1hpFNRnZjFksbuP4xgkzBV+ucMMzxBMMPO9K0WpEn
zUEiV5vrBXAoeszCw+c1wzwQV/N06j1oZBhttNrVFqUikxtDqlAPmAq2S1wh4kEx2V/0zHQmha0Q
4BmUAtaeoeVEJIZM8vjUlLeK6D+EXiQPoYkaGbRNOrd6E5rDS0Pzb7ET3mNo/weq32xkkir5tK4O
yYWmCNKDP2vynp2e8Kx/3eH97gG+9HrBw+A1Nxi/oG6jS4sC80uvV/+VNqs66WZN/uerVq9h/6pC
X7NUAyupCzqBBu0XPZyho6GzkddRTiCetTA5fONV/zPvOvX5m1avomumbQIq+RbFbso6i7W4Djay
s5NJ4Qy4DE06DDMn55kyM9x03NtK6vDoL6udivV5l+kOQ9lW1NF5l09etdQZrGRBWxDfl4Jdt3Kd
4TaPEhcPbOikdH3iBLZfiKvzKsmj6tKOVbOf21GCGNqw8WeDmWdDW87zViM71lA90kmjQvcf4IAp
+bbNMvOAF9PYEQPfnVpvSB+oYi1YexCX6d6lJOyMVjhlobeVUDfdIMSncojRExmZ2w/rAT0W/mna
qcW2yhTu4mJgXrRoIIAVO8Kyw8ueHYs/B4FTXFt2k3xg3NQvRNxAm+wJrrjXhzg59r02KKzMOqtN
GcGYWzHVDabQ0EC9LyIqRUbJCiBhN67tqz4NW9jXCJQfI4s9khsl5k4D+njFTD5dTs6QDxhOmo/g
NK1jogTJlZ2AY1Fq090wtR7Xk0+a3glF6VmLjBGTH4oTgyYtjSJsAKu2YWc38/UmeHSR2AUbRVaB
u5S6aNFHx924zxVhfO7YQHxQC398Jog8YaDo58U9tDzzgg0tLKGgitjSJGbk39imbPEZNEl9DHJX
PSfvpwdQ3MMHQlY4tOtY4q6GsdN2N+gulVsIw3ghWCHVG+y4wYBusRjiZYiOHmZjoD9EWlesy9Eh
xVCvITj3ql8d6XhNKw9rsr1MciZZzOLrM5BqJTN8o0w3NlqZamsmWFtnsZbWnxI84SX+rqZ69hOv
v7baDN55xY4D1HOtOHPba5xDlpeimqOilHJRu6a+jouoci8sF803SvAI5gLzaLCYgyIzukWj3cO3
G4rMXEZtqhgr5F/2c4rUiPgSWVjePI/SfFyKQpfaXHGTKGNvWuafsF8Ed6oOKhAedJ9eJFZvQSDN
EwiVopNJR/PVBknPiSWRJETTz/lrMcjNYQimmJqtIbiyyD0rOfvCv6Mb6H1mY2MPu1Lq3jOggXrj
REWjPZKXzNSaHbTWro3EY/PIa9XZCqFEAPQA5txZ4wYpGzhkHls0KtVjI4KeqKe8SRdqmPBzpVfK
maaEWbxsGyhRZjaO0ZHZomhmZu/BIuiG5Kag7/g0WGN43wOdxPUJuSLHYJbIuQYFYBWpSmzOTS3t
tnlAmhK2WBK0ZqGCYHeB1VgShpXFKKvw3zWrwWVbAUJ8cJ7dthTk/1autnRsacGp6Gv7Um28agsx
smonvyssbelWD25pVR+jKFDPzX4EQ9hUNdy3oBf0Ikq3vZxmxR+70iJFwerwz48IxlsJlYMIhCjH
0dl67ZJahy2gkgUm+6dUci7IuAxnLJ75R4LN4n2qxVZAMIuoDEJXzGyb1n4PUMKDu21xVZL4gkMw
YD9J2GMb2YJeXtY+wsGkatGixibeYBgRXMVyuBLuGNB787LcW0pr6NeFr1hrLZfq1s5j9Lg6X+N9
6cbjEwBxn15FrSKxTGrl0NiBf3ARWuKgzUz7qkvy8EPbKkRhsV/Stmonxo1ZeeVV6HTYpjBQ4cDt
UmXhZ016l2WBvWzHjnUf5O913fDImdOxH1dR3JE2Ybk59PtaRe1DKGr0CZtKdhHJ0lpWBZoaLEX9
tvHK8WkqaZ35EASZto5jKkI0SAPfPeHVAUjdzs/vc+Ji723N17udy4Qgo6ywS8jhan3Dt8OkQgUm
eUHoRDVv0fUMO8Xqqcw7pzJQJ9MLXnihQpKWioMj51qNsgd8auK6Ntnmzgq1cXWmP0X0ScvM/M4q
OtqURVFmjMgaE321iTcymGdxRJh5bePkWuu5mt9WEfjLK93J2JbVg8FDB8JXgXsO79E+iAbs5S2n
f1wyd5sCZ/OhRbQjO0DvpTpUxkVe5OUBKSDR0DS+hnhh+7p7Xha2fOgDP/gcKGW2yCuV6Qk6XLY/
En3wzJZgFyMKvmAOqsReeoPGqMUHZEjblM79QsmKfme2RY89ErrprulaMc6tViYANrM6o/Ots4vU
fEyyreP1xy4vjHGhDEq8bpNA3WqkNS4ImJDmvKc/1q8Kw4jOjJJeOc6L2gDVZgTrtr8o8VD4syCr
AGeUCJHPhijPl02SEIiuFia07kIk0YNdxOmSoIR917PBn0HlmKDAvMPLnJ73R0PCx8CiQ2vfH2ry
AtjnYxjMsEpCvrazHbeNlX1M4DJECH6rjS0wZODjox+FqBkbvruvxYRqA19szoLUlbvA6LBmgS2g
uR5WnqXOeOykPIdIZyo1ZKf9pa6RROeo7fgkWQ1YqMP6WtJw3ftjNvkKPYdMpqq+YuPcfjZZfNaG
X2M8dokGBte6GAFpb0YUYhu9rqobo7eMDe1Rm1tXopJgx24+k6jntXOALe6x0eDhxLJrYG7jT99p
xFVAGwgbLPZMUGYGWmxijMOoPxuNAnCFn6kgWz34IxYP8mXUpUU+03r2XnNShhXUaULz4nmA93Fd
RYMbzcawiLdjWGVXemTKXc+lduY4NXI6NzT3pLM4BTzpprpzuc4WlZU6j4LWYjpFmhQXZiKdK7yi
6OTrOtWQUXtM2XpFf3K5YBZepaWXRURfopBjaC4RGpkb1arzGzUFn4YWczzL3CK4Q0hrT6HM8Qiy
Qvgqw8TIPk9jVzxqIfOQJX3lbC7KOp/weETO10V9Xeikr/e+lh9FLfpDCouGBPc48s8rq7LZcNkB
VoCXBCJUPjU1l25/SkYjGuZEbPU3wgwZCFvIg569oAiA8ynEITc5TXaZcBfOOsYSLKBZ09y35mCD
4CIeUjENesyF6vn3top3YOaHbf9JEYHyKW5M+LNRHUEFdCOxDpzcvnBVYeywYsafeb/lEUwyk7ux
oYE75kNFeca4ckJ/OjXU9w7IfFR1FooqH3bzTMDeu3T80lnZg9XdjhjaVjYJLCdXF5QaOCE6hu+V
B1KEtmxasl0z/DVfVXem+SRDLIiCLC/D0oBFnuVT4lg9Sp5UetbXcpmj7Q4huShNtm5q9Pxb8J+q
T75iL+RKaoF2XuU5wU121/ozvcL0twrbZBp0l45v0NwqnT2JZARcZyDSa8In3DKYO6OKNAoyhmAe
MnTlfVeHZbQoma2QeDJK78BAAV41jYtgyxXiMrtC48u03GZRw++q0eayOf+Ef9J3hdjboFtM5K1p
BsUV7bsqnpXsh66iwWR+rrXofXXV3oeV5VxofaM+h/QN5IyrINWXrLvTVFFv2H3HbKY/gAQJg2U4
UBLMurIK0qUfjjRONYUtzNGxktZbda1lbmypZ4zmY5PBgmxTh7Qtlor2oIdICenBJb4/793MXgvE
jVdS6nmxGN3OIW3FlebnKEFWsUhdRbtxLWU4hY6iPjmObBrU0TR2YA6W9ZTMRZuYAXjR57CQo5wZ
SB0AjJL+Zx2q1FU94k8d3FxD4BFWI50VJ1yOdlZeNg7sghJ765mWVo5YDVRt0cLsNX3pBoy1HLWJ
CTgRlXdyu0K/UlNKjCVVr6vMy8S15LLPBeQF4DTKZ9IDRmq0ptziA53Ufy02C8VL+2VpG9wmJuvy
giub/PEiUrOT4Ra5fmR7L5deC6uDn/pjpkqSsNM86/SZmpdeMOOq0udeUgRHlL7m1ogd/yJGBFJO
kllbYwekk05TGh12JZtD+jdRaPKeNOZCt3lnO+SmuZ78nOEbvioNyYyCUGc8uF7RML5UxoXdgI4u
y57mqlHWS+HBxpkzgQcaNvjYKPyUVnwzqlyLeRhbM0v181MglXIf9yM6/V6DPaLUhGAPJqmga09h
PnlAP6RcAxbnKE6ADttnisWWjD3nRCtpvB0xnnSKpUvRPJJhfsXKnUNK10N3TyRZCtpGjXNAF5mx
VhXGkW1hRyubNWTpl3qxJNMp7mdpRPfPjAJy9lSymdwMyU8zVM2BN23uTFRYd9QBxdLFXbAiBthQ
uGlkhgCcaQcY+4KYFXKZFn0UN1eZSRbbLDHwS868AtNoWqjhJf4judRyF/uo5bjWfpr7L6ngvKUu
vAfqVHetck8us6ZmCOS6/ie9TOqHQYUpM1NCzVv4gx4zusvsS3/UsKyyO0DUkilyPSpJQrx63V/3
vXccglq715iUXwKD4L7Ue5BcnrD6nYN2Z2Pm0t+j5Yw57yLcOYF06YLbobXOYlX/WJQjEtsszMRU
oSPIYtqKYd82zRwomR9Rzcah+mDxiNmElKXE3vZRdUA61HARGWyOS9IVZ7oSRjXWklFus6yhiGYO
n12TGO+sKOHEUYje/GCOSHVtxt3HrLKMZScy/DR+JNrrQskJuOHJq2+F7zhLJC3BNbeedx8IfeTR
xtSJx6OP+Z1Ol8uQPIVNToYfGgEvEMfW1EU5K9B6hDNDqPHBUoxmE4SBcR7qI9A1D+/2RSkLH4KB
Smh7oDb21kv8AbtRE9UfBl2GN41s2iMmU+uRe1c7asiEnosqqFYlQixSEvWBYEmlM7WPep1R1Wtx
tLUKER1sFYnMTG3pZSQ1z6uwQWw2a5wk2sqUlm6TJsnacwqEo67Sb/Vc5MBDzH6vSD5sbHMQ5Ltp
Qcnq0zq2MDx8LFnqAl4NNIGqahNqo5YfiORxruugUZC+NzkW75zIxFURRxjcDb1n4oxKYz5VLhaa
2yC91hKN+DazjY6ZqX+22QziC4DHXy16LA9nGIxt8L9muWzjGGk9+LTuVrAo812OBU35ps3qpxgb
8vx/sjmXuZcacmMMFhWNLPt+oYooQwpMrNUFzVZykKQbofP4f9JFXD9n56fkufrfb7qG//X2Rzpe
X7qXi1N9evPD8gUvfdk8l8PVc9XI+s//9Pfe2XSgYxam9XX2h0P8pb/02pT7/oF+eX55X79hrx/Z
r9XT+/PDLP26q0hF+k0b8uUtvXyaPzuCPMHUbp4gaut0Cy0dlI7G5Tr9QmhKErj/5Y9td0JXC1qA
k3iUX0hK0bZ+dTJ/dA7+/OO9nurfGJp/4RT8kPyt2/ofeLY/OAnfHOOrkyB+xes7yVjFd08CmUk8
jF2Mx7/98W8n/R90ElACQwswSZ18Izz+2+fB+VXQgaZI/v55sH8FYoo539JeroV/4MUA4+Qv3hE/
vBhAETsQgy1Xp8X/9a1g/QrIwlHhCv/26f95V4HQtW/HEn/3EtDIGwMHoZuYF19+ffM8EL9OCnMN
Ufo/9CQg+NB/e0h982z540Pxh5cAQnoU9OqkmP/RSVARTenTQ2H6xfDln/VQNAgF/xar/HevBF38
yrQLDoz22zn4ZmVw1F9xEbB2OH//SvgLT87fl9B5AFX7ZYUNn6uvlul/+xdeF6A/HuDLyrh9+s//
mBbQN39xWnB/O/S/FuD/enOhvCx+X/3h62L48jpf/vmXD/jHl37zWq+f6vU3N+FzeSofg+HlD4Yv
b3Oqbv7zP4icD8rTL8fy9PRcvZks4gGZyBpflQtv3u5XS8KfHr+qTsnrYaYzM839Xn/+bvjG7yvN
nx0WTcGpfD3MdFhgOuRZvPfdbk7l8K2FxrAmv8u7jxwmp8fgJL97pslJYIl970vsTknS/PI/Tkn+
v37Zn4Aihm/OEM9Wl6Xlva+yP5UpJWr8jc/oZYV497G5TuU3BzansfV7D3x2iqvg9NQ9P+evB3u5
S6cR9+tv/PcvxsPpKRi+fw9NI/T3v8DFU8jbfz3Oy11E3fwTvsxj89Q8Bs9gBd4cXBhTrsh7T/qx
SaPTw+txXt71b2XUew98dYpOtM9Ob7YsX+r19x77QxjH4ZsHlqE61k/4Dq9PSSh/OT89NV+fEYNU
AVb5977rlzSD7z1avizY7z3+x+eq/mX2jL9Qvr7Zl4cui/hPePeHEw9zHlh1+eYa/1Jxvfe9r5uI
o9dfv2+bal43fsJ6sc7evOPpuBDpXl/qv/9EYVU+vYZKnYeP2cOp/GVbYfB8ql4PPp1/CmZNm3ap
7z1H/wf2wo+XJ9qskPZ+xoMyHLPybTnAocG/Tju+936GawATzdsr6MvBf8Lduzg9USVx/rmDibD5
ZXNqn2X4+qan7+LltQz7J3wZ0ytMX/U3R2cjbvyE0/Tn2dDvrPYOzz41zml4c1dwZqb3/hOKycWz
DL496V/6E++9eha/32/0U/945l9C3N55cv5tANK7jx+c6jqs/hCx9IWw9xNug7+QmvPOD/FvSX/v
PP6/tcm/8/h/VaH5zpf5/vPoF9aNX354JU+9VlU43IymZrEDJ4rw9UL/0Ur1vf3m713aP+5CX7uv
3/tnb7fY0994lM+n8r/+LwAAAP//</cx:binary>
              </cx:geoCache>
            </cx:geography>
          </cx:layoutPr>
          <cx:valueColors>
            <cx:minColor>
              <a:schemeClr val="accent1">
                <a:lumMod val="60000"/>
                <a:lumOff val="40000"/>
              </a:schemeClr>
            </cx:minColor>
            <cx:maxColor>
              <a:schemeClr val="accent1">
                <a:lumMod val="50000"/>
              </a:schemeClr>
            </cx:maxColor>
          </cx:valueColors>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cx:spPr>
        </cx:plotSurface>
        <cx:series layoutId="regionMap" uniqueId="{6CAD38F2-6E01-476E-AED2-B4328CE97151}">
          <cx:tx>
            <cx:txData>
              <cx:f>_xlchart.v5.9</cx:f>
              <cx:v>Sum of TotalAmount</cx:v>
            </cx:txData>
          </cx:tx>
          <cx:spPr>
            <a:gradFill>
              <a:gsLst>
                <a:gs pos="25866">
                  <a:srgbClr val="D2DDF1"/>
                </a:gs>
                <a:gs pos="0">
                  <a:schemeClr val="accent1">
                    <a:lumMod val="5000"/>
                    <a:lumOff val="95000"/>
                  </a:schemeClr>
                </a:gs>
                <a:gs pos="54000">
                  <a:schemeClr val="accent1">
                    <a:lumMod val="60000"/>
                    <a:lumOff val="40000"/>
                  </a:schemeClr>
                </a:gs>
                <a:gs pos="0">
                  <a:srgbClr val="B8CAE8"/>
                </a:gs>
                <a:gs pos="78000">
                  <a:schemeClr val="accent1">
                    <a:lumMod val="45000"/>
                    <a:lumOff val="55000"/>
                  </a:schemeClr>
                </a:gs>
                <a:gs pos="100000">
                  <a:schemeClr val="accent1">
                    <a:lumMod val="30000"/>
                    <a:lumOff val="70000"/>
                  </a:schemeClr>
                </a:gs>
              </a:gsLst>
              <a:lin ang="5400000" scaled="1"/>
            </a:gradFill>
            <a:ln>
              <a:solidFill>
                <a:schemeClr val="accent1">
                  <a:lumMod val="50000"/>
                </a:schemeClr>
              </a:solidFill>
            </a:ln>
          </cx:spPr>
          <cx:dataLabels>
            <cx:txPr>
              <a:bodyPr spcFirstLastPara="1" vertOverflow="ellipsis" horzOverflow="overflow" wrap="square" lIns="0" tIns="0" rIns="0" bIns="0" anchor="ctr" anchorCtr="1"/>
              <a:lstStyle/>
              <a:p>
                <a:pPr algn="ctr" rtl="0">
                  <a:defRPr b="1">
                    <a:solidFill>
                      <a:schemeClr val="tx1">
                        <a:lumMod val="95000"/>
                        <a:lumOff val="5000"/>
                      </a:schemeClr>
                    </a:solidFill>
                  </a:defRPr>
                </a:pPr>
                <a:endParaRPr lang="en-US" sz="850" b="1" i="0" u="none" strike="noStrike" baseline="0">
                  <a:solidFill>
                    <a:schemeClr val="tx1">
                      <a:lumMod val="95000"/>
                      <a:lumOff val="5000"/>
                    </a:schemeClr>
                  </a:solidFill>
                  <a:latin typeface="Calibri" panose="020F0502020204030204"/>
                </a:endParaRPr>
              </a:p>
            </cx:txPr>
            <cx:visibility seriesName="0" categoryName="0" value="1"/>
          </cx:dataLabels>
          <cx:dataId val="0"/>
          <cx:layoutPr>
            <cx:geography cultureLanguage="en-US" cultureRegion="IN" attribution="Powered by Bing">
              <cx:geoCache provider="{E9337A44-BEBE-4D9F-B70C-5C5E7DAFC167}">
                <cx:binary>1H1rc9w20u5fSfnzoUPcga3NW3U4w6Ely7Z8i+N8Ycm2zDsJAgRvv/70ONmUhZWsXdTWqXf9JRVJ
0wS7++luNB70/P3z+rfP7e2N+Wnt2t7+7fP6y5NymvTffv7Zfi5vuxv7tKs+m8EOX6enn4fu5+Hr
1+rz7c9fzM1S9cXPOEb058/ljZlu1yf/83eQVtwOV8Pnm6ka+tfu1mxvbq1rJ/uD3937q59uvnRV
f6zsZKrPE/rlyfG2LasnP932UzVt7zZ9+8uTO3/y5KeffUH/9NCfWljX5L7AZ7F8yikhKuY8/vYP
PfmpHfriz18L8RQhRoVkSH37x//x6Jc3HXz80dV8W8vNly/m1lp4l2///etjdxYOP7168tPnwfXT
WVsFKO6XJxf9l+rmyU+VHQ5//OIwnFd98fLba/58V8//83fvB/Di3k++M4Wvpcd+9U+WeH5j+pvp
poH1/aesgehTgWKKKcX3WoM/RVwoxMBg3/6Rfzz6D2v8Syu63yLffdSzyvP/+19llRc3gMIbW07m
P2kX9ZQyHEvC1EN2iaUimP5hFsXu2uVfXNP9lrnzYc82L579V9nm/TRBhL02N19ubfkPFf0HYhh/
qjBhHKE/jBOjOzFMxk8Z54RheT9q/uVV3W8f7+Oehd5f/1dZ6Nr19c2n/5xpSPxUUoyYwuKOTQR7
ShGXsYrFvZHs8XXcb4x/fM6zwnXyv9oK9ye975PKnb/4d1M8fgrOzxBH4t7gpZ4STjgVlP1hCi/F
/5mCH17N/Zb482N3Fv6/O5+/ualv7FTe9P8598f8KZOUUKzur64IoAOULumflvHy+b+0ovvV/91H
PSy8ufz/i4WHK7C/6tIjlFHpt4L2uyLsx7/99tZQY3sfvVOJ3fG9fxj14ssvTxACRf9VJp9F/Pm5
P8qoOx7/19/fgnP88kQJCFxIEMYI5VCLcfXkp+X2/BsunyIFZbKMoUiQOCaQhfrBTOUvT4h4GgvB
GXgBVwSKCPrkJzu486/4U8FjSpQUWEBEVAr/tX24HtqtGPq/9PDn///Uu+56qPrJ/vIE5Og//uq8
zAgjQLFg7Fx/6M83b2BnAn+E/o/N13xoKsWfleio2Cs7gw/89f7/htzz876Tq3A1c9uuIp1Y2ZbJ
vm/bhxLz9Y/y/I/q/N8QD1b5XnwtomZb1l6kpRmNebPwPS7eFes+fP3x8iGC3asWfFe+6vZGuibn
qcLM7q816lSclKRmKIlp3OGEknHKTz9+2EM2APN//zIWbF8vRc/T1RJJEhmTwiTDxuXvP5YPifPe
l4nvyhdqjHWtNp46pOkLhBbavV3iOuZXm5z6NYvEzk3SbaN+8+MHPvBCEjz9+xfSMtazOD9wbpVY
L4fS5e5ArSur9McPOAu6x2ulvPsAWe1LPDnC0qWxYrnkG8nxQTcWl1esKWv8ArnGNYfRjv0mkril
aDzFfTkbqIp/5N3orLr7FnBW9XfurUVnG2Y3lrqimMeDxDITBH3VDRmXJhmLZe4St4noalgK1KQO
D4Psk6iQuIOt7I+W8JCOz5773QraYuvmli2gAonZgZjhq2BL9cj7PSTciwoDIHWR28TSbbPit3jY
hiSfXf0qbOnnp36/dFlX3BLD0oZU1W0MrZOrPqoadwgT78WGIVqYHkvG0nYS869oGWmy5rsIizzS
iwymXWqt8cjSaYj2PY3XaDZHrodBBC7fiwZ4LZDc2hqiwUBdfdg4X2kyjgClY5h+vHCA6y3qB6uj
rB82wa9tBVviX7tpih6JnQ84j/DQb2Xs4mVlMtsH1KVbQSOTrFVjzSMKOjvhPdgTHvjV0NDW4S3P
hkju3WkxSM9pu2yoOo5VSVXgYzyIEzrkctGRyKbJ4elZz4c+TvcetWuqq2lZw6AmPByPwzzmZO1k
pnGzv2vMVr7qBVfvfmzrh3TlAXlpVokWKDsyHK1V2lojyFVBt2H80DDZrI+o6iGLn3/+HaBLWehG
Ci0z09LtIur2+JUqkGlhbxUQ6gS5K37Iqy0G5fDMiRGvSVyv9CPfB52GifcQ7WYxCAldzmxuwQJT
W3QpdZHQgav38Owq0m/tVsuM2rkBG2xyjRIbb9Ue+AAPz42K2KhW0L5C3dhfaMT6JTW12JfrIAWd
C9fvzSvwRiyKVp4pW1a/Cmnt9VoV4/bI+s+efg+euYfnTs0Lq10hsq61Y/5GdN3ofiXjruLLKSqV
eA21LuEXYe/ioVpsBjraMROZJnSqnk07WVVSNt0Sh+GZe3heq23kEzYia2yh6YXt8CyT2lHzWG4+
q+U+dXmQ3oq6iLsF/GnMN22OdUGEuO6ifeaXxZR3TboWeOt/aztJfnd9sfSPaO6hmod7KG/XIhfD
vkDcbWWrL8vI5gIq+0ZBWSenpaZT0k/1Ph+qkuvu1Kx7IY6cLmR4O8cTd4EK9qLBlvNIyCbKs05E
7kiqRWRStOQRZ0RnWN6nXnzX2dk8rdWIR5WReDdDuqN8nlKW73v7TCsitleF7YavOqJL94zusmcv
V0Jw/wILKevfZIMZe2QpD0RV7gUO2ddMD0tFMy1ySw58V7d6XZcxLGhzL2y0hnC0rbXITKSXrJgQ
bZOCyOJLENCYFzQcMlzWdUGzQq/yI4NU+tLGURcWs5kXM0ZS9HUUCZWxFnYyB4dktyeuMpt9xMse
QBnz4oStxo3h1chs2pYcX0hqTPxp1QgQV+IyHpK+crpL8M518Vl3u8VhZmFe/CBL34ITGZ5xmXcu
0SO2XbI5GgWmC+bFj53uzei4EakbGUr5NhfHnQ/RMczsXpDguYr7elz3zLpiyvZe1Ak3un4kBj0A
CeZhn6O4jFZIDVmNq+6AJ1Qf823AgU7lQR92PYNE1bBnGPaNSVyiD31BH6taH1q6h2bEdU/Xttiz
QmzTC7f1MdQCY4nqQL/x4FzWbtLEbHsW5Z26wPPaHHMiaRZkVuqhmeiZ6akB6VOO6WEhwia2Q1XY
2qmHZtnjXc4CzBpNuDw0xM0JbwQNi6PUg3IdRyZecrtnI6rak1V9cZgZ3U8/1swZNvfkC+rhtc9Z
ue8oWrIlYrew7WzmE50a3WfTInjgG3iQJbOY+7rJl4wAcN+oaahTRIcmbDtOPchOPZRCy86XbKCM
X0jF3LHe+sBwQz3Ioqlrc7nXLitsS59XbSde6LUNXLqHWEjUedMgMmXjUOfoYBi2B1GuTXn8sXEf
AC31QMvywjbRDm0e3VfrZTMV05XL8zYQVB5koT8azcjV08m4YrFvyRLL9hUzkpdhfkM81Daomsdi
xiuUhG4/NJp93NTWP+L4D+iGeKBlddRQKfM5HdsSJcQ6nIxKucCle6AluqY4r+UMmo8+Ggz1Xa/W
PMysxMNso3cTRZb/uXSKR5ywmYcu3Ucrk7mTJZpTtUDTGJ+l23DFnM3x3V67iWedtxakr7UqD042
LuEc14Fq99BaUiaHGMcgneLbsaLtqaiKwM4W8dDaAIFKVgUIV7vrslYoAzsvvobVBudDlO8Vs05E
5O3WzCmb8iVZ0YwTpPMpLEURD6tdqXE/kNil/bz3yVJWt67eUZjWsYdTu5tJD+Xi0q4pacIp+xjN
FgcK93Aa58yQrYymVIxxf7RrdWPdbgOFezAdrVprqIRdWnNVJryu2sQZLAKlezgVpI6KKlKwdOXQ
CwvHI9e5KNqwIyrs4XR1FPcUJGc7AvpesveSs2M0RdKG+Qz2oIrHVXVOF3O20a43SUQ0y/SCp89B
yQl7WEVVjs2wdpBZc9teqtqio23qLQ2Tju/CyZlck2JjLpsU+R3V+LWl5HWYaB+pdqu7bYumrCqj
lxAeP25YBPYKsYdTVVWdQL2Ysnop5dGV7N3Q5EOYQZGH076xkVHSuSyqpurQ1uJK4DEOc3bk4RSO
hRdtVxmlfbt+qTb0AbPueZDCkYdSWS1FBPl6y0CsnZId25InmyVFWOhFHk7ngrmyoWbKgLEQ/0Yn
iAOJrXYUVmkgD6hubHHc5oPLusHsx2EVn8pK54Fq90Cay2oUc2VcxjazHbpOw9Kbx05ez0Lu2Ryc
yQPf5yTVc1rpqJsyOO1XL6Qt0Is2yvWHMLN6EMUTngyQf8Edy7xMSLf8JmQVaFIPozsdVJ2XjcsM
m0mC5PqxHeV12Lo9jNKFrktFQHZU23fUbS8YtS+CRMceQoclz4uJFFMa51F0iOr8qtrjwP5A7CEU
Ia3FHuEo5bF61W3iozRbGxZaYg+iUQl1uhlAJ23Zvx6K4ZR3ZVgkjz10Ur1sZIUGfjrs8zOz4OeU
hWXQ2AOm3tjEBw17O94VV3JYs97kYcessQfLqp3W0jlYtO7e77M71OLXMA/xINmq2ui9ASPSsvlk
VvVa7jwsTsUeHt04N+u28CnbbI3e7duEs9oRewxbuIdI0udrX1dqymwEVALcN89Urn4Lk+0hsmkr
y4BeHqWsguo2ivkNVSQssQFr7W4QBMcexzaGlFxWfE2YpdFRKTEHAYcqD5TSzmKibI7Skb81w1FC
FztEJ1R5iCyLcqRjuU2Zk0DmWIjVCRr5uzDhHiYXOO/atj63KSr1s6WFs/2R1FOQp1Cf02Wci5uo
BeGyZdfE6c8V3UygVjxcKsq2eJTKpqYj1wxkr24Ole1BEy2VIGRF0DbGJL5ysqgvR7ryQK146Cwt
nVuoZ8FR2M6TPa7ft7wMKrCo8rC5KkeXRgHyV7JN9SGmOR+OGCqgKii0UOUBVC8dzeGsZsoKqm+i
Zf4Ahw/vg1zRJ2vNhMSGE9CLcwU7jq6pEiKxCKojoCF0F/ymnAX0o1dY+LpeuyG+XOcxEKHSQ2jd
iZiKkthMNuRFC4TDVAqBwzQuPYS6wgDn0s1TFuv2NY3aQ23KoCKFSi9tGhb1W0E6m2HM8GHpkDkg
Wn8NM6cH0A1OFKzsJgtsBv6xsOtlJdjbMNEePlcz5Y3Ekck21C5JO4jx1Hd1GA2D+sSqgS29moEr
lMER0n7s9+GlIPYxjsH57f+5EKfSA6jT2DYlWkw2ANemTawz0fNojrc3YZrx4LlEBKIidWDRefti
oYJbrfwUJNpnU02QeErNB5s1vHizan0Rd12YH/pEqjmXDa9barJ9Hst0Xgp8jNr+c9i6PXBWO82t
WRubqVIfGrq97ORjZecZJ/cY06dMLRH0g2ctTFZ2M3OJEbx+MXK9JkuN3XYIW78HUtb0a98MzGRt
RX5vS/oh0s27MNEeRFdgPLZc5AbwP9tnszUoQTMNO6qjPluqwCWrDMGwcIo+dHPUJzTSv4at3M+h
66gbE5c2Y7iiS7oTt9Gkl23ZHMMe4OGUlkUhnWzBJdfoddXhd9UYtheHexN3M1FbsRE2zCA639Tr
Ka5e5YQHHUNRnyDVyi3vxnkzGck7nEUST69RsVRBTF/q86OwmGM2V+CJebxvyWbGjNBAdhrlHky7
NY+m1ZYm62cdJ/EsTuNShHWH4dbDXZVPhjpHFagcwuPzecPPW7aGYYh78FRL0bp6LEwm8qJPxL49
V6YKOzejPtNJgZfEK25Mhob5mqDxysRT4Lq9HGoqOJ3gSzRmlssPFTKv22YM2sRR7oEzX2nXFLo2
GQfNJApI6Mm4dTIsHvpspInUY1QPaoRzm3I8GNy8dpF6H4R6n4oUx7DP6lk8ZkVFujpZoFGRujji
YYrxqUh1rYCVVm+AG7V1B+k4f9NW8R5mUZ+KNNeM58C1G7NdGXxAlr6ETBp2ek59GpKLejmwdQB3
GRSNG4i1W2PLRKq5CerhwAn/XYwCFzhWxdqD7otyEYcemmdZntMx7ByB+nSjrXFOmi7XmYxsMx7m
RXdfnRJL4KaR0bvrRx2O6aIinZlys8eu4HUCGmKnIM/0CUdCrKuM51hnruX4EHMgsRPY/SZh0j3E
Ti0w8CzpdWapKKYE7bi5aba1LwLle9l0rQw3ywq6Gcp6SKqpe7+2KCznMT+d4mHpIuFA773UzzYb
29PSDuWzIM34fKOZzGTT7aKzOmf7h3jIi2cwakI3YYrxCUcE4iTDG5hV9floT8JJQhOWD3wMfICX
VuEwrhl6PYPmiV0ujJHvy7EN681Tn3Ikmg4Dx9joTNDpbVXY10szvQ3Tu5dWi3xbSNsWYyZ69Xs/
LCgpKX2MW3uG5D11u080GqFlLiPX6YyYWv4u4FDhmWu6OdBlvMw6xdG67YQNGSBVJRyoL0m0RSIN
U4wHVbNFcEbfgnQ2by5hSF82/WMspm8l6H2K8XA6VivQ6yQespk3RZ7AaXENwUZUa3MoOlU0zzq9
LW9dZ9sLYknEs6ksR/YOrriJ8Rr6f9a8VaLjzxo4lxye1U1PeSLaCprxxTrKeEl2Wo/m/TLiyB3i
beybm6Eso/HAobDER8Sg154K7VZ3bBF0yQ4cTqnXCzdGss6wWEt6kQ/1sh1QDN2E3yJg9m4nRGor
jkSsIHNpq2k/FaMqLdy2w7s7dRiv+9HOHel/XwWl+fVEeVR/soiNYyZ3rObMrPC+Rz3tLK3jmclD
LzBqDnwThXtWoKFQV1z2cC8sHnf8Fku1JDPm5kJX1uxZPCi5nZaunelxNrRg6SwWCi3stpzpoWh1
N0A9q9R2kKYiIumGyqDnS5/X6qIlaKLZDtpeDow088W+R91L088xPdJ4nvekzk2+v21RPYiwKoR6
AbNbqeONI0PGWTlA1ydKcEFUWLzxmV6E5hsUkq3OSt7d5rR5m4sqbN0+z2uGk5i1xbBu5vLMqvYy
ZyisOUi8KMlmYKYg6CBlWKk1ySPVJKpFQ6BOvMrGxAXhDRzaZQWu62Rtxq+8NmFFH/HiZA3XW+de
xEPmNqdfwm2w6tlApi4slBGvpil5Fbsec5sVpqFXFOpXYP676WNQKCNeoDRdMc+znoeskYX71chx
h2Z+L6dAtXuRcuyrCa6JqCFT0FROGK6vyr0Iu2lGfZJXDBBmVOoh2wadd8chXupsHeMqcJfj07xQ
X6E9IuCRvOjYmmLbuz0REWvGY5DyfarX1I1LHpXTkMFB1ddF00sW2bAbHRTLu6WwdouZx00MWRkr
4JFNVqztgagafw1buwfXmY07mR3WWTuqXSZiGAmcsUuMw7gYFHuIXXTfongtoECAoWmJE0udVlUV
WCD4fC8tlrzeC0jhcEZjDsAo4wcdLXEWphwPs0sMV6VZ1Q9wq7ZtLzmZ2ZTw0fAwfj/12V627gsg
Mg0QhnsnLsuexL/DnnYLawVjD7Ri7ca9s1CvQitrvchp7jIRTyLQ6b36BpPWqeqcneqqKw52GYvE
TV0XFnB8yhcyaHUr7JOzaOvJbQls89u9c10Y85P6pC+GSV+XdaMzxsUcXTSqR4c4Xxb2yNnhA/fq
qE/8grutec5b2Wd7i4h5p5tqHg656LE+LnaI3sGFs5dRpNr6CFVcow6Fgs3oqYwYG8Ks7/PD4FIw
j10N9eeyjaU8RF0NAyi6stdt2DbaJ4jxmOywZzlHpnxC+fOuKuDe2TZuUxzWnfIpYnvsDFyvxX1G
CKqaZF3qhSZ1Q+fAAgt58OZ270yP4QGbw0Bb3t0HYO9/DgodPkusnbptUm7vM216e1gL8nWfWOjC
PWQX446sbUSXQW17anFzibENawF8u0L5HRW9i6K4WGCCSDbR2R6aiMJRw7K/CVOKVy5PZWsKtMx9
ljsjU1fiIulYFZgqfZ7YImCGZA8WzSqzRp+6eiGfTQTpJmjtPlHM1rQfaI+6DGqtl2Len7dj8cgs
l7O/3bNV9HlixQrnjNwMfWZXXF6i1sgE5mEuYUnMp4otDa/k3JAuI40ciqSWcrwshevLMJj6hDGq
1oHwPu4ywfr6MCr5rKFoC8sDPmXM6L4oclX1maLlcmVNRw9iqufXP7bpubK/T/Fe1ayWZpsXBPm9
3ekIJX9sC5W2MRqGlMOurg+rsXwOmdx4Ljkphix2ZNJJyab6DK1YDWG5+Dzx8HtKahdVdpxVBb7J
8Fs3xW8KlAe6vQdZmGQxydjA2qG7xo6VgVb+7lAfZF4YyHh34T04Y9QAKzBFwuRv5i3Sb/uShd1m
gqlad6W3VY9cjG17jsHyte4Iy6aKySClE59LpqG7EOdd38JhOHQlhlG+jmhRBSrGq5rdNvWb26oW
GAIwwukAlw/Hj3urhjlQvrfXhYE0ea4n02a7EZ+gd/SiE+WHH4Pq/mhGztPNvndGOsdwWg03BOHS
6pDXyWjdfLuQMWz0BlEeZivYvvVlfla7ljk0HK286DhzQe5OYP7ancUPuHbrbmDxeVFC2wlhncBI
lbAMRXxKmeK72JiF/htaJrQd+wr4CIe67+s5qPkCUy/uLl/OS66hsm0zVPLtKIs4vh7gPt+bIMv6
rLKNV9DhWsboWKBiHS7rGMUvMdbMPbL6b52Wf47HxCeWwWhqvHLuwHW4Y92rEaHePauaeTQn2Ig5
fIJZetweR9auw1W0wa7gSot67D5iROjJcbxfCBptLFF77mC6whY1zauuZys+dOO4VYe9KPP905Bv
lTv1GnLuwbF6/Uw6Sp/Pup4ut6qcTyR3C4iAGRhlEncV3d+VCO63vG7Ocyre9ZXU9ggbNrrDb81y
KGNgfr6sdRntR/hrW70gOB/moEKS+IQ44DWO+HwhOS1yVL+cVaOucIWLsARLfErcEDVsgO5ok+E1
vuV4fK1QcR3mLl6Mgb3m1kV8aTKyA8+2xfQCD/axQRrnQHifq3hRxrmoK3a7NtmoYVbHhbF7uxzV
BqyH4wI7hOKCK96WQd01mNd3F1ZoVIzTmTVZpCOe0mZpT7tui/dhevJiTrnlDvaIpMnmgZbHKN8/
TDV+TE9nZd+nJ680QHFRuca4JuOtq94Cq5q+kmWx3qw1ih7pbD70CC/oxLkSBdZjk9qVNPxYTqMZ
q2Q20Gy/qBa40fbIpvoBk/usOaAnFG7mbZHCuPqmOTm2ImCHRW1adbvEB2B0h3WViE+iK0roneSm
BaX1OAKiG/8AgSgwgQmv4xbBwBFoBPRNhuA4biLLaSLokQD9gCV8Ep0gwOXc4Q7usSlGMV2o1rLT
IBWc+/NibuMgdgER56d/t0VkIJtXlYhgTAcMEoS77sVvahRhV1uJ8IBtNzVW1WbqTAg2nYBzLZO8
RGGbFeIT6eYKWpHEoTKrqKQnPW/dUaoqaB9HhAfkmGvUtqLNj2iuLuOcJHTggTr3YLyRuLXDBKL3
naa5Gk9dhYP2h8Tn0G0wda2yqsmPTYWfCxY9H3lYF4/4HDqgFZ4H4Vb5UdfLeFlbO2URI2+DwqZP
ocuZKOeNRODsqLCp1oYmm2rpKUy6h9JYNSZncVRlorL6ObBeP4zFFjYclvgcuoKLIpqxq7J2w+3J
qal/Fo9tGBWV+DS6aFvhPKUzVVbV9XjUpbyKhLFpmF48eK51PDpLBnWcOlqtJ4yX99o0TVhTESaR
340t5aCmsaW9Ovbz+LJph6w2Q1gS96l0W7muRVdAIdVOrkp618eHvWWPRN7z69+TZn0m3Qzs/B1u
+AGI7DwkwBo7aA4ThcN07iXYHYb02HnSFdxa6rZDX+hhTHLTqzBCGgykvqt01W1w56JhCi5aDTtO
ZJub58PaVGH3IInPpnO8z3sxEnXslh3ObF8DC+ARzXxr1d6jd59LR/mOYDhVUWZoi8j8PK46BheM
Chgc+g4mJQ1ZxdROEjHOHUs5dNeWwzg1bIZxnJpvp9GpeEx3jQp80wmG5yyXpBJBHXj4Roq7al2j
EcHcjem8XTJTcVGRWLq0tI3tj0F+4dPw+qqauESlOK6m5BCgttr1hxK+GYOE7T18Hp6ZGrfPuXap
G0qddpIuR61oUKeZ+DQ8KNkY0aRzKTrP/VrYCDe1qQjiV8MXHtzVvRYztfkEwmcHs5tbS8dkaHEY
x48wLxvT0sFteNe7FNdIH0iD6gQ6Ep/CrOqhfWikjGOST+mMyy6RUQQXuFYah+U1n4RXANc0phGZ
0gGYNcnQmOJlK8j0a9DafQ4eXbQmiI9TGik49aDNXqTVxsIU48/8qsyCBjiInVKYUYmv+25tPvF4
F2FlkE/A21m5jJObbdr3vD3A5GqYCEPzsKknhHo1c6smshPJbFqJ1ZxYPsF88agJO2MnPgmPLJjs
bTPZlCxdCYyr6R1cr14fibEPpDZ/2JdbRhiZJTabbgLtSRM35iCawFqFejhljeMRGUHrewfjWpZp
+xqbMuwuIfEnfUW77sa8JS4t4PbMUS1leYB4HHZ4T3zu1w7XIPJqhsJKaPzJduRtV+Kw69Xw/V53
w1fZQUt50NSlVWziZNU4T/McaHQ/RukD20Sf/dWiZsTNQOSJ5y2br0vXVd1p47g1J2o0ZMEfP+YB
x/GZYPlMcopqeAn4LqboOGNWHPrVhTHBiD/vS5e5mCYO0ouir44SaGAHNWxfwpbuwbWpIRwAn9Gk
etXboerG+mi7PCzx+UwwpWk8dYyZdG7cfOpKiRMYYLyHZT6fCbZ1sN3YzWLSqdzbE7LN+x3VLNCk
Hlz3sqP7AL2eVMtSHLp2rQ9ASQ2j/cOp/l2v78UmJiFznUZdZA71rvuE6C1schPcgL4rPae0Najm
Oq2msTzsrGsPEsbkh9ViPgfMoQ1azqaQp7ru93d7rNdf67h/bG79A1DyWWA5WRbkgKycMoPgPsq5
4NDwPVthEf785VzfN3TgG26gXb0pdaIRtM7n6PPQ9u+CgOSzvxqEUQ7fnyFOMOcrb5N5B3biVK72
tzDxHk5RO5Bhj406Md31QMCtV15ecdT2Mgyr/rgvbaWDKl6rk7IoqRW+bOPASswnf8EgrnHaMIju
KKS/Mx+iDyMkEp/5BV8GUeWlGNVpP48+ahZED7SUS6C7eDCt47ac9m2gR5jC9aw3+jrmYdMEiU/7
ihmQikjX0SMH+kPdR1e0r14Huco/Ub5gjFBpSE+P+P9x9mVLkttYlr/SpudmNbhgG2vVA0n3cI89
IjMilxdaLpHgTpAACYBfP8fVNdOttFKpTSY9KBUZvpAEcO+5Z2HrEF9luofuunbD+vLXXv+nYfOo
47nt14kfsyn2sFDPTHZ9ker9mZ/gZTH+k073Zz5XE3U6E65ix0FH5mSrbRvuDSdKHaBT5dVZDbur
7+xe/S+a699a1X/2pj+1sDwk1bi1c4+21bvRF3Hf9Ik+dB1WXX+sK9/1+TwNiKvJx3TG2e7bsIz8
PPWa1cMRjXXbDXm/d1s411WIqi9p6kC7GwkorV2etmF3LkeRo+fbjsVC322mcjE7+yjjc5cve6+i
JiepbFKVL5ZrFEITw63LqZwn9UUv9bDGedbxZjinewe75zKgoeeqDPPmlqILaevfwULObU1OO0T8
wOY7NN6MeSzXiGW5DLCG706x7his7wdglnbIoSvoV3xAw6fxRScDGpmWt+LHoAf872Wds61koPum
+Yor1BXb5pLmag+rR+pSR1IzfpkA2vI190tMYpdTwVT9aWyyTn4b1IqgHwg592kZcrh9teHjhaR3
0vsQfD7CNMoUzjUm7koO4WR12DGySQ5RUnlTVAJPmiw25gIdymTbKbmJxcbksaHrPkAXNk/hhJSA
seBMb+yuJWsjStKkLi1qzmZUYWIQpRhggJv7WbF5BH+znWpVWol+nxdASLya8MnmceG5SBiHbmRr
rqqMo2zEXsKG9Rp3a6qbfBGo7HIZR/1QrsOYfJ7twEoXds+/rc0e0qNeJtrd70si2Gs9J5zfp7ZK
09u9qsWqyn6HRiU7SrfGcETYGV/7Oyg0BO6XbhqND6fILtV6JHA1RjU2kGnvToGl3n2dxdBMqpg2
gMFnDgWSfB977k0o+jFDkpgS0cUGsl/70UVQsewgbcFBh6/begi4l9N0TiiAtOTMulHUecc6eWRd
PRYT825YgKaEyGyXynIzN2Q13cEt2KPu2aTW9r33iRoFHocpWY9tSo0vJlVnCVxi69CX6Gtq8UnY
dJxupN/R+NWUrH7JnbYA83MpKE9QQVmbpmkhkfPbPsWdWNgRBiudvxkTFwPVJhbeajvGzHZT0G6R
YJgFk5PBZI3069ekj6CZWTae6XecDrEo68rQ9it6H9Fj0QzZtJWmpZO571ai2HvQs+bh2AYOmZCc
yESvdxol3W1cu27/3oz9tEIxs0RTdj9j0daHUdchOeshbucPdTQIkmB76xSjOR8yqe+JtV38NWur
SoS8UnJQV85tG70mS5NNH1vHAi3geU+gRlcujSWsnSnrv1XWqU7l3dyJrzRls/4AdfleF5gu4eyC
zmMKd2D1GYFfnqLs29Qu234eEh3C+24ncVzoGivpW5vhMT+pLtnvrSTqSJJZtA9iWTk7ENHo+nnu
ar8/Ogg8kgiTaPgGiPLiRMzOxtlx/NFhclPftGxOw9U0tX11NScyXm7WWfKkaC+Zjp8EQ+Dv99h1
1T0k5NE1xkj7N0hbhrx1VJUKBkFR6ZtduGtkSGz7CeZB6cdeNpksdQ+l4xMPdT/ex6pq4rObmjUc
orlu/UmGhbArznxHPhBWddVzPUulCx1sBE/ElkgDEc3AEOS37YYud4bslpxTzXT/guCOanpYqeT1
kdTdxEvr2w17p6NiqY/gT8fL3Sw39q2HJ8BYVIAM3UPtyYKtpJ68OzA62UWVBNOq7aZrYXB8rNSq
Ia+J+Kbe18LI7DxorVluq2hhX+tatrpQo+lsm4sxrgiCjrLUn00/GFtal5CotGZM4nzsd6c/pVbi
E5SUqBh2hh6foomUWfLWR2Y8jBdLnhyGdnt3PzsI0w5UL+5zQoJjiFdTiIosEAXB7lAuqbcKS5gX
bV8nQ8EGR6cPYUY+IwyOhgGWZ3na7XtzdhYq2fcB+XRLldez5R77/a7dNOWtxTHtciDem/nm1i2l
r4jgWHAgdHCrkc89XuVyI7VdlwNCHDHpPIwuGWgO7edIr3oZy+6wbSrtQ65iK/Yb540CauERYyVP
pAqoEaFkq+uzQcpalO9L00TvGO2WpKwztkalIVssSx72vX1dyJ62p83uTl6twxRV5eySKtymCMt5
JLFpm3dAjpLQ5U3fW3mEa7yy17JDB3MfAImJY9Y1OO9sVdEZPO+s9reDIm1XTPsS2yLTC4+gW1hM
1Tio53YTP1vSDRBjjJm1j40nPDlNGBm39xOc7po530KGAB34iuezW2R8jlNp7AM1czR+SRov+lvW
pwbP2FgPff097cWOJ2GAZZs5TEo02xHfzLcHOnSZeWHdVlfXRjVteoaIlvV365Ig4OuA7ahnJXKZ
0upth1UyPM1N3dKTmRqlwG2GAgvPiICP0nXd2qBPuh1ScIYTcIjJwWikHuabDWPyDu8pXre4tv5z
D9N4aNJlUk9ZMcN+URUR9qeq8JX279qE2fQkpIbWhY4jyKrDtoioCHq1iJRbJuchINl4XGCgIOpH
fFxKH7wLqjlFY5JhctRUXbS+H4Z9Gq9B3a13VEXj7r/h1DBjB49UQuKny6QmJUVaz3y/24nMBoOd
eA/VWbS49TCaZUg3u3XYkOcHpF+Y5UxsLe3JWybp5eT2NTwBFC6jMbmVWOUEfnVqX1UxNy6Ep1T6
XuZITRPsyLMB+1vepa5dHoiNxfxlX4zO2ry3m6fnkKXE32d4+uuPrfGIoMGXTKfqoQMc5p5Fh4t4
vSft4ssxXak94fyPtMLFTYbt4HbOnULxZKcdN3NR23FzXTS88DjY4XHDNduu5xa00Id2a+qmyNp6
Mh+95gn9NCQ8iCGHQxgZNa5U2qvvIzxTySNc6zP5ZYLzSvd57ucuQX8FQ8S0GNqk5aeBWxNQv9VE
sCmfozXgKOw9jg9Ue7CMZRHdeGlg0jAFcPR49BWu8iErCA719ryvc/eer3i+Dx1xPSsavwNzHfiY
faAJeBFFGkTVFuhFM45ExImvV0nPKdvy1JNhvtf1XENyHMO+86hl20936aBd1OcMCqwv7TRbf6Rx
k20P8UgW+O9izirfZ2J09XHrkZTzOCd1+lEYpLyUJqsABYgmsuw+jLriR7K0LnnA/Ckdn/uOm/0m
bsd5woaZYW2AFg+imrjqYKK63FVDL7UvRJapxwDmS1R41gzbs9ndDEE0dK+JK2BjWHUFl3GjHzoD
jCmvB9XPhzRAV9sfIVGLD6JKx7FcSJXgTjR1H99lq74kuTJzKX4EqJW1KqTYaFIO60ziNe92Hz60
oodrUr4PUC2+1xC3pa/KsOl2GVdUXEWt2qiIW7jChQK7+5Zzx1L7IVlhe3BSzGmc99wTlOkpBLza
5iHNIntu8BHI0zqNlhcJZXPZhXodrzqPpf6JksVtx4R3fYxkkgWWZ3HWpKJMe9CDc5PG+1HiMHI2
X2jVmvsV1Ck5FgMbeH/bmSo8iHAJQN2XPb0xQnTkIJBg43GMouQolz3Dtu/6LVLnjo3Uvl/7Kt6e
x2WNC8xI5uRz6Cu3FZWrsxPKNaRmdlDRTEDa88W39am2GsYaGXTVOGzTYt+t1PmEMCRW2oUkJ4V6
4IMbeHqjYKU05Ey2synqOGEKnq06yacpa9m1cCp8z6D+ae8SLJ3ham/NLu/mKFkeiYPFK1qg1N4q
JpIdtVOcLY9bpEHbtZ4XDDLyO8xzINZGeGkKN3LIkO/CIpKXyUXq0CUt6/Jh8PZm63r5oBwc9MsO
j3FB/eqKpK6aU5Zl8nZlKlyr2Pefg9radzLtl6Ih7Kmny/BCWznKXBFtQDtZ+66bc08a6UyuUO2G
Y0BUXTixLVGvLPb62rZByBKPMyuGfd39cVxaeh1AX8xeXCT4O9U7sBbKxI48OlUD31yfV3hyBWTy
oSbfG1sF+0IpYyHfmsELUDnjzYWyufgBnPvgd9imiCUOGsm682wS9DFNOrWlYlscXW9xBjU2ZKWO
XC91XMl7E3ljjxt0/uR1Z33CChmyzd6smabqMyrXYT5Qm0TJSTe6yW5bv/UIe1Xj1ucu1ot4Tdde
k4c5XVN9gE1DGGFJYFh9nqJN9p+iGlnCbUFDQ5uSmLa2+UoblKLSrrwplh41isurNErTPg80rM03
L2g6325+2vavCKVyKIdqKyie7h5ri+q8hWCoPcBFp0quFtE37ZOP0fsfpjFLh6Pl2HdKdDSKn+cL
/e4w8yFJHyCqaekN+LNpXMbSU3mOIZvyPxqQsYeH1VihSRGk2uprM5uUsByGIgLj0b1N+vCE1pgn
6IJB2dxvjOkN9oV65C6+0wOW5LsOzar71NFOnrMJI7LUDI5/ik3aRZ8HDFjRJvuJInERIHRd4OlA
sZRX64bd3SyrL7dBLeIDg6bfvgqHvf2jMbNM2pLyOcJ5VY002t4xt7de5VGS8DS3tlqGQlZpn9yb
XfjwI4Pcv/++NFCzHUSL2MLn0NdewnCATssjMp5p5w/jBnfXK9lEyfTIsMqwI5J0mQW2p9pzgIX1
CFnzqU1J7U5pV3dkKLN9QQmQ94wxBRv4Cf0HKr52LsKmL7UIYlyse2rtsih3JTvVLa+9iabtOLWR
lWdj5Epxx3bplnJOer997iSFFonVnTSfrevm7agVGaJCdmt808yqYsWMQbi9DW2bKdwS3kAMaICy
F4veZhSlM4OdzOu6wyUXAum5up1UMl+5yovnOU2CRXVA910/hL7v8wXZoDlEYWpNkS8m2ukYnKCh
UIhTXc97atCg1XLlubFuinRuV+vME48dr39siDYRh70jpC6Zu5yruTLImDhVKLNvG1hz4alL4yG9
rlrks95oFaYPUuAilKm1WdznpAHl4dX0exuhSg0kuvI7nusr1AExv7Y4AtovzqXNFVqAWH6aYHHO
64JKRZpnvdG6hiV0PLBmzfGQ0bQQ2FUDurkIwrmd13FzL1pH9mLBgn/pYjoc+qphI5ZatV5PBAjG
HfCKlD6K0bPu2m2L/Aok5iNKD5swRKowUMAnZMQkz2Oiqs/ws2ibUg3YFJt26e6sJajMdhiMuHPP
RV3oPSBwBLIOcmr4kvZ3s01Nf7dUq7lZtZ7aLwiItm/R3BlT+jXCbcw8f+3W7DLc6QTOdp+5V4Za
wpZqn1Grg9dkfd47PhwhVpYsb7VTqA0wqtwQdic88FrshAb4jm3vHVQmSGAUF6QHwu/ltUMxlicU
DPQzoHRpbtNZzNFjykHiAymIj2o7b0wp2+OmrIEYKLqrtjl4koqWH1rBmic1Ixv+EEO9Mv/wW9Jt
RVQDufoMrwak4S5UmOww1klI8Gg2ybulQT9yFcbW5EmLDVTn27ogxU4la/1N0MEkr6lb660Ig4nR
7fCs33zebqKPPjVNXH0Vl9LkJDxU5i+B6Tfb9TZDuSvnGMXskHXrSSITRBSSLcPbRLFkc4HIjgKx
ICQ79DITv4F/XbrjIgRxgL9llaGVQaj60Sfc8Y9aRRL640ZWQAYjOcAZyWhYFJQoSgZ3Tdk0fet7
n8bY57K6HV/h1CbbIllql55am4XvaJ3VfrP0SfU21P0uKfK/w5bcDrXL5peoIoy+xYjMoN/RWtZA
RlpFb+W0dNg7SB2KRMWze1xkxTV0HZgtZYop8thEjAHNRulBbqiDoehRbgtLSm93kh42tpkt74fV
v4Mncpx90IvcnqIoMx9ExeMXcD/sfjVVEAGdogmNse8Hvx1YJmDou7eb/oBr3t2McQdaG2sRwA2P
k2w6T7WUc0H1OLhcR1X3EUpdn88U4i2tM8duFq+jR86cv2Nyr8VxqmC9cOhp8FczYiWuYt2Tc4ZM
Zux5Y2pea6loeNBqgnp42+D3k9N5rew7t8Li9TMMRNCcmeCy+iOg4ZTnbAu4DolrW2wLMo3TCRUH
h/5YEPtSe4YiMQWUoBSqjJZGsIfle1QuoMHTAxUKuIlDvDpySviyN1eJJvoV9utt95yICSJwjwSG
5wYfJE+bLdZrgW07WJcvwMbSB93VPCtSjY/zMk2Vm47tXLV1kWRcu68Xrut5GvthuPGc7z3eo4vM
cxdnrn9IFXco2EKTHoXQ0XQChZK7J0DR4wHbxDgeF0pbUyb11segyyEY9jA5gk0E/hjXuBeAIypN
J41224G0vIVgn01Ut1sx0jXur6NoG/Yr2I/t3yOK2KS8RzTkjdonj+VTCVyOzpFDJ7O1mGfrrtMp
RsFZN+NN0DV9Bnt5hkIA/o7AOWDUkGa8+hjtoJMfBRQy4QU4k99wEBkSf7diUQlHBk63Ax4w/arH
84gJRfO53mczFLhTELyLrkZljh2z34ainisN/3KYF8k7WKQJXkjH9Hr2UzaLK44McESjVhsTTR5R
2B4enUwvizBqN6WQrjijY8Lm05XtbqQ7W4gyZJ5M3vZYxph3va04O6uzXixR5QZHbQIm5pBk8euU
oUIrNyeXuuDZxqD1sSx0rw2DTU1J4DfffOwBaGT5MK51/UL8jt1DRRGLrxmPB1oMMumTcgIathXT
uAHayiGC8qpsIS4kD5meF/GEQJBmywNcoPVhDRWd8pDsGSoYqWP7LVqQqpBTSD3kE7JsNn5VB+34
N4Yv5T4YFKjslpq450XW8y557JUjME3WaArqxgzDc4CAvzsmrSFDyCnE9hsAzHrcFRp1C8gBD7VH
UYiM9mpGsLY01V09kWY/xxnx453UwGlzplMHv3RdL2+Epk19n+zVCF5SRbrxtIotSh6hm+QMa2pJ
d4f5zxj0EfmNbjmC6aaHAlMVun4d3WAiBCTuVpyjHnDKR9IPlzvE0PiU8SJ1CzEqGrDhfgV+2BXQ
V1iz5vBiiZMbwhKK5pLaaDw14FlsX10SpCkrxip75bBfu3KhWneHPk3FXCZIpLFdPi9DqI/oBnt5
U2WwXwP5sr/EgyEtbSrbupH+urKEiwI6ESVpCScGggXVVAPm2RiFTuqabT7dUbNYnZ0AEkyY1s+o
7XLgsHGXQzC6t+WMx6A/Zn6N5zfe0K6P0DvEmU2RdwsTkx+6G3rouTpMyCwO0wF1YlZE/SKvWKKT
4M9dLFLxCs/owd46tPZe44s3WZuhBvHp9EB50/sPEb6NjPI6tum0Hi9u1mhIN7Fv2f166aBvqmjq
PIov8GVhMBUqpR7CEBs0K8uaMizwrANmxQvMWii6VWIGOX5rArprcPsCH8jbYrdoRjHAKRqmyULb
uCGtZlqujZxW8UCxeSiUiqLdv3c1phGf29ZN3TFT2Rg5XF2djshiZkvzlKHcx1pOJM/oUaM0mt9q
nVEnchtLuDU7nq3ifQx8rkH8C/B/+1Uu2dq96midosdJYeDztF0aVTgWBNEnBd9m+BpDNqeX/lwP
mHvhIcl0elw4Gh92QI7iOt9AAaioK3bMkCZ0us3CG14Syqy4cRqTpFtU14LdoizKzLuxb7vlmqvU
TedoRTD755SQihTsUrMd12mI1rzniYtuJwJ3qqdoNWuDPQ429IVEZTwewjqI5b4xFkKXgRK+vd97
UBoLQQyGPE3aj7CYWVRkvwlmdPU+dQab/4h8g3bbr6Md8d0oWeFr2J+dVmlAPYWI6yLm3q6nMI0y
PS1A2d1V37GdvAJVpPS66TAJLDQZQAA4QE9MFlHi2dyBbV0Qteg4L0myFikb2ijHmrtj2oQMs0YK
e4wjiUGtno9NFGPew0aMeELeI2JN5GH2mpZLzWl2sn6V+0lnPiIjLN0St0pgegpZadMq4/aWxosx
r9TAVf2Nq2wdblHYNvzY03qV75zDaKbslWgV1IkgpD0249izm0r1Y/fOCVyYm5CIzlyTFZE6dxs+
a4JE87DTx3blg7r27SK7FzR6TbUVZEW1PJftJAbA1hk82hpSrFjMOirg/cGCLjEH5EIeO9ABLxbG
/BMcDImJCylhgDkcBoyCzHpGAbbgwlre6uUR5/QI4BlkHIzSULvJ8C7FZYe4StK6218wPan8ccNK
Psp957dooll0k0SVRGHHCNzrkssYTyRXpGVMX3Utn+nt3k9QXsdJmOwn16wSphXdCuuQo1XahzqP
HaMcM84EpCsyG7EVDMCG+TxssKx/nGC7YJLjxeo1BqbhKcLdxbLLrS3k4FxXhmG5JMpZw+7pUmXj
OYOS153mUa9pqbagx9vEwKcGECnBvHUKC1+PDUD8OI9MHEdHzChtU/ZCSbSdejYaFVI6NOkXz5Ei
f1PtqvXPsGTILLD3ulr27+lIU/VVdxPpzySF1PFMgPrOd3ANWOz7HpbUqG1GmvnbOItM+BFm2urb
EFRkAPD5RBS7RDmSA19eMVtpjAHZb7bZ3UoG4wobEBx6XvAR2nLdk6QrwI1nmJln2YVeu4mjBLP5
vt+QDPxCXKfM3WL3eLzmiL3bL3ebV9A6SBuQDG941n4FzBelZUtFpA3MWtHPFGbE0z4cUFl3OCCx
kV7afLdo9yCjZUuLEEXxgsUi5gVyCU0vV1BqwFWoJBYqHwzf+gh2Aw1vvq+X8/E7X2GfAC05Ved5
kiHOCfa7/l26LInF2lN0mG2uhYGqGhATgqJ4TRpSpgmNQK9J1VzdJzW37ohtFF6IWz8225ttvfa3
084H+mHxK8vQvMzteh0C3/0HwQe9PVw8HNOTGdYqH2B2M+eoRtUFLNd+w5mLAeajCEHya1NDaXCP
QckAwTtq4x3Q1twBtaIIrsyo/QLh6ixyCIsSd/BMd0Dtlrl+Bk0iRkW0IZT5uQWzEeciMjbg3Sg3
UclXrokE03wkmGdtV2O1zJPNG+j9snwS4BGkBWbfy/oGIEkBvAVgQ+wXoBV7E+XMonxtc4pd1gJD
7CeoPXKY1KPvPHrIQxEONPqM1Z+gsA7rkq8OITbz1bBZ2rSFm+EfjjqUME/jcklrUDnKfzeLhT1v
RMUVJlWpLQgYQSaPhJ2rAkbJ6UuK345uNlcrfZb1BftVaL+9vuyZWfUwJWY5AC3YV5Csoyo6/3u1
euKDyfoTjLq9LwlrpzXfQ00fMLAa15JVEH//NQbTz85CLGTjMI2mPxD5sc3es+2vket/NhSifbph
XIPXTZtnAdCioX9RQvOzndAEt0ZZNZwfcUwSgEhyI3cGu7X5Ew3vHxhWYWTwew4goLDEgpGGyUSE
9TfXU2NvBhdN8EA0iwbglGwtYgG4nJNHbwDdosFqI1JMkcd9+tcUqgur6J+xjX4ilimMaHwTLfw4
Ic20LxuIWu5AHpwL1GsYP2IWJ87/+p3+iEz1Exd0mQ0eNXCKjzAEmPk7G6ZqLbVCnVs6nExwJ4X9
Q4+q1IfxT67wH1A4f3YnasEPw2mS0CMTyOSwsJ05zMCa/+QL/dGr/8Q+00j0M7yWFMyR4Wu3xK9O
6OpP6OJ/9No/0UNRps+DVhU9BsR+5PUSzs3ap3/xxX9imNk4tuO0MnoEBn3AILXJqxjI47++zX/0
yX+ih1Z+ayyVDTsqEhmc6VuVxzVO/7/26pd3/R866KTTKdhBuC7JPsCb10qkTO7Tu3/94n/whJL0
9y/Olnhw2rd4XGouk+8GmJIrCAsJcoVEMuhcr2BjnyByovovxfOlP9sU1UI5Ds8WekQcKv2QzYu5
b2PAq//6C/22uf6T1f2zSRFvQwpYSGXHQcgaCLQcg8NwBf+8hdiy1wyVN/7PmMUju2p0+77dm/cx
njR6qkyz1uhVVH1AOuN3v6WIbs4tR0n2X5/uP775/6Pepsf/+hzm7/+JP3+bNJp9Vduf/vj399OA
f//z8jv//+/8/jf+fvU23X8Z3szPf+l3v4PX/cf7ll/sl9/94YC63Ian9W0Jz29m7e1vr49PePmb
/9sf/tvbb6/yPui3X3/58n1oxhJNz9J8s7/840fn77/+ErPkwhX9j//5Dv/48eUr/PrLzZdlxLt2
X/7Jb719MfbXX7j4G6UJE0QymSAn7JK05N5++0n2N3AXKGCImBCKIw1rYETuaY33FX/LKMSXBCV0
zDm/yBzMtP72o/hvILbFUuInGf4D0u3/9+l+d4f++47927gOj1MzWvPrLxctzH8/TzxjFGAHBsSQ
l+OV4NT/00oxNNJYfPaAxghwQXgA2vwjFuNxAw4VVfZpm7ofc2b/TKUgfrMi+N07gyoFln0sAP5S
fJfk9++saprubO/XA6vkAodmTnK0uBn4fXSL1TkhsOhGlZYxKFCbaH/2Rvv+3G/1ft/ERv/IqAwe
DFWQRvMRsr+PkwjTTZtkCQgPDSrtUikqW4AGQTxm/Yxp8Eq2+pjSKilAZp7Altz4daQsdjjM/Hcw
Wys4rQQFzRBbHpCnwkqWpt9aosZy7SBOABZb2KjGEGwen8MAv06ryIFFCbkBFYLkmV/aZ+T1gQfh
sczAdItiwFxxd8+Rk8zz1bfuHqOE90oKvF8VvEE+HhueAp0OnW5vWziI33Ual8LLPd6LyhNQWpsO
oAAoXk1XDNO8fUtZlL1YbkBnNWusHhoul1s6AsWLm1DlCWZAAxQOAcwADEHBG2jVa+Ni+czATDlU
e61LFLJXsUvWJwzFsrICcPIRoGKqim7JIvCPOmDO6RaJB4da/0flE7hRjxP2kEK1Vn632pnkAIZZ
lKtFkhdPdoP/BOuPlUjJrp8NZm09dqPQoZlIVAvwugsO0K2obxBl6G4cIt9uE0DkRRpRdu+bIXsA
lNfUh6QL9HGOOkzoM0NuG+PXYtV+fPTKqfViQmTHfJ+5BXI5YLSudTVeTdnqb7dWWLiAVnCFWlp5
bOHAfjP6Tb/Mo+CAhLWJVIkJ1/SagDqHCXokMHDp0HtBG77J6VEBLW3h798N/5e6M+mNnLmy6C/i
BwYZDJJbkjlLqdQ8bAiVBs7zzF/fJ23DbTfQaDTQmza8MIyqkpTKZMS799z70O6WoQ+DsWwKX3a1
23sjYOde6XpS+1Wsry8YtqT5cI2ivueOJTCmavYe3fHnpsYzplL8WJpt6ZtoGMvNaPXuJVYTA74O
N2H5w7UI1xKgHMzaUqEhV+m4i0YdsrvTDXMn6VGpg4rmuBdrGe11s6ZU4QVqLEMvnHvHuUJp1HhX
dr0cwqKzr0SBVd8OQ9x/NKXBGylr9LdIr+KfsLfrL16Z5KHLSveOuDqsVbPkS7lJ5BC/caOnrSkZ
kgj5tWTzg9LFeFHGwFdZjVjs6UZxe3/JbflBRXN3VGuqZj9kgWToJWMal0FsimXDlc/Ypl2+PBrV
aj6UwqEmehJGvwZpcRXt0AXmr6awFVWK0VTfj6FwPzqnil/bhFdvI522unXzPMMfcCP1MtL05dnD
IGYm0GT+LKq+e8byyw3PKFv12SRpU3q1rWWBEK2yfJWnre43ohE/WpeIR0iT4mW00vBezab9huxp
jF5s5tCmxmTqTxFuOKKtGDMk7dIqHtl4ITfdMqjJi5qoLrwQDKQLOnMozG0SO6B6qs01EaiZ1pYo
xqrfxLrh7ESMswfOswrIL0ffMwCP4y7O4vYBGqcBnon0/LRmGcU71RLyFKGDNJq8Ip+0u4WkVkE0
ycleyJ9wF9L1Kr3Kenb1pesIZoGyzGK/NleBQGipDcgxspJyYPIYPTIZSId16qQXDaTwYvS2ha3j
Wnbmr6WY7pPKMV/4lVpeRbMCZq5Tq01IbeYjXnccSGytjWVaxX0uknSz1p1SXq3m5g0KoALN5DH0
PulSffAw5zfqAIvFXgdEYfnSKTTXb0ayCqg/NRKD5hTgdHzIe9MHtFkOWt0fh0gtJThi6kI7jSWP
hRHisgoybR3PmILTSw7VtfqrzLFKw9E16r1uuMZ70nej5UeDZdUbXWhEUDAC01vSRMOFEbp+dpbZ
Qi4JR9vZhFMp36Zirb+baG3zoIgHHumJ7rLZoYcMW/06j1fLi5x2iQ4i1HB42LCanYuy0ONLRXtr
vIGpM48VPnC863Lg2+OCihpBBAg+XW1VJFCXTap9TmE7h/4ShaRYS1rGtl3ZERiaUHS20iTPEmBA
EwSAG9OkzxunHYMGvRs7o9IKANNJZ8ltWKFugHh3/BFhWbE3t85wA3/IXibo2KOLUenXhhPe8k5q
PyhcFrda1tovQ9oWR1qbstOaIvNxzql8r+KFEzQrh+WV8AwPPdjO6Sx73PRNkfGkxs8C7ALHahrP
tKT9XZVKPc5XjSmROt01U61nNR85u/1dhjG+ZxNqHftJmRKp193p7BST2PKDjihGVfFaVlF7jOhG
TVhIzbETUTGVeapcT4VBR4hmY/aDY5obk+/8E9D1PExxSJO5bi3eyvXrD7NRfqZeu5s2KKvYFRkl
EolPM56t78NowSPKBif81KPFbrxB0edxU6klx3ZTY/yqQxzyi74iPr4zzw40l+Bnm8N4eSMOpZ54
/NYop4baRWgk76y7FDfKiGawaFj2d+xjFz2/W20FpaXWyB9TG7HWwBtxvW4BlfcVuuHHNFj9Rdra
eA7n0Ljodmf9mAs0mBMm67PFB+nLVVoo/V5XyXau8p2Bw1n7TtWHBD3yvv1ekxEw3Wo620LmxcK8
/tKM+0Q2w2NVieFA4WaW3zTjaL9b+HS/a8bSc1/EzYgMm2cgXkMaA0R7PeEJeVhnOTaEJkLnbRG1
+uR0Se6VEPHMY4vEwewZA/xiUPW11uuUSWb2HYB11fhyXOUMpgGf42tmKwP4IiuYzbzjQwAsPXda
+gnFH56rsXodizYO2GQ+B3EqYMOKDpeKi0Gz+kOv2eNpiaV6VKt5bQhZLIDRIpTpto7hYIOCV0IU
4dJuBkROQGfD+WqM3jyVsXIsb7ZF1Pph5Xb7Bj/yZpACJTxsnrPZlH+czHDzva3zNtu4RgelIQwu
CZ4c7P7XYX1K4zWDTR5FEkp4QFiPwu3ApqQr1BqFXRDPQ8qn0xwAn4FnWt40I5Engg1pBrM5zFp1
GkYJbEhzjvAKUZZchHLJoa9z7LW5DkTkrOxc8TjgxW+bhWHFczqP3hKWo6y+Nsj5jshFZwQ6saRN
nCxRASRlC/Mmm4vlmDSJ9idMWtyKxJI0cWeto/s1PPDHNbqPkzEk2kekqUr5bHdNP4F0eQq4RgFm
z+oF8cg2KSn30Qgxw0G1Ts8TLjeHMSRpd1jIArkeb4Ep9LM0XaJbyGnzQSc64GzzCbPSS8jttP5g
ls2hV4b9XYSMwbMMfcfN8qBtatc3e6G21ijj1wn127O0lRtbS3OYlxVdBRMFS0x8iuGf9VBriiOm
fS0iqt91yy97iGt0yCuBjEkb9U6xlYm2eBDzBLzWmi9WR8YdtGvE48GKg8IcdRzwhb7HudxjY86p
t6SOvE9rTdtMbN7YonDmG9sNJUfuGF7wmjGb7cFZt6xO+yJyJF55J5q/aPPppsWR4xNW2e7FHtr2
Jo1nrKwlze2HVSxJtYGWiR81FqvcGsPE68eH4gW0iMcV7ist406XLq+hdLonpNlYD5LVmpcArLNj
Dylw+y+IxvAl47FUKMZdXPiVGeqdXzDd/JpON7b+qsXxk6wXSN+qM+Tt1GGNJQbwgs/+0RkWOJnK
OBDDMv0mmj0H9doUj9PKQ8WrS1piAsxSG/2GOh4ulX0/G/uBVAg+WTYvR8kbkUtvTvBtWjhp9SyO
K7z2xYw5xsomP6OODUWQwbXoB6vN200kVPJYZ432UC0E8FYbDGgt7NVheVBrbybDmfzKTU02kjTD
pMNSKO2Y5SHQ5rygl/AmVu5TFY5UAJnhwk2QgzJvgqgdc9KrAmMawl7FmIbUF3aBJhdeWltWz4JN
BtsaGENthqzWT5DD8bgh0uJ2fmR1+Stwndsd8Srjn8yO2tgjgsmtqKQTuMBgx3SG1jWqF30w86ep
051vo4iqPeD+XB8GjLm3kskYwo61WZ+prCJ9yxhr3U1Lhq1haiVsvxHp4gSpyfXQRRppeZUdx4SR
CCUPBylAemRVNfetM8GX9AVvQ69NVi7YA2iN38lWvxh20ohT7mAybwHo9Se7bE0Pjv2nXPPZ9uAF
YzJiwg6VNxZaGu0tFUFUtIAeVU/GECgVLPCYQO4c6ZziDQffkh361GovnRmxvQ1MiHijhB3yxrlO
d4kh9cPkRFbta1X6rexObz3TTvDK3da6V2lJXHElzdBUZLnIbM1x9hyvqiB9KNQGKGVX4gPskkrr
A4NqJm8y1F3HB+Au0UJns6i+9u1c6swNXD/aipSdt9h9BtCxMlisSRrEQ07ycpz0LQZLsisbUd5P
krBCsbRV0AtujWaBixXyZRaZ31SlSDYaDKZnL+TzljlVd6ZrdVv6ZvYDBxsZsGkTddl0KVWrv+hA
K/Tb6CkOdNu9luE4+H1iqIdROc4GsGLZWuV8Z8faPAWGNag9fIt7CG22cHA/MaKRJ5SrB27YJCch
Mpp42sRZN3pLQCx2Kve4ju0k/Sp0Q9hyp/xxOnvH2q/ut17i7BKNJKb6sbxClKNztGPDfGN/XPTt
cID6Ni/Q0OZYRL0c9IYYZRhbG/7FTLusyrRtf8a44sYbd/VTAYuzN8gK4qxhqT2ZRayd8rAcvBGL
Z2+reHyucZA+wkFfYcb1RfsdB7vsPsyMMYgLQILRWoaOvu7aNJscnqTGHPQJ1CRCcZ1/a6JvbxYR
c7McY5cDLJ2Fzm2gXrJpCytIApAYAcWz0km3ZFcGqj2nkRlHr03XHxJRhYyZ3BSC7Hpm1k6dWBRD
sETTcybixAF3pO5IUzyPnZ5v7Z1akHWEx0xCPZhnjTfFqBurtbcKxgRYXZMks1F1MgObH8zBM0uh
Pnog55/aSowQs9vNaE/uHPfgju7s7klPdJFvljGXaHbpqR+H8FeQoOScuqmbzks6r7YPOMvFdKBj
4ovQZV95EtKShcey2veDaT7IXh8LIqk6j0QK4acgwvhdcD47IqpJQTX0LklChvM0L0cDhs7Qb4a2
rveEeLg99Q7S+xa/pf/ql9Xpd38T/f6vlc/b5Kutuuq3/6/S57+ppf+P9FFDuVdx/b/XRy9DmX7+
+Vdx9B9/5R/iqPrLpeQcudxEDlRMGP8UR82/HCB+13GURORDKP2nOGoaf1kCVdS1HUtYkFT/1EYN
9y9LGkLnL1o2ligq/P9GG3WuTta/apQ6mSXW2TBnSov//tdGriiK2P/AbLcb6LbatyIbPstE1cyP
Zngxc6074fAuQa7J6lSO0P5WUUaHdnbSE8V6wmdqdV6ccrG+3RYqpWF82NqClXrAnfNJy8p4s0pN
EcOxwqNkCQwj9PqpBnmpYKu5tS6emouTpnHicpAwrGK1ea2bnK/JJH9ckxejkt8hwCPrlYpj1mE2
GkVO1ZSpZ/O2qQfbB1tJNkkKEZtDBzs46nF+NFdZ3tbZst6Vwi6+BlgJXzlK/VkSI97z9aa72l20
rSG1iGegktGLoTOItxrjqCSCEUDrZh9WMeSw2XzVsDC5+FJ7WH+PujkeJAUDrwT3poNWVmZgk0EJ
mrK4r5OsYqVr3B9TsRSHqXXmu0FzHJL31mx6XUcBhJdV83CJ83neawSMTlU0DeitnTWjiBCwiKl4
fuY6h/g4z48kI6NzF3OOGiE73LTCvhiyHJ+vaeYfdoy2bwmRiftCZ5KsdMe9JA6ZI6IKlPKpMHkc
08I4uMbykgJsXdgVLx55OFuHgdf61BdhcjPGTvkCWqPviCeaDEcRzGqU+W3TwOQ3dXKOYydmuXQi
BJfxyR4fpZsWZ7tGepOAqSuNaGi1qnlTKLQ+V6X6S63h70LYByzbnV9j9I4sto7DYGSbhHDm/XiN
XSXMKRcgWvdN4v/fcBmVJ7NozcOAx/stIWag3dAkQCpii3ScqZ3LtXbYOSld66u2hmZXO1Fx6OZ4
8RAQpmNB0vo85WWz5xZQ+MQdSaiWmnHLnrQfqiuF8WamfGUdB+Kx04rqmFvw+UCUtgXCDvnJYxf0
uNDqcvX4JRSXSFXZ2Y3XbueCtD0bKyt1yxwxLALbemW0Xs754oaEvEf9ZjGaMcATRfi1xymAQCEa
gg7g3hbcyysvrupur8ehGQwlx3Suqd9hks6ZKFC/aYxrtL1vZj+ujPnQ82E+K9d+jiSwlZuB1CaJ
7WyJPtpPbqZh9edF/skdtSGlx5DgW0zoXphFYpO2qvOadVm2a6kRClyGytdAzLn/VfpGruQoIgDl
20LRB2EwZO7yVC8OxWrflXO7Y4snKomz1rehE8rASh3f6vExuaHuVi4oJBK8NkUeGhemI6P6Y8XL
Tsg8OUUWKZN60LP7miTilj6SFo7MYLTL5FYhYkKFQCw7hu68Z1joI7JEOd4LggQPqqzfpSr+wMRu
rLW76Ur7K2Uquax0V+9rrZVbrM+Qh8/1Xyxasl84hDlRjIepkw8O/gB6Y9sHTRMuj5GbQEJPWemF
lHT5aPDfiONnbsHzRvVG6YtBMT2AML/GZPc8XWTcUjKl39lV2vsV4fiTnhKnrjpTbqCL7J/eycIt
o6x52w4mHybdFhvIC/fRtA1e1VkaPDzc2e/Gq3BhVeuW9zE5JLFMqINrPb9GgNwH005pmiUXsjV0
0PDZ1hJq88aOkvd0ORCn5Nojuo4CgjVa2YcUrhcnWq1tZJuIh3Do3oK5wqjCb3sB7/etFadAsGZw
l7kUsmihXXn1MsidMVhkgzGZ/tQpOgt/ulpu+lYXNGX081HPqvB1KbXVxwerb3p3Go96M5fHMp+c
Pbm18s9klf1por3uOk/rD3zIa6T02A7JqTQqgQ2bzGeVVFQh9EtObpsat9ELqRQ6dxEPPiQDx9ym
Y8rcFXIJnd3i2ZwaWsKWZKfl6N+8EPtc0k3AgWG9jaV2j1h2XhJ+ckK48ZiUfjsuqEkrRW5vLV02
myJ3Uj9d+n5LnpcLE7T04pG/sDZmG3fYxwOf/55iCTTyZNeXln7p7Jy075B7MYkajUs587x9M6Qo
yWjEOEOmPKUrly2yVI/lOs4nq+LsJgjOzuVYUwmp1+k7c8xsP1WRCMJwvI0pIEpNuJAs1eYtvQ4E
Izu2bvXVtO5MtNmdafEEtwTK7xyazWYo1vHHjfr7eLSfqRvrXW/kH0BxqZe3OuWx4UVhQcp9VCht
3YqKofc6eH7Y7qAnV29F3/pIctd60FU+nvjX/dwZ9+EYvfcZT/08eTJN+8w8uak0WL4ChnbT9Zru
WXgCPuVa8U2r6elxrjJ5sCm18KngIvZcuOZ7Z6ZTkDROduCU2Jd9WJPG1NrdQpwD821kzf3flsS9
caGNTo1a+ju7WOpTpdn9T+FKDahtvh6DS8IvtSi3naUoMoD2f+hUgvw044bqw9tgIDKmxWmY0vUs
iui2amODYzangILEL+s1mqTS6eDgoco0cNQa9gdOJnmmmYaXGUfAiHuS3qm5q/J01wqhe32Tmmjz
WYFTsvbQixOyvlPjwSHL8Kd+BOXxABNlxquYd0b7aEZTc1M7P/ZsolnYS3hu5szxptAyTlbfsp5v
nJJeBVU19Z8rx9BPuupOUKPHXkQW19ekwNxwvAEOP13XqT5lumtq7JnICuO6ILm5X0a9D5aaUg6N
5RMBi29aC9WEnCmPHjD1Opx3XVPSbWngHupGKYLVyZ1gmNrUZyhSjxrdJIeCuHLBglJclcCMuyeW
iXBIN86do1lDTW5GeyGZifhfcUUhivuT01nxVJN29rXOVttB5pzeplm495DGL7M9XshAFJSZxuc+
abdqYL7rzeGNWey5ZS0kQ09m3gvLrbYlJMaWY8+9LdFqk82i5/ZbisrhVVwrIiv7SmO5M6tov3bJ
CeB4P/XTEEyTLKNglUVElMSsmGzAa3LErIquma3Qm31lDZdF0x8ISH1xoL1M7fjdWXLXzKgLdRQ1
20hI11cpvTDWsgrOXW5hYbyxSmUHqVqJX3ZS98OORjBzkc2ZPSjQzuzmCabZ7gI2og5ngtasc60b
9pprXVrDoOrmE49f52ZZQccZCTW54QpfHgQJQlPGZwzK5EQiWAuSkfxXs3b6Pbe45ZHml3Urx8m6
CLhu4lJEs7nAXtc8o7GiWDb5cKvSrjpqMUm3zrJyz+qMLrhOqsfQSPpAmGLem9oIGddqn/id9X5p
8vxmchaO6LBRG5JCLUK2moNqja2bbgpx2DXZHB17JH9cTdGRuNKp0ObmfUhn+2WkqSYwaFYwvWy5
Iv997zy0jVPfuaEQO6j7Tycv+X7dtt5MnD4o0urQaMnid03/1qj2sxkrlncZVFwsRbPDgEiPIVbU
q4Wu80ZKTNskTaw9Uz4QFKqOWIa+JAPFRKP2M2thseFGqe4RryJ/TkuSGC6qx1E1GbRm0+wZLdSe
zIriRS2imzDS6ovtcEhF1TWGWA6vNWEPWG6nfa+SSgSZhZ/ttarRePCYwPlT1m3BalveO0nox0Sh
wEhdbatsdmOuiEs78qvhc7nEzb0eGU7QkFR6MNvaPKsExJQ72PRQGXn52kb02pjFJJFnreXBQJAj
Q97n31UhUFCIi/6Ckoe7GRPYdxpu0GwQkjeAKmvurVpZfCYE8W+scSWJIyg2O+EmJI9RxC2PfH2T
vHSI6zxq2QFkDGF0FgQCdqhJ+lnQdBEM9MJ4Ku66Q7gWYq+TyPwgJiC80LCNYNKm4huvxD1rTm29
LMDhHhFc7Exz6N7drokeMmy3xwoR+zixqY8jTyQjLz2R9ZpJAE1Upj6ZaQ7XMr7vUrldWyvmwkYy
YIhDuddoajvb5hj6amrKs+z67lTolr1Zw/BnKif0F6JFalvmC1e32Qy32aqcdzG3VBWUhfkwrarb
zL1oTlGXKu6fCqyGCMQHIytl6ciMP3UfUh3FAHiIF6e6U1GSnGlfSfYWGpvfy7I5Viyn4tSQ7nYu
G0f4RnLJtKncDNG1iiFxxZEwBLK74abkm9o7zEuIrtnqvNHui6OzZj39X4Z7IOhu3oCNZ7/8oA27
L2r7lNkxHmHeV4hp+fJrhetXD53hOWyq82u0R9JNqLF8lcSTGFbcGMvwFMbRmVQuN0fh3hqoTzS4
WaNPaC95TbR0CaY1f69obvKvq0xv6wGnx1rTbUmYy4dYnk7XIR8hpvxpJlbHOoV7qnp32YRtTMXT
0qQvcWxowD4zLDeOVxXkpHg91QAXDEMrbiRXMLqsjPKZEgoRMsuNL5Fu0XLU6I84H+FWhlsSEDsa
bLJjWIz36aQCO5p4uCxcyekV0iKxnJdwbcg2IACby3yXyu4Pb0+w9bnAnKRQICDmxpqsvrGZuZXc
taswiURcG1gskzcq+QHK3dA4B1YkrbF+jnh+svjQwDgg87utGlyMsdaonJNLuHfSIg8ymbT3Y53T
bxB3zX7s3HWjWWmx56RIj4JqJK8hZnU3rIvc4UVSM2dFt6Nt6hFfS4+OCVktwnKUyQVxlhpGgK7X
hfAUxisqMHYOxXJNnnpjXuVUutVa5nPx3cfVDWjURBnDON0UPAppftDm8ZGKs/IdI4gPj0nHw1cb
lqvGqhhi0tcg4qxDqaT3RSu0h1laRV8cWnkNduCO0NbCL/5cFVl5TvtUfHACtudayxlz45ZvPM1g
9NdEzJEvNPdtMNfwxRCD3DTjNcvXJwvzaVHSRVG2mdipwu13dh2ph7acs+PSq+Fg4aMAUkm5G0aj
/VLgPBAQ8ZC8V+y4+JrpDyKiXPNhHHl48tIQl6Np9NDzTe5dY6L5QiFQJtU1FWm08o1ZenoZh6R4
7JtJnjPcg13M7soV0qW9M/md3huFwTeDNPgSGdNPnafGhkkoOca0Td0tgv81zKHrAz6P6AZWk3td
qYk7TluxKeRIrCOMUcUX7UZLKdjIchltSXNj5YmG2rRcwKIZNFxwTWd9/VmvXfvRzmdt4xY00CCS
FLd6oW+M9urQRBZPrJHaJLWM2dFtTfqZ++qJkNcnEZDbdSGakE7Jd5bJ9GA37S1FTCapp5nghDm/
dgw/Dp9hAvbL7eAuH1VTasckjeO/94H+X+ue/48UTaEL3TZcdMj/XtS8TeiW/Cz+VdX8z7/2d2HT
Nf+SzLToe5Zr2iiUf0c+XeMvTiqHZLFtOzS0Xlua/4F8GpK/ASbKf0ydSofroo9/IJ+G+IvVfMpy
dccR/F1W3vwvZE3B1/hXVdOxpIRGNRUPCyEsft5/Jy9nFJkyE+z7KkcydlZW1jsWSLD/NBVn2oLc
Awm29/Sqw0E1/BihCm8JB5n/A8rs/o0t/Rd19W/fh8EAb9k2HYCglP/+fZhupFU8xsY9gBV3IVuA
zWTbavXVcBPHJ9nsG3UJi4Sw6IRDbOEfUDxxi73bk5Q1n4bGPncG9+qXlaupXp4oK639xOktDFQn
mJR9qgVFXNPI0Gr19+wE3YmwazyrVrS/DM9Tl94sFlGisNykRXeZCaPSUHg0zHrgurLl6oyEGd1p
KRxYamVPQ2K2G4y7T/rvyFXbgwoshW/n6RG3x5kvFOBRL+SKkrcOe4gDZpuFyz6NzMtErs+TEuyA
F7Yzzf4NHBBmijLYLSvgvGpWN2NZiK3FsL0Yt5VWbRVC5ei8atn6EKXpY4NT00Xz3jDtY0kPIF12
nm43j/NsUZSZo3rMCHFSArRFaLWzrJy9yfnsVsW5hSUihfRD6+je0T+0Tn+2IXWi3r5trfZBhWJn
9NVGzFowGQYAo823AdHsL0O2Qbj4U+Xjd9KYaj+stOOAEf0aLIo8dJYRo4oBpzXZ0ASzvZ56Md1q
ztBx9tLrN9G5bS7qkUn70OoPSFZ/S0Ay+0yPzRxdkMO31PukvFouy0bKZQNgBRBGKZr5XHCLI+8F
kNg9NuX8yxl5mDv9fe24jBPr8uKpfoumZLtYycmgynBLAC4owopBwX3m7eVl1lZXEI0SmZviiJEB
bTxHWvgW1utpVOZDa7sld/7hmZ4FIEKuulQD6yMjC/3skorVih4W6A/L3LRoYlmYB+7cf6QEtwxJ
Jkyf8zebt2YTq+cEkdkL9fK7amhOXOIiqLq08Gh03BRp/6X3SEOhHnJWLMdelRtbTL4FxJQW4kkW
r3bbrne4gNnruBanLpP3hDDGnbPQA9CqaDoQJA1siC+bHU8Uz+77OHtTQ/iTadUtUn5tPXckDD0O
nMSj9+EeELDytGk91FH6SjRg2g/cq+A1EQxt6pNw8wmPjJZ5Jxec8PoWT9jv2hiIQS7VjQTKgb2M
QCHiSz+HzCRpv2dVhKRXaGYmKi2qSeILzao3nF8Qh4euNEtUVhKpV6E94RYYhfNrvfb7NVN/sJc3
6VTmXqaJa6+maPnkZCwMUeaGlBKFdMkfK3e2TXaRQvenWtxDWXPXYVE7yK3uFPvRoKinZ1xfV/VK
U7cvtXzHW4PMdGwUBxNK1xuFPvjhqM7VII6xgWJrrM8YreyCweBMFI3bWWJt1Gr5CxW7Q4HZbHQ7
w5j9cnXs01hiVzfxlxrlRYTp9eNk3LkEf72mt+4S9mPOmftRZs0hGazvKhOHtFnvSQaC9hlVsc3y
cm+V+nSTN1q6rWwsSwEZfk1T+Guo30UY+ptSXFq1+jrjc+s0vE66dsCcvSWpMJHXMye/bsetXJDH
aSa7kJ29J5SPQlnWT8lVfGFe8RMrFngm9Z+KBVRyUS8Froji/wiMNCNbaZG/natTFbfPNnNCWPbv
dL7W+1gMFPTYzss6LY/2NEUBnRWz3WO14PcW7ZOuuXer2bz3ufVh9AbR8vBGX4b3ZsleM5L3u55C
rwjscNEqAJwFviQxHhapPVBqdJgL0Wwcuzz2g0x8quxWr5GV4cV2m+5tZzpMurM3gJzXtv41s2JH
F94nCi70JCWPNOZiR4R88ssGp100zg9dVi/zlRNClds0E8unTLf2Y5l3m8IEqiLkuHdW99MYrlUt
0Pye2+uUjMWAfKn2bFTmzUxqbcMn7Nwv4rVBuF1su9nIgq1PpHo/08zmg1FQEdxP76MbXkrNedIm
50Yf+/OK94XFYi+7jqYjo4roD5I/17IXwrZRHoiku1l5WSkXuc3GaYtIzuyEyAklUUDYaVzPY8Kl
VK2EG5y5Ex+9Qy8GJjqpXeiqonAqjrKNSLVbqTPYJVHyjUHFKJA/6H3e8TJH95SQ7Ki4ujZp8Upm
m1bZXO7MQ7XKI0b6Jm+PKu79zHbIHVJyoi/hUVnvg5k9w4ezuQGjYRkoGMSJpBbH06twS2PCrm5V
UFcfcVeeC9d+HVtxoB0z6HN5mrp+P431FoY1ENQ3+Ni1hKnnEOqgB2B+bMKJUYmmieRMqpZGnRjO
Lt+7vNOdXLwR3rkzpnGf0UHt2e6OcrossLpwDy+1BvPYPtGH8dlmRINjye1fta+O2wYWAIqaTK90
jf2UDzfCvplXMyiwSD2tbO+11bwF+92OWCiem/KR1yz7Ys3xT72cotHeALfcxfNvMa5nJkTWSqxe
q5u/fVhR6jgQ26Z8gvubj4L5mxjldxzJO1P1Z1O1rEyOnmjP3egDcI/Vum+0XwTp8NtbArqRR2dB
47fVnq1m5kNYvfEReYF6PNr5B57dO34MON9/sHdmy60jWZb9lf4BpGFwTK8EZ4oiRVHjC0y6uhfz
7HAMX98LkVmV2WlW1lXv9RJpaRG6AwkcP37O3msTeZKlD73eX5ghB1ZlU17C+Ewg8dtsqKeWKZg7
jI89HKWpJqzZLj6LCNPkpIlv320eVQ9VdpzObpQg7UmtIPWNfWFBNjf6r37u3+PUBzkEJ9lIf81t
+V1Y0ynWzhgXMSSDgLIReDhxfe4cdGq50QUpo9vk2SyOFkUhHtaCstzPBM6idZT9Ro7FbrDOc+od
BjO/wPL6rTy1gTiarAFG8TTLHVO3XOXNCtzbuYqWDYffPEQie2pLJ2DycesLhQJeoceQH+DEcpz9
L6nI1lajbaGzPNZptzcGFIWWSl7hXNgrbTbBZfHXSq/uvCYXegeldF8V3Y/wx1OcZPux4QNszQfB
/YxteH5g+I2YKD+JMV07rvPaju23zwR+I4VA0afiV7vRugCFJffitHjBjyOehtk3AiZL3govFo1N
VSW7Chv9oLXHLM2DTKInK4V9ZbrzEaXTLzPs3zpFmDbCfKhc7Wub1ftqSNkSAzYG2OEQ9RMtHMn5
rqSJcoXtN6teVPS3BnYUc9fdZNgbV2ngrc6MRf1gAC7s+zzqaEj94Q9kSwQ6T7Lxj0PhX0OZXNLu
yORx7QDJGW/jHGPm3cZOeUEmjsLOBDGL8I/zA72V3t9AdkEdwEGcDrvZf4lc8y0a9FvS69QDb5dE
9yzJdhIPYJ+I64yFqW77BwitT8q4FhYPEHCXOfnUEBSNDXSYqrfRTX4Pg9w7g/mQ1MBUtWY8jgR4
BGyz/vjla8y7OcGZGQw8HG21D30uEjV4DvmQGFO0yr27gzneE/IrgceoQxlY2yGoIo/+odfctwwa
DOSO12ZRJTbaoTdPPhDhBAogBy3a49A5NoXzbBR3ZTMFncQQwI5HjR26jk+xLl4i3dUCshWSo+8W
D73Lidyy/Tm6YZmda88pfml27G9K0FCHMLRaesjWl+/2kFWvjZwV4wnWWionMatkHnz1U907t5ml
fhR0mI1AKb8DVcXdYXageYS9F5iePW4q29Z/OWUeP3lW4Zz0JmLrRrEvGDrU2SsKVG8D09y/zcri
k9Rk/AnxYNjnCdjaVarZxkbCATummPt6mPQZW05mS+CjkgMD0GjvojL8zW/p/XLzef4GiKrvC3uS
u1BPDbwprbUlnUGSQj21R71kR6QTT/rMfY/+mMYMFWFbdk9NkVl35DVjoPkNZ0saDwcd09ypUiI6
9Npkbt024oybtZEgYsM7RLBBoJ2qHIx2VTdn3EjRhrOmDkZCIA+aX3dns3TDY9723REIIhJevBvd
69j6fO4sic9SAH4uzelcedjdVyj30+fKk+4rKVzTr7oqm1MqnXAbIbK/iHGuPgAV+Y8IypoXLjq8
P14XFd9e6vTvGsZVdJEqTi9CSfuOkS++QcuanroBZr4xtPZNiXS8tJUfnybxqlC1gSZpd/4sx1tY
GeJFE4LleZlM5gdgjWHLbIRSNo/5E7j//nFIIKRMHJifLPMgJle9B0Z4HL/Tdi6vfT7Iq23I7gKO
OD0UKPm5Q2IV8iPk53Hl9VtjKqNdRF/P/Ll2VpmaGaaFphHApi12PvAGMBALxCabWLvHUWgyFBpg
Y1ux/Wb1URyMlKfP1AbNWY+9tRdodE7aPE/UlJJNYp5cq/FzjAE7JrEdKJlPFxOMVIS6YGKGx5M5
Gcm6m4itqAympM38y85TjRtvh5q/DtU91JwXr5wvbBs+nCTfM8s7IJ0IxNwD2ZPJXnPGEyYqJCeD
s7HxJWg6A2Ch+Rt74vzV3fdBaw5qwozUG+LHQdtvmemXaLPNVKWBirKthFaD83zgYBA2pPja851H
LxL6gtp4G83qbpbikOjeYy76NQr2IF4WkwDqVPZo6u2rYUh/gw7ifZ5jxKgRiu22cO5KqJeQCVs9
OfkKTS5L9exhGrUDiLmLl0TqUBuYF0lfyPcFMSKIn83L5PWgmEUeVGm58Zv4DO+7Q7VIU94lCQgx
sVWtxMCimet60/Vvfcxqr+pOfoxA3/e28H7+1GX3/8m1wU7LMOOfww5POHhscfly10RGZuj+vw1d
HIQ8qbSdYe/kb1zzk9M89iNsdKzYmpFPR90pm8exiuYn6lN8GxLHvhtpl15a1l7DqnNKxRRTFd/u
X69Ktrw1QP/9R3t5k+LlncqWt6tZ3jPjrzduefeqOcqeB6tkgFLxavbLO+otb+u0vLf58gaHf73M
JHt3R/jE2jGCYneelrfeW97/1sd7wcAVKYzf+buhH6yMnApUGmmI0JOAhPBqWra5rZfaYixVZl7q
TRRSeXQZIpUVg3V37Ym6ZHT051Ecy2eAo92zXnUFShenPdZzKy/REnjiL5XODG1q3lL9nKUO2ktF
1KLK+G0uVRJcYXKI6wrgTRPD+1uKab/UVS2JzE3xV7Htc3/YT5kXf5Y1fUatT/5NpJm/iS0ze8UD
z4VhGBYLTgzSsZmG+En4lfEr9LVxUzR4IojdhnS0HAJVz5x6WE6GbjkjwuW0qJZzI018MheXswTA
Dz685XwxlpNG++vQ4dusDpHDSdQsZ5K3nE7dck6Fbh4fxrF6qJYzDJUMpjiONfSr+FQ86ME/DAlP
nuv7LDtNo2P5W+jvHpbUejURIvQ22S5DrQKB4MfgjxFvDbZi6LgMoDKezU3vLEHKBQ2cmfgmI+ES
C/Kijo5ZUZu1GT/WiifPypttzaVt72gx4nwBmOhLFHZf7SsUyVxuKmkgUtDddp3Iv35HC7FZ4BYI
qjmnNbfkYSpJhuyqKmdnnjpfHhuaU5FSJHZwcLmvQuakUygg4bF8ZSr/ben1k7JytAu1btoNQUhL
yg23haDH9svAq3A8ciZcpmp2PW5U09xwcer7QRMf8DQBYOmKmwQhKuS5d69TvtjOpnHja+GdzO57
LuNiow1pu142ko8DmK+Nx4X9N5eYN83T7bPV+/6mq8ULa2E6IM20NjpGOioslHK4wvnNGxztwUvG
bMNBD7ZPz5K7S8bAypHsazB93hMjvXtNQu5J42f70qXN7gv9GFmGhJ4cj/EWTidNj8yzNbCwz8TQ
mZUYyR82BFmQNzNSBSZmG9OYHlr6j9VQ8J8PPBgY6dS7TZ7PEVmOtS0d2Hto/Mwdht12bSgftd8s
dl5csWReknlivQE7we2BJVX7lff6E30hci1nbHDqDC91Nb5WZlE+DzgxLyZE9Z1g64xXB9nnQ4xK
cZ1nUbWT08QKXGMrbiG92XruPOOUUN1Wmbxr2OvFKiRdglSRyUWo2n0OpXIPk5El73CQPm0cauz8
6nYH/lfuEMy0uxCDP48VySINaKqgNTokBTVrvWUJF7ADQRSV2uD2yb2htah1rvNXwoy9dWTRMRE7
jh8bKOVrFUq+4Ylba7jcBzpf3fk5+xBZ2M1WlmmJl85zkIpKOzyYta/vEbcm5yp0f4y6K+6Zqc08
BRQUrSh/uMX8QVZ0jwvHCEYjgQqsReKxruqU7CI+u9yPfzqfngI3Kkd70xVQ70uDuKvke5rM9yHH
+pSe8fnyRJhJMJXudTYqE7dO+cfp5ttkVA6tMJBvLZcEXUFuNzdcOlCqtqZaWynF0dC5eKjS47Cq
RPusDFN/8Xnbub0av8YKxK3dpC9um++NlsKlWUAjWZ23K0wm8QNat9PkDvhwLd6vseWQADeQrBlI
Pyo0OovJsmr2iVTVgcVqvMc+P7+n3nLJhNu3ncdM8XOdi4svlWr+DJOsWCPWBiHa51ogbIZerkzr
rzSerAMONf0UD356gD/cXcLKlVfixsqrHWrjNxwruiezcfdkCMpPtfRWzdJlWUu/tUhk12LpwUxN
ugcNevYaiB3dGRVXvHhLy0YSVrvr+cT/V5j/3wKX6AYzMUGX8V+vsda/8zj5tyXWP37oH+p892+4
BxeNvQeUcPnf/9hjuc7fSI6xfN81/hNq8h97LA/hvmuR7WNgOllAp//cY0E1Qenv+3RBaM5oCv4n
eyyfX+hfWir+ch67NNYZBvN7G9Xhv7VUTJ/xuPrw3JMWBDdpO428oyAZ3mMl1cUahztWLu1WWhKW
X5zHNRcFmmebYD2GUEOK+Tdr1Rc4uOQA36DfAHy0MQzR5RsC6WRC0tUTJWO88cvznqVDfWUck/8G
nvg99B1BbbOvbZoUVIpTiepa+0N4b0yCHVZ0Om9WJYovNJKAVKBh44fMsuuy2M5YpZxyAy8s8I/h
lWKL3DrFaBNBl0fGLCvcwP47XGARGAMOcibNKHI1DQkc2uPVaJp0/R2FoJ+aZ72w4iVhkKEKcslb
PcJC6HvZPItCaJsuAiIYQesA4CTtPfE7DUJJf3iDCkZWkBnmf8B+lw/KiuJvmpRmBQpZfvel193T
3ix25JKBMxGOxXxZMbcG5DBqBmD90PjMqAxQOux+ozee/zAY4wDLewZDuminxk+rSBOIKj6+V+a/
Sv+oDNdf6WFNN+pFBmrvVtlnWyrUQpObYZXQ8u4UNwYTNgttNfd0H5rG/5aE/xbLiBXrYmD5r+vB
i2TU+n+u7dfP7y7+17rwj5/8e1HwxN88iouu4wZxfM4jbjr/4Bm58IwsmD6++DvoyPzP5bal/00s
Vh0PeQQlBl/PP4sCRh8hGANRF9gcUTD+J0Xh/yV+uYL33TZgBS3eH+BIFn+Ef8WKyVLCwe9ttavh
1DzjKJgujDKcOiAEs/3W/Dk7Dbrf1MG/fFDXv9/j/hWjxMjw36sREGCBt57UQbhGaJ/+7XemHGRq
tFnXOaIPt0lr2fUXyo5JB5BiMJjsa0Sx5KoM/XsOO3resJ6ts8BzyVhHYzwQYqfnNcvSjqyEj7AJ
EedPRolNlamaDLzWomGCyAsgoQi7fj+YRtkGTQ9CBqmdxAFd06J9Ix1fWZIc0Z2J0PmDkfn4NVWm
/1roaRFvdFOpp6lbAPNcF5MTGGZo+EyN6XxoQPrFWZuQzWQrIi6Lk0iYkzLNm5juIrcuv9MGkbS0
1Hpmdb/uwuqXIhj6oWuH9MnvM/fNn51mB54+fWiL2ijJgBSwtrXICV80BaQB+4hWHSZv2bWF02+X
dMsdJWwbqtQ8SJOZ7jDEVy/u3a0a2WVCQMkCzShfE1Kb2AhS/4zBfFae5nJfZ+VUkHFpY/oLckY4
UFYscSnrAflLJQIT/dQa8xA/2NIjl7WD4lfq5cqpERC3o/mFbqlcRb446TaQl5gUEEzFDC7y7cBa
ZtWwsVyxa9o5wHaY+gNT6PBCBGbYDZeh7ZsHva/lYQ5bTNt516Nsx4VdtRiyDIIzgj5icCqHxN0g
jLfW3Qj9W6KqAG/VIXdILPsgdBcJmzIB+LV9j7K0S3YWfoJgxheJg6w09xk7yG1YR8UxLjJn5yNV
px3FHjAPLVIzEwc0G7AoP5SQRn5qQ0X7XpAi6GqO9ogjHPFu1SS3ac67bE3sklhHaHupwVAy5CpN
dQsUkUfkFU2aS+AivGkM24Mluq/JdTLyzlgFMqGNZ/cj6oV3dqfE+MZmWfxId0rdwAOIayE6x6YV
VdmDDlYB+kmrJ4+p6bPpmpBD6kI7FlZdH+O5qKCTOILPOm1ryCUzaeub1mYiR2OPlYChceWQOoax
6FrQq3OXCW2aXFFl5Rqdlo0wc+FyjIaVP+RdYexGMheKXabF3nNhay2Y/0Lo6wYOibmxsdDqRKA4
3lkHwcospZnUE53oBAY8nqJjFNXIVxu9cT9I+Jm4YpjZ/Ni4FjCSBqjfbRo8/aBLaAWB00TFA/nN
Jgj0AbZMzLhsL/xc3Ku2leHKg+4/8WGS94K8kMEH3qaaaISiUq9+1EB28HyXJCBnNFGMaqIdNp49
RM1xGqTxu2pqBMZWYbxmVtyQ4FAY4k/pDCHp4sTV4ATvGryUq3mytdsSp7N1/GY+ZR3TJUDcJhqw
stGJFYb5Fd97M8GInDTaiYuVsSWDsrYCO0rcWz/b3MYtLHXbfNYuWOJ/nCj77or4wVDprkZxse0n
mDAF6/Y9vmPr4ggciY3oHxJC1GgSnOzBl2xeZ2PRGugIeotZk/u0bh5LZ+6uMOd/4szA20hMbxDK
PNrrqVufS9eF8R/xN3JZRG+jwk2uMZEMu1HrvBOBV+ZGDmP1PTtsv6dCcx71KWUHVUzh8BB2GUs9
0NhiBSE6WYZ22AHT1DMxepcTM492so1vF2ncMTf7/OS77mV0C6aSJA9IC31H2Tm/Cb1bBMkuq4XA
gzrAe6m9SywhIPS6AEGf/QIs3gXoo/onoG+4wOMk9NYwfdWRUK7ftdVQP7pKiG3c1uEa96ALElwE
tshmOMwj+WFDESUHwGrFVdNRZ6Md7VHoEaR9w3jHeF5pjLzY0WbyQHqk+iW1on/saCuzTVwB8RwT
yZizVXEwyYrVV2qNRMTZYatRLaJvT5GkoZU2Ch9v5C9mu3qQJ1wHU9rDFw9A+8nme0R+P/ArjDzA
0ZBxMRTs2qJwDwcLikVhH2Ueo9Y1nfgIR/QPp1PyCOit3uVtE4G64knpDqmVEewYNlm0aedZB2xB
BmG51qam/YH0QV4MOUb6g+uUSFLNMJXdJm61dGQLqaIz8IcbVJTsDSsFeQeu5f2GrdLvyAkZiZrk
hdnZDbvGfV07qdgopbzHRmbFq8v3FKjRaPfEyZU/6OTFtRub8Ju0JkM8d6TfAA6YS+KBKmnp4xLG
1aZr8HlkHmpgZWDqtfMZSDPr017/JgOk2tpFN+9y01AnwqLWY1u+a2MPbAnnD8b7jAEfsl90QcYu
KXq0YqJGk7ciQEPeh8wU6HdIYmOYxvYWmELLqEANzXXyyqcQlAiJEEm7Bt6kXbkmh4+jNhDN14Wo
0sRW79pkbYDoXJtNNG2i6ICqPt0MnmiZInEy2S3JLlkS8VeIz77Sf0j++0WOjjgMHSgvooOhx85+
HOBuMPeaBnYiiRaSmZlj1MnHzdy39s5ThFeHEVZ8gq/5kuMR45YdvUaWH22IReEBCAfKc2TBNucu
r4JCm+NbMdbT4iDYakO4SRiMbOXUmw/xCDkz17ATsWlKfsbIlOzDlDyTbgYzCiY/yrURtXHXgEPr
8GHVLnR7vqFhQy9oBUgz9LUa55cwV3yQxV+2Wz7YvClDVkU4dsOufhnsWLv7Vdnupc84lVaDfZnT
yl2Fb5w1u0/Oi10TP521xBJjkl3jO3P2Tso8kFX4tdMmXl/CUC4j3zuhlR3yrFaNYoeDONlkoxvt
Wg+Vu2W1Fi98IuwT7UL3kbAtYKHj2/a275Lu6iQ1WWgsfjyy4sLhw3f1/OYSOHTS/Tz7Q1qBc9A4
cg4M4oa3FIH/Gs0JKWaDrVdtQKZGuY5cPfxDtmm/d+zJY7pC7PuaYzbcwZsgbLdKjPhK6BInZxYp
/ehEYtyNZmp9oYgi1k43xwuqaMAWmGwJ1Qp70zkyIQOIqdCoHCOzx1ThG/ZJ95RxRzsf/s67kAk0
kJNi57VRklGYjPCQSt0+kmQJimseUQxElpaAIx8Zw8HTUtEOQ3S2K3TTeLWERyIq8S3EY08jwZQm
YaN9VuqKuFXfrfgSyuKKmly7m66T7hmdTqd0TOclj169I7DEsNbglVxsiDFe5BL3Ztf7iIB0nfGV
HVvzPUun6XefkvOwrr0sW8R36ubj+SUaI3HiNa1tHwy09luWC92rN1X6YxiX5TEODX03mQrZ9czU
C+oFgrj3RLAAKgq4evaojXc1FGKvwNI/ab4l6SYdXPpd5Z1zXM4nCQWSxeKAiSBqqndLIF6siE1x
ZIQ6MnUeTC9iSNgQjerwnAm8L2RsotgiLHvlgJ16ELo1IxVs212lmTQ8Q5iMgdtws1j1Hba3Vc69
gRx0OyweCWWKdz4+65WJnCwwi0neHKnNB7fmT1AS/PxiOQrZOEBY6x6GA9GWs2amxpUjgvOtj1xU
VVkNUbNAFhfkOS5sHxvr1rFK8jsdDF096u/Azf0vrtnGRjMNJO/QBnasX51tgw/1h6YFtys+yiTA
PshyoYfJvStwhBzqRnUfvLTzTfM7uk1Wd7us5TfxNN3cpK6XbeyCeHgHYz97yNZ8HJBFjl+VZY44
98akyZ81Nv1EZtczTuem54IXhEaUDpg8EDoFwlSs/V0QYbAqPaXtiM5Nb4UYovtYMwmftczc+ZMT
VZt5ENGuZ4f/VE+m8dFXvrj3I0IUBFQmHoI5wjCRJkn5HBVa/DMOTnrUHGF9NQLyOjzWBNbUUDvj
jcgG8bu1qvkYDZXlrWBMNbepNagVc2NSoGm8qWo2YG6sdBklu4Xt+ObwdX9loStebIc4mLtXCORA
yIWEBXhzMMuNAdFkw7qXcDprStmi2dHEtKaISOZKejhTrCN5CNc94tKUvh1Gvywmx8DpydsrAFwZ
64rz8FQZKcl1mdXUj1HrxrjxNAu9GxxePHi1i2WuUvWS0dBbHwSAx7uSfKVXRuX9l8mViHVa3dxa
WzwlGk76Me/WNRmtJ8lUdx3xHDJwcfSv1I2Hz6hkXutgOnhNZ6W9G3VlexuH9E6WwdN4VBIlnfIx
IZmz5TxFpMTgq47GkFV0vmmmOjvQUccPoykI7AArv+/5CL+UG6kHWWnOVcR1uy00d2fIyoVDmy6y
VtNY96pPb6XQxNnHNplhrpM4qpkCT6vRawjBc/MpPFXt3FJxXOTlsffJQvyHfK/xqa/1EEXukoXE
YJ/JVeco/w8WTDeI+yLZIoKN1mow49fW8/u3IeXNybVSvqV5FK3DEfN5yWLjmMA3eMoq8ScSiwxw
GY41tLNXIFrwAZOk/o0qfeYEHcw9aezOfVa+PM4RETU4ZIfXbJnQdRhMH7vQTq/EZyFSbUmVJMys
lg8jKXrrVsM/50RF/KSWeaBVJ1WN759BYc+d9LuZTPEUF6UEqctUEdBpe1GoUA6V27z1+phU65Gk
PNqDwuo3Y+V7QYtbbZv1cv6KHSLSjbHXgyy36IGAXryjNzPPSjHFyJ3Mf0/cJmRuT823I/o0p2vU
bUIx85nQiz2WMoIaC+T83BMy8yzp8gi2JxVwOxM/cbSEgF7Q8cirjnrv1lX/mUC1gxAsk6+J0FxC
o3yu1AZrnrPncllbKTzzvxNOFbIBE1w+PmeKN+ADw2uuo37Ittjj0nOJg+419+zuaNdh+qpVPFdd
7BTcBFUJPhT3WAEw9ur6uskyFA6Epvr8Pk61eY5Z0PwRJNk3gDtL807QtHzUC848pK+h9UNmJjes
vi3akx51mGrmEPCWxoNmoFYDj4k2OWOv32QS7bYm6jc51oiHPH80njN7qu9ua6L31GJmKy6a9RLt
a1Oi18/Dr0HqyBj8iPpy6qoWsALV7xV9XeY8pDD1MLU5hWi3KSzGr0gO3K9sTAHfyimdZcc2o750
Kxh+BgrcUHffKochDQaq6iGiU2PBR+3gD5SCamPxs02UK26QooyN4bT2nk+yu7AkU+c5U8SdFL06
GaoBjQ8AdMPuLd9P/bK7ibvqofMoGET31O+tqyfbKCu0m51ndpASTrky3EBS4qugrCr06OQJj48E
RcY2kg/07DZMtIm0ksh4LbltxKs6G5M/hJ8SXtPq0wYyCdLKcB7YLVflNL1l3CFhLiUMjcFxE64u
mUzvSKHjQm3GyM63dAGQqkBsf5h+YtzdtOQBSoyZP4PWVbcJch56pCgqX0XR/OkyzHKbxp1K0tbD
6U9FD4qtXqMMhRqyxKKp1rbSNESHyXcWMdgiTZyV1vSVj6ADJUdzMEgQs0Oc6ksz9kqRqY5Y9571
cDB3EVjFE3J1j28Tt3Hv5/YayCI5Wigk4967yaQTl9AKyYGKhEkYIsr5BcGQHWxZlif82c4B/AaP
g8bQ7ziT34UlMbaWYwo1SSUhjrj5iqOq403T5tPYT945iaZ4zdCj3Rl+qH/HPD7ftUHoElDWquDn
8+aEKtk+K25QWwe+7C2d3Os0x8aOs3m4ZaFWlqxtcXz1mk2MlkZwC/k57cU29csyE/rQYR/gyqwH
w4KfW6YXOrsCIQP16hy7nsO0q8NEssLgHQUAHIB0ueOMIErNcm2Ncf6KR52tqT+0zhOtQc5+Oc7C
C3mucAIGt9tLwqkAaVkwiDocDV6IHyXOQ38lUbchGp4l0JCkr9qTaJklYpMww7cmAmXWtXX3QViB
fiaBJuuQoAKG7ISyn6ykb4iATdh2Qh+5xuyHznqNmpf06so9sZJ391aFt9pMpu5US70+JSLxbo6R
19tygAq4Ngkdfp86JS8M1zq5sa1u0Uu4RbZplEb8wSzqdBOJCUIk4AFpRmSLR6b+o6GCOahwDp8d
KtPKcdEBcRzNcMJmL9tGaR9tW1ufL37H9A3HQAVoNC2885jJ+mnWRgx9hM7xrzSr3DsIu79GlbvH
2q7TF4ctrU/x7ohaQT+M1KTi1Oel7i7cCUwCbIkyW+u6oudyxd7qOMxkBdYFWAzXPQMvt6m9eBJB
RzoN1Qos0hIHCT2VOOh8fHJDMw9YiWsHmTv1Uav0Cvhn2XzqJOGtUcWwDGLRQjHGrTHbO6xdzQWO
uESG7jFVnMGQLkoOG3ukVzwALhy2Vs5xui7jtJ6CyQvlRlgx73gFKi1wvCnc9VnTGhw8kCgMkhZf
wVwbZE7DLMh75IQrJlcLKtchHdclIY178pDU94wYR32b2B34zNlVabnVMHhXJ4W1l5FsXZk8tww/
eiTEkfZWYr49enqcMnumic6CmLi+G7u2NjlVrpM8x+4MtCn3NYa9s+3Ywzptkv5P6hIDOveD85mZ
qI69kTXy1i1zrdmk7ObyrQ1vgUlIAzAP5yUc86D3PevWwX3MgsFPIGRknl+/9cJKv5WmT3Pge4Mu
8Ba1qE9nRv33RMyEH1vhsNNIY78g0EvAcwHvfSKHgxQvE67WtR4YxFlKoODO5IdtJDVwOraNcKD8
T62yYuQ1IzgYy7WOnWcWryi60PCU3khooRObGxg6OYMUeeBTmDedXo948jsXBmvlV89SKsKcwmm+
M760j2hr3CteKkYMKRE1D1E/k8wiG8v7YWrA7jIqge+hdWV1oMHuE2vCmNs9M2R2/G1Uje8J20ib
ywhSMFkId9PHT0nt9v06KoF9ZjIsHyKcSyJz2mxt5u54Dk1Ogj3EKyxwyRzLby8G4RDE09h3q7Eq
QA0ydbafvNqyIOAPE84BYCELcNtiUrtWFfDctQVYf8sxQuqn8OWTRW7oG4Pz4Ulz+nLCIgtKshTd
Tna19WLBSL+wzBTgrzQolBVEEBAvdnohDIQE42rwIA4SVPuRjE5+khqs+hb5asMI0ojFqSHmXOcr
yPlnDFQbVA5dViBhN79PM74rTOXkUcb4SXZ6nKDC81sc8S6yX/xdfBBPFRpQLYhATf6ERgxGOxGG
8RyFDHrRtuvFc0rQ+wa4Axdo0uxsjtMO9rwfc5EaC8t+bCujuzVRpd9MxHcXkk1LHIxh0nzMo5c8
gs/H8aNQhZ31TtMZ45RdSlKobIwX5GImiZW+A2OrSVBmdz3zz5WXFu4RNnz4C5nG/FX7vDybIaZh
Wym9GcK1mjHKOxNSL1w1Kn/jaVME5+YJJwFTz/HS6Vb4a9DkUuB4iWyD/8h1LfOAZGk+A1dxj3Ec
gmNoiu5EbecA6nz9pxM99Ge/4uQjKUF7cbSkZiveuscxSpsHMUh1gPzc/+l6kewcHttmNXh+42KW
GsffThqincn7NXeIPA2kI8s9SAf3aFO318qt8mcxKvuomQTYzfhTfkq0MXUwkzO2I0i53Kek8tKj
RUXzZdR6F28ihC03rkhMvxelZqYs78mjO/s11677PJst/0Avt+0i1bxHEoJS24UT647E7bSjxAoO
l7aYn0vcLb84gQrkZu7g3zWM/mFQktiYbKouvvaF292qKrPZHlBbSqjTQsDWkhLxvJtjLuWHjBBF
FBxc9+qMJdMEKND958xYbTmQlXnGB9ltQ5dbySoqh/wGeT0D2uSnZv0MS3p+GjNWbDHNzQPZEs4T
y63ykOsGGRomEFgzG1H+qoarhqjaTdsa8WqOh/BSqMk58mMRDvRG+x4NojT4v+9xqPARJdX4xZXZ
e+wRcV2nsfhpDHtdZD2Z4XGFmj31p7Mjp+I5GUDGwk6ugjT2n6eEXI/MyW1ORkaXB9khc4IRNuLb
M3VnSQOlr3BcXp6plmuRL4EZLSAlrDiAvPmEmHBoSREeJG37pxtXOHh1HW23sMb2JmjouQnktqaA
b3PKqXGsjwkGRJzz5JN+RNnYPrBd/UU2OHr0Wnb2JSaH+TwgsHgaGWd8lq4n7FVmhBGp8D3rm7jn
aRr0aE9VDZccHC+IdGYKWdubSHlDBWtGb7B5GVUHR4yxe7tAVIapANlmRic8CeWbFXFkwfOiZYmZ
cGb/l73z2rEk267rrxB8VjS2iR0GEAXo+JM+s9K/BNJUhfc+vl4jis3LpkAQ9wKCHgS9tcmqdOfs
WHvNOceUaiTBhdpSkuyontFTu3POz3cf1V15miIKTIWLQ8ubhVcesbrYPE3DCdGq6/J3RwctCbal
32fO7P0aaAa4HK2Vnszj/k1QrAgmt89IPaR4GS+gRzHIugm6lV56bjBKRuNlq1pWOXmtdx5qDuve
ynxUxi7sbZR11jmwQJPb7EjijWGPcU0gk0POd+tq2nRt9IMAojxoX46PsTvZ3+U4T5+wF7vHegKn
sXHSaT3/QdVeOX7i4RbV0/Rep+iXG06F8JkVKaPJknPHg8HFYTz0HvaPnPgGD5q0i65HS4hPjPpe
vh+rgFaWZubBNRe+c8YeJoBEacBpPIPB9VUgIWfThTy5irA8N62pbDrjFBS9JMjmF6BaCt0m8g9K
VTzzizrq9oFDRA2MLw2mu86Nl2ugtJze3ajSC9cnDI0JkVy6SWf3C9sw5jFHoPjBZS55Wil8wNZG
+jO4JOpNiM11Ou14mfMU2+SFk2DYdaDUXfk4caGnp3ZIVxbOm23u2PIpGxp0FFWkl9Pg4q7pAouA
Zjbl7s40q90GmYp+9qCP1ROarSbpjCDqbvPCmO8aKNtNhYJ6z8OL2SXjcbkJDI/2cydyme5ctUyv
7JuBTMBGeyQ+Ligx6ODhhaSLtzb64H4Eob2b4kxce/6gvlMSlDzEMv9AKT1F37bsh+BgcBFsfZbD
l0su5AW8mOlmFijeWq5L8jxaszaN2hPck7yzBqgkyXhPbeQdpKyR23X72jOEX8xBkZ09q7D2XSrb
3TjXw09Z4XHsGSduoK5wfi34Ml1XFFcW5mECtvwToB9csbJvxauw6hikXZRep82I2bETuGnraWhj
QlGk3ftqIXkxFFdlWnvI6NLa2yrIz5l0xVdWkdoLK6+5yvsyusUdmlBrGo8xUb1x+WpDjYFR+u65
WcrxxLzOmrikOPnw28fxf5pn8f8cx5e3svqvkRcf0Ufz0UZd8/FXZ9Cff+5PZ5D4g32NL4TjA00U
+GD+5gxSfzgGx5+QxqNoDJPP35xBSv0hFP8B+DrOQBcLzd+cQdL8gdRqfN/BM4Ti5tn/iDNIit8W
nH/PYPB3255NwEFrjZ8RlxBfxV/NQYoL+tQp/P0zuzCwEyxGd7w+sSMvEWvCtPPRE3PX12yEBnaT
HgNEwUJ0JclbMCj3HmA0LvKtKV9zvIQ+MU2xfkTRqi9dO3KtDtBnjluRb/DSTyx/f/PtscNk1b1p
4vjFskHA/BBYA8p7lqlsb2OKqmiDsYtx2BCkBA5lZ2PDQRlVPuXji4Pe7mC1jQGHKbB9/1oNMbNs
c0FoFuEdez75SyalzX3RUZTxpL1/rlfyv0q5fiMTLAMh+mi0DWU4sk5xrlTjlfhdJ2DWZgGcRONF
h1bk7RpTDsFN8LuMoPA4gR44mV9B+M1EICzBMVa7aq22DWjhnuKI+XOZGjsBz6RJmeIbJNXI1MJJ
D1sefQIZmWYEjyjbAYcE7Qq0MMLiG0k+MNCTmdmHtEY9OXWrryyh5/CwEOTKTpaHYH3RTFWP6z5s
kXQdLKHkH1qfPPS09kWoTqYgwAXAC3hl0a5bKyZoJce3nLEgk40X3UOTqt5a+ioMEQ32uYxb/S71
c+L/PvMf2Q7SBj5g1hf+NprghrC5C4zllWes1rRnLL+bNNg+2A/pTMrmuvjdteFkve1v8CzQwVHM
bAgOY+kwC/HIMsu13bkNQRqXUpatGBcCFg0JthcYHGN/JKkCGpPyoNnfmt/NId6ozF0xTdAgYg7k
4soTHcuuwc94qCIGyBPtYcB6Wyrg/LOAIVJdUi6C+8IDfTZA/BuLk5q8biXolarch4vinzuECmo4
NN6Fw5ymA2XYc9nOe8YcJff4/h2os2E1PbZRZGWnZKJwpVqrV3hoQIMOm+a7bAM5XfCqQ3oUv0tc
SE91087IEvZGI/pziNKK3XVxl2YrLG/IsbpzhV5NRZ+VL/tpZQ0wIURT2IK+9BW/sZm76AXIOwxW
RExTeKtxdN/E7p3LnvWpbXuMNl1ANDTsZXRBTIdCvFbm1YtXJPKB2oj2fUE3uvTBTwyl6mqCD5an
fgTYSVlXZnGnHumwx1dF6IK2m15U84+40Mt3HuXL9WBEM24znjPytkFnQw0oUxqlFejk4bSIML9m
r910Jxx6XCpFMuRvLPjqWwRbAMGNXyFwB8LHGGUZbT8SCq/sjVC5g3vW8nS3TwG1XtldEZHCC0FP
stgBPXbZU0sN+yXM7eumkj1M76icMeskefze+RCN9zSE82qX6JBbiRLm7UrIghvincGztWTBkaUK
JYATG12a5PtN1kQsfgOi3P7A265uEw8tBuXkbc5C3jeV35KqKg26tJ2DKBfZ8NiGDvubDBTtJs78
6SK2bX1HVxjGOtvXyakfoFEWscxA3ggmmhPGKPtJ5ml72c5j+G5SRaBp6TqYWeyMXVI9mo4WhLx6
PNCzE31OlbWi9/DmYOAVsuflkdWPMRbzM2BUvMB2VrCSBX8DECdwney7MlFzoZvF11QeestzL8Pi
i+X14B+GTE/hEX3eo0qIthD0znHYw6Ubb6K6ZAzGi8qACixx/FGNccAtyMy0HUTUALSE1/KaQg4V
VBcDPqz+OM3MReRnRJWQlLIdCtICXqtbI+r2ZWAVe4utjXQ2O+53GQZu8eQl3NB348QbZeMTDN4F
FjHgnctj0PvKrVlvMg79o2lGXp7RC6Xh4rODL7D3VJnsafxpDn4f1Tuy5+Ay/DzXlKfEfEo7jOuT
Y7cUYbWYYzn2U1jKNU3oxWPJugnzt41NdLCBNeazRVfdnPITddToDvuCXRPEBztJ7kWPbEkoSlFz
4LnGti7thYimMwTlcApj0afXtg6WrRdy5GwTqfN9pWKWDrhF+jtSH+EjlSJFthvCSXacF7EPCMfU
vBJ9U9AhD0xyfPJnVqqcVzIOkHKwzFMTZzv32URweEuRIADpuC+qihXE2regTFQ9xLWyeAAsLka6
qIph6Ub0dqjz6rnI+FHEzr7gNPO30o2nS5iF4sSLeSESXtAAylRexduB+aA9KStu2DvXxj8VWRJ/
O0g2LwW88Htr6OIctTBevlJQMM2mdA26w5T0Xok6G4M3QIxcYJzbaXpqTYYOFwP2BpTrLMreeDS/
3wUF6pIY0zy5w1hIlmxutCbKRhsKBjGAK6t4cV2KarR3XJy4JNopR6vfexpAsRvmN5NTxg/ai4bn
caaAJJ1DXx+ERW8pagwAvpA9wHCd+sv8OEDJbXZjQlfP6puqKzIzvffTHe0ZwkMob4IRoxJhnpHq
vXJJMfQWRHfKnUfF3UbGUxSA60mm+WT3SeXjPcJHAOUHzxBVXv4bnhNznyjrstZJjMTV5XAZ/Jhw
Mz7LXUBZy1FzyO2CcLBOCdcLruKknqts2LILdDDzYYJ6Nw2danQXLR6+rV7/ovHtN6MDeD97kogl
/pCexQTBijOGXQfUxx+znRBJG9lX7X5zT4ZJxQ8sTtwLWbtCHQdNgVJOIBJ7EGIiOYww3kIij6iJ
otNxY9eRwk9hYAC4wQLWGF8tPhWaYeyMxrz3SHbhlTOk5DLLaDlNuejp//TXQDZ3LbnN+KKPSch+
cINHG6dtFI6XVjSG9lY4I7k8N55dICuxezPUVoN12Q6/7dGJ3vCyPFpyhXOpBJj81h2a8hBP3FHz
yBFQAl0IhZS4scQgarko+g2KzvmsragSR1lkyroYkuQsbWpIVBN497ZaYMqm6GAZ6XCycSh2N6S+
hl8OXJyR2SBV+a3TRbQURskIbMyoJaVH1Kty2PtjKU+lnU6foQr9b7SoeCACNxbrgk2W37XRorkf
oaK6eywjrn+BfSEEwOBLfoxh6Pcz6M6g+tZhhtiNXz8azoHIbJzGjHMgxWWZ+xcFOu2PWnj0vcSp
RR2V35bgZCYnX8DD1g9DW6Gjm6YeUOL9cb6fXY2TSC/RtaRs/hST6RU457BpNRGPrC7rctqF7Ggq
t5Ti8DZhEO/u4qUBEeaF3kWRWDHAiFHfCttGOMy7EVLXNGGAL6ts74ss5FnODPLd2Hp6MoUb7Xt3
VDu3JJTHwes9W6DJ5w22eq87ewR2io8Zz3915KD1H+c4sfEJsj/chHZT3PZ+Wz/3E6H1hKo+eaHT
ObtqVQn4OatD+aKELZ8dZrWbFlc2dp0hpNoqbxwEdZYA2R4nFn0Pc4U/SaeV/cUDMtvxyPLwpHuW
fumC9kM1NaZ89CBEvlCl1S9Kt+oXGRuszZKybgvTZs/AAdijeK7DPnwkSQxQGqtwtBHMiz/GGk2T
UgC/Vq84YTBF1ks2fnV2zoaHbpGdDGIgdfn8ISd8+P0c/UhSJc8EVzn5WfzAT0YE8J2TAC6zXKUk
MecD2NY+uYmhnKy4WctNEG0QMU6qah32DJrSHM48F8VHyMILD3HdV4eWePmEDRdad4vVwWxJJCsq
NlKShQoa2iaa0+qhmdvwgdf+clqGBW9qSmKk3xVL31OuEdtbUHfVpchaTeCPqQCF8Sd8Q9Vuq7VA
i+VZYs5tQovgS45LiVY5Ra4BRXO13C9ayGsMtv0dJgB83Em1YWEV72snmi5E7pd7LQjbDu3wnvZj
jI7SUpPITsxtfGCmxoAp97uH0QqWY6hU/Frxs8UZP6EvafDm5Sm2fMvBambH8V44kU6pQ7Sstwjy
qHWRrJa7Ta9z92nUA5xA9uxSb/NmoIk189wJd/gQ3YT2ejkr3TYteXr7tJDM8NGQKvyEX6FZ3nSM
/0bxVThoNRHuF4+fd7WzddUebd2walMhlomY1odb4NTikQGXExafDsM6G/eLQJfTzzyo54Mzu9kZ
N98Snwa/tK+5NHgBeLxKfSZlpXegRXOzY8igRinCZ0IbXcoub8JYUm1gL1C6QDETnQA19Ug+v7EO
34NOkz1vZsmyHq/BJ29f56pNM8QplFme7gN88lMQRVm1GyLSELjjAYkEJr9VgmFoHyCHygvs+oFz
4EYs8B6BAeZWxfXGITxKO4Fvp+rdYGOst0vXc3+l1ApEGotPfCiB4zvzUxO00j5ZnfaTQ9wW0fdQ
N+Y8RL18w7S9bolMc0orjvlF0UW2MbPDWUNCbs9CFhOJ8TApI3SQAWHDhhE5V077blt1cIt/zhzp
04ieKQeDGR/OVZQegiRz7jFel+1FXeLQ2LU+fEt4BgWev3xi14kngiazQYXMNQaPyK1XeVhuwy72
v2Nfez90Gz5FJPOhlycOdS/o+rx0F/dAOk4cIc16F3MLrNez6+JcTTE476EWOyhbDuQg6jGz/Rz3
7UMTAF3XDZYGQHpx+5V0kdMdfOV3zcntimy9snffFWCBW3rFQRnmSrh4qcow5CGNxPVhd6PYZfwe
ftmpvTxQjc4uLoudKzqdHdoUsRHmUTBeAzW+DF3fUKdiShTfGvZnajtfbc/AkzrUZcDAopM74pak
anFsk4yJd3D0C0SOb15uFInmbFd7JyY6HVMnE+ChzWK2xnnChAxh6camEOYiNy1f0FBWdx6PYZBA
TfjOTJFjx45BQNrpB4l/s6cDxzDoF3oXzwZnnV2aM0ZTBBFk/+OaBN5ycFIs0OqjjAv3mzyyPAWi
sc+6Sk9L4aEiOH2KiXSqikNCIc6PRsr5knZD8YmYV1yy6Bw/+tWbbwcpdYR+N4vplKWku/cckuPX
0jskC+Gg1lvsXR6yUM3QVSu+9+0A8+TDpAjhe9JM5grPTQONi5k+dbR7TJJqPFX0qPIyqdK70dPz
jUMYvdkYgNpX4zQwFXpjt/ycEyhgLIxWdLSde4+zcRwacMhaOW1hcycGmjxWqUBqtZOfmTU1x6ar
fz9MXmu/7QEcUwMAw4tDtHMSgCuVpirqmJd+eELYOtYZ9t2iizBpaYp+NilWzyfG3Zoi7LkF3vP7
zkH/5q6GBfjL05FPO2S5PIxzsrzJLHQeinLuJygYSbutlT23QF96CViQ45LNzdGU2XlUYXWMMLfe
4jiVfEMTyoUyZcGwQ9DmoKEDbkO3M1dDxv20d+36lfTPpQsiBzkarMxD5tvdifqO6R7/GYsjEeUe
Wmv6WmdavAYixzLeA+dDjZJ7u8ADV5l1fdaOuwrH/JaJxtxFtVkhNXF8ATmCWNbcnwhF3FDCOEK/
du3L2Sj4qcpfdthza1qZQcFm1IPSpxwSlOJhTGBGMN5h2bvioEr2vGW8l8LCmkiZVA29WqOn0Jv4
SNe5PxxjHK+PjjO1B6hllNLVfm9uvRCTDdklZ74eM2vcc+Li2dRFdpg7kjzLElbqcpJJ1RFqIusW
RO2blXji0Th1RzMFlQlPeA2Z9sJUv9RTIo5YWAS/1QVsAcDzbVOE3R5gR0KbwTQyhowA2wZjDHPO
krqfU0GrkcU3MpXogU635D+H2Q2OnA/lQ72MI+NQYN1kGouVHYwvpPiHlVCGNZ0YdHk0BBXx9xBs
LjP3psKvjGuO60CHZ4jrzSYYwanSbl+cXdEQ1+j0HZrDuCUnszCQBfOdA2wSAbybt7LNsHyzOElI
fR0BNnRnZ6LwCkjY4jw7KjdvJrW2CLc8SXBlXbp1Vx1n7ht7a2awpU7ZzJ9LnOkndH/xi1Qddq3F
N3f9Eh8TxywddPE5Ha+jAXwqf1d0wqn1VRupWqAI7XRi9J5/RSjkd2lr1KlGL903Iu/me5FiZujn
4jB4Hcj4mZYRJqkFtAHjsItJIU1iehk9Li33QsPQQ8mXPPT+f+T474ocE8G1/8t6wIeP5KPtoo/i
r6LCn3/qTwaBBzHbcXHcaJgCf0FpO/4ftqdd5RhW+b83+3/TFEgbS6l8ELMO0gLsD7oD/w2lrf/g
asHOwGgt4DAZ849oCp6zpnr/KilIhejEpgcUj6t52/9vDAJWAhOaWdceBMZQaIHB1AbXKsMUylhY
OmcGazbX7aoyHP0kodO5JkpQ7HKaeECB4MjksR56l2pI9WHUk75y4MnEW2qDmmyLe6datsyTRU2C
KVf9lZ9Ph95NNAam2h27I4sK1NJhYFEUhsaClBfbwTXXDQSEGJHzDNenonq7z/Pq6FAd/LbEE7Wq
ErWXNA31J9TF4+Jpt6IIwisqnp1PXdf9nnlhPE6Yw+EGygV7ugfDuOKKSsq33Fd1nz6Aham/BiUs
rmBTlj+JLHA+0YeLV4W232xntaYgc8MUeQgxRHwPwk1eMi9nYVuzroLKNJL6P7q4vn/gM+yPjAOQ
HoVb92+waAAEsYt50x4q92ZkPrjBGdigkxZy1W6Ljnk3VQpJAT1cLzsnCYmHDDmrIjB4smpxXOjq
lhaDmtNI9v5bVUrg3aLweHTHJSCe/ZjW637S5tGD6LtitGWyKszRambwgea3rc46/tIBVqbFI0Ff
esPcFscWX608l2sGm0UvfuO+o8GLtXvLNwD8H3rR1OSHOimST931KUqpXd1Rdmd/R1JOTzxIEDN6
ODjFZpzq4qJiH7QyHMiVBdlYPedtkR2HBVjXFiKTG26KuWYhJJbePEd92D0T8Eh5ri9+7LN/t8sH
6WDI2fMVTM/D2GV3UBmje8TcpDkEc+eforhrj4R/wtcknFyDzQDwncfw2RMg9NweSxYreSCycpTW
VsdwHg69Fc1Ezewh+TDtgDfALzGjXkqXm9zGUGrJ70zisAB8zRWmHohHBJ4DLI+mlXqgcaklFNvN
LpcSn96H595xEH/QdKe3xOm8KwhaONZivwn6/dAFecULdibNiR9/pLGtYWt/HPOyodpopMBq39U5
8A5Bce/Rxpx+RbmRWuvQvKc0aanWwV4zUKaAD3HrD/lyhwtFZw8TgR8swK0+xbWj7yRPfVR9EYEq
4o5L57T0ijd2gJC1XYtAncT6/cUs6hLXyz3r0PS6u4iD2WGRNK1d4ygue78onTc/THBJ5BJZbVv2
pAF21dD741ZXKjs4tWrOnp46INBN1B9EKfoOUKqlqUQZu/CBRS3ryJoA26vgKvuScMP8dAbPvnTH
Ae1HYD0G7jlzQy29lx7LPe5ZPcI+76T94Rp26rehHZYOl7sxw5kzZf1tXSzjTNtvb180g93AsMwo
QTropupfTRm1n1ESUtCUUbiTHRvOgeRA3hn+YDqr2VDRLvjMgRhwaQYOZTGXNVYrsy1jl4E5wlEy
bCfHr5hSTR9SUZlqCKlcLUcQ5NMabqxU0+GnlFzpy8DjbR6JbkY3RTFh6ccL9qO0rZg9YmUFJ+VH
2fdc9/KQ+KG+KniHU0jFtPDFfam8Ye9mjpMA/g0bBaiyCrT91XBvufWIptuX7EPi5ibsy+HdWvAo
JLgIt1xg/StPJuETryhm7dznVVngHDjwMJnf0n7ObmqqhMdtg7bh0ogaqqORXUFKzR2+koY4nhvi
550pUwJPSy/Ark8wOVzmnRycqzBzlh8cNgaulE8QwEss74ZFXcEnoIwDRn+VvsYotLAIO89lzZLl
1kuNeHqTDr741Y/R0uLog7+LSa4G3M/7G/uXKr87Xfs0VdWx4iopVyaKDQemY72fa+vQD7itj3bR
8DZDzSWc1hUL4aHGnbuTG5QGP4fM5E6OLABz2oJ2dtt2xb5NiAPTBPAedjI/6SymLUhVPVb6vvrR
jwOkhBazJGOh9cPmOMupoa5dfOTpwo2T1aza9/MyfBgfYs0pnnRx56eWwnq4zAOrdbzFLkgzUMgu
BaGSBexeVrosTk3Q2fEPAYTC8LFB/FyzexKbPiL74PO4P6eTyrlQ2EvFcTQK+U0poHtb9pl+t0gD
3SlAWgeNZek5C3FO3uXwijlQVGigfpmxeE+yfEITcCa97ccKZQBb7RZVuvT2SHZUTQ5DNrqPodUP
vyY3VjmemLxmvW2T2yLujZGG/AiQMqpOuy1ka4Mzu3TzPYtTJDIzzHiozRLc9Q2Le5CorM13kBU5
tWxLOi+t49g8uNOA3RsNQyr3AWv6ARF/350ulaXUKeyH6LHMVz1OQuSrAuIEQdr1bxDJR6g/eUme
AoGO+MH6PrQ2XuYWlGg1+rargSpjw91pp34pw4E35ppmiNZcQxmb4JJCChhjU2t/T2sOAoIQ5j7D
urIbqnkHPf49BScFNM39aQhSdKFtcaXOqHEPwhxbNP2PCTUfk/3S/Q5klBUn8SYyrd9uVAm/4AzZ
EijfbLNvOo+/4x7Ggle21VDpyZ9lM1yS0M365TA1XjNtpsj7Ln9HSpTs5HNUedaCJ74jOTKmmTfd
LLx8vgMM5SUmAEYdO8rybu1FonCgo/t9wcp1SsPE2qs1+tJH0JL6iUIPDCfU1pFKSMjVZ2KPb9x9
SI3E7z3QyhBwpfrKvVj98uKge8s83e6mZW4/LVx8W3q67Hg3gp0E528C58Z1ILQV/lhwq/+d7BG/
Uz6k2TG52lFM8CMYh7gEbrFmhEiAAxOvvSKGMMkLhpaJCvzRPgzW4NHQhNO5ii19U7OAJa05aRyI
pez1q3IpbDr7i25/ejUM2NwhgoqkW2XnPEf4w/ouBpZHk/BulyXjCrIUjX89LpV/JTo1z3T09tFn
XrWaVXxjcTsbsGFXajUyoxrP70KBadvNNls0MiMe672ecnT3CMgAXnoneubQEI7mMZ9NQMadn/I1
3gjwDj1p93WX5FykeRNsK1UiVZUsap8ZoiCfpL5UX+AymtceksFFxr4t2hXK447MQ2kiv0i1CP78
RlhbV5qALgItk9ve5Q610Y7pdhVkyWUn065xrugzytk+SI8lG4fdYRyb9em3uGTfxST4fCpDnjcZ
b9PtRDM4+z22daO/lM+axYsLVyMuMam5NCyOdZ+cuKvV9wOLLsSxUDXznvQ9Q0FcunNMjioAPpC0
DeXYrHU+DKyMe1XlzkPQNtAlA+V01IkOC2oBJE1eJ2iNfM8aguJhaJNdQ5nYbuiimBw2g+k9Gbvx
sg/WPXYQyQXSfbSY53RkKubIiOaKdQFRiL0XkbN4CU1S/lRNjgSWdjPHRYjlpdnj6lkqKmu77INB
AbbIMM3hlVdVrdiUNd30bB98OknTPHYLrHsJwFQO6Lmj7jPqntPAlrTH8oy+7UsylEU/4P/A/Psz
7418GNMhaney8rP7aJkoPqiF/0xqlEXN4Ps/ez2Ip9nyxkvPGOttFgFXYICKy/1YJv0b5y/jgl13
pGNAfCbHvLCROUcUzLMowvmljGdEjp5nzIuDFwcDcGqzpwwzkaTHsotBwuMhgCoOW6DKmJQFJarC
yphi2hga8IlFbH7huANr53KI9BkDJHGNWtAiR78XT7eNHUX1fAx0FMYXePXTS9Pbc33ubdmSs01o
1NiR5fJ/DRR0frUN/TCr4liofctd6tlOZmikTjROjcTbX8YWyZkmsi/wZzZ4ImnySQ6GBQmNC9R/
+dZH2bTuaU5UtsrFCyGDc1QglE5bPFPVssO5VnqvLGGk92AwtbZH+i0Udo90ArmBd7X/MOQI2xlX
xWHsLGDCU4aTESaPdZxAFNBI4ihemItF9oYFL4UWSPuDvlmqkIFVl2i69Nk/Ys2olwvKgnBV+MwE
d3CnVwr02pygrlDurOAYUZGd7VHSwIYKVBC91Xj8ualkhWnolC2iuq6vo6VkPKrKGIOJklVu33Qw
toMLQ64wuvVGt3dunZjE+Slp6dzEfF/cdy52sSvPMJOw+RKK5T2VBvrQwqCPzwbJNHmlKrLJT/SQ
0JldpWDi3vOFJbSPOORsqrk3wTu75CIgbBZKlyGp0wFm73hULO6HtmXMbNDpt1LNMUWt4azEu3YG
QA1NB3cEIbhSOwKGs3/F47seT6kn+wt7zmWzV+BbTqVQ0OxD9C7GQGf6ERVdnp/n2EnEimEh7F2g
UCXXpe2O7nbJZdlhZlXtAZl2sHYdqc7jDPY+wGqCweJQJR7PLr8IwJoXNSw9tcE5BN6EJwORMsty
svZtShm3q3qa8+sMm6K7terIoO2iJ3vVRSGK2T8FCATzpjO5Gz3zkHLasz11BWOOGMerYdSegFcT
t0P+FJFqSD4h4g7lfdh34JOdapWvoX1xtWud4Q6crP+WMNzZGzDHhLSgzLiIkk08LycZeu5AzQN1
m3svMK69WSy3O7hIkNg5vMa6jPP0zU9oHYVAWIV3UVrxTLSD6t3Sk484IJa7BO0uQZHod02cYucH
lAxhadGAf9LJAQYbB319qbqcx1QRWcEvlnmWgk+fcDNixYC7A2jM/DWHmCTOLT0ADKxiQFCph/5H
L2sUSge/LtfLOT8PkKPszWhnD7CwOJsKv00vQygZiqmFQAx5Kbbi29AKh09yT2DJpfAwp8C6R5+c
uQpnp7ht0JRaclfPGIFDfh/eWjCaxSHNfI7O1LVPRXq4408DHLCLAfZVnZT0OpV5NAHgagR8jRAh
oeboZwHImv8J4YkbU5pUNL1ZTgHUA+hp5rjBlVtB8sIIukAvykKDQr/kVCSZLNQPFC/bx7hK8nNC
TfFCKpUfhzM6zSWvy+6Rn7wPDiqkf4hEPHGBcWnPFdTGj7AV4fM8x3Sk1GGXHGUi1QWWSReziz/D
PvZkRvxhcCtgv7kntm4pRY4KY3CGF3ViZTd+39N8v2gvxwLON4aYnPqXnrPMGGBSapjJlQXwZiou
+7s1yFavxCKM79hYxLAbe4J+O5tk0f7/rml6dWd/oTs18dqA9D/++59u7d1H9/Ef/gX8Esyj+/5n
Mz/8JOrV/VsJ3vqRf+///Ke/a3EpGQZ+/xD40sKf5foJ/vyDNx/5z3/55/9JJUzz8U//CSvxX//k
31CJxPJ81/joDniPNfjFP1GJzh8uyr52JIohRuSVrPonP1X6f0iHhaKQ0pWe++/0VImJGos0q0vf
OLYS/j+yufxd8vfXxeX6KSRebLakDiWFzooz/Pp4iIuw/Zd/lv/N4dU+yD4hJNqDB/1BItp7XFyr
qHYkD51b2408+FJw42hwncqDLbpkn3Wh2f3lx/afgBM5Ideav79+JXwZrreuTw1+O81O9j9+JQLc
ChApn8SApIaXB0u/QxwOzkOYq8c+jf2ryeF0Y9ql1w0OVdkzRsBdpazBnPhPEItkWh7LNMrfcZ0J
Di38XZvMiUmrhIG5Y/sQnBdIErvZ9/ubiDYFvI3YjPY25rX7qG0sKGnErkDgNZzv1tJtpzAL9laT
jjtt3JkmEaKBkejHV6lsVyHGoVsm3uxfIkManGDsb7cJH8+01E/yzJsPUopVKPLX9k0ea+vkOTQ9
bJa20x/CiOzaaErrCW9yc0IOqy8nh+unQ0hH6275lmljHn1eBMdy1gPq5NjexciXCb7KNAa4NZaf
neu1Z0jvzW1kd/JClFIxRNFM4SC23YWEkHY2fRx7keiLrMRmhkDPpOuET3jXud4kqH1bO5HOq+xp
Ni0doZ4gPLNmqFJ9TgpNvyzmkas6Cq0DHyKO2LLoex+j5tTawr8KLT2eB8/IXTNnxDvDGUJc3V/O
nbWWNtrhvhrrau9CDUEVrAt9AN1j9uwEuDcZp3s0sEB2flzqnUvf2g9o5uYVDTfYYzBp9roR6GGt
XvjWatbQjKI5qbTrME+Tx36crJdxrIdDwkhyUiBGQc2R3KOVOsGi1AzfdZ5AO6Gn9h7tla1d4Fj9
9VjlzUUcansn/xdzZ7Ict7Ju53fx2DiBPoGBJ1UoVM9iL1IThERRABJAok80T3+/2sdxw9ceeeAI
x56cHVsSj0gU8s9/rfUtn7j6PF3drD1AgTsHLcXO6YwViz31TTjc7jYmTcPbleC3XXFgAeii0KdQ
4b5wFpySvY+hI1vKAyn3SCUsx3touzQuMbzlnB1Z0oK/6VU0VV1+ICacRc3QtQ9NUQwfuUyHveqH
mog6fE/AScZvsQL6DbRaHiov1Lh2eJ5yHqvYvWPhGhZt9//l/0m7IdxPyLo/VjYMMMYtvVxTd1J8
zdp6YkdpkV7U881ssGW1DSli7pP5pgrVLS8xSWbVuO6bdBieytLz92Xprk8ukb1duxKRqxyQndpf
aZ1eckU9rp3u0EW9HYYiFAVkYpwRbRp1yrS3Wgz3YqSmeS8ViMswF/gVS5ptVFj9BWSZ7qwprF4T
hrKNWDrBJo0/HUesf9BzuF7mbHaPtTcEe6Vob3AYqDA/Vjh9KwNMf5eawXaekybqqD06dMCEduAg
ONCFVxNdKIIOcpfjaVJWrGIeKjbHkdHMuFVUtVCwzCrptGTcTEZn9m95bzjPep6QO/qHuVkZdGl3
vwa1u+yBiGogx751TYPsFvKS2QG0vZljtS25UZAqVONZW07+tbDO/VsxxWzvFn3MCmtyWawJPoNw
iJzy1j84uFzYv2qIh5MLIVRpL+bi6t8Ij5jAkrzkOVUAjOwmyE8+1SCHYRrHr84t22fezMGxpOn+
p80tF3cseKUw9Ssq+/KRdY/npn5xJAa5nXn42VOIkWpTb22rKcoAPmMoRqCJk6yYYjY5QfPASDRR
ENMxHbMlo18bPF8sUwqwSIOSI0wS6mjQMsTAosN06HkbNXg4y6FBW+cJcDAD02mVU85qezjVNw1+
K4yFOQr7Z2UF45Nh19S04B3t3nvICiQokxR/Y8d1DyL9lQvdEvNOo0FvGdWJ8GX2CR6WhDK2ZD7X
DOgDOOzwDpCBMrDlEowWljWFdxIu/WM7pwm/l8Iv0mOjVLubxkGdAgoOP9w8pFxS1hW9jwNFolC+
/D0U23m9d1A2f/O6oNYgwfPzV/Q0Tyf4nz7gho9I7fWNARcFfuoPCkojOXTf27DigTvb3F1Vm8UP
Bz7/q/tZigKzj5+l9YdbdbSQSa7qIf65YzLlwXapKgVm/w7WM2xEwO3QJiVCw6StfZVM7nz05aLD
S1MlVvHtG14/PkOYcF/SpnbmeGiM5lfPR+FXktjqvS6pcmtTX4EbrDmgQcPy1apwnd4a6XYGh1Ti
vqdafxRVaJyXwJuTM76Kbuv7Ew5BDyv11sydydn69+efm5vzrOagCohfqn4748b5ay2298xR2NP4
JmQpn9iGUqEtrPxl7FpGAsIbII2sFt6qrsL2b1oR19llsIV+kDJ0vsCiLsehYUG/5No/Y/wOvsNK
0A6a2KzwjMDyLol04R9gAmxf7Mzzr2rmu1oUpdizA6BVrjfYcBaMqp8At9pnl7f1y1K17UEqQ8dp
n9oel80Mv0XoBvOVLnF6kkhQ4Y5gdmEfKTaDnsR7nyGd3HorEfKkC5BmOjhLW2LUxlW/IwWSNFsZ
mq35ow67/HPy5GhvuiZnD08x7eDscrrPfvpm1qob9hmJLTVX97xQGZi70jK6HgdaaD1ZikSwYdHG
mE3e9EFlBRw3Y3JeaEqpTqHVe7HtzPUtKY30DZRAhkTYFw0BLv4IZq1JRo7qdFTO+bTHgTYgpVEO
yZRmPHkLreRWO5Kimtb6G0+8HQc4E2Gqkxh662ZLEVqQrbqLn2zflqKyhx19UWzy1kxXxHKrej5I
tv/RBF2SMOv8G//pxO0Rq2VqV/2VZG+1NbKMpq7KZffIN5hNB+dnJVvKwubgmFXzemM95UcdFiTA
2WZlMIsFe4Qi2sxVVVRAUoukHuZzkwAcZgE40VYo2BVMp76W2YlxpibmZRH8YmzwX91+zOYtG081
IYIL67FoWSNNi8+jsNaYOWXndM/8rtiTUI07yG/Y8z1wBqUpzlN6zyzVS1pFqu/6jybx100iveVo
SXuIycKmHEdOGKvWMzYg5ss9ufr0hjbhxYPLM+riOL34XNyBfbGLyLlAut+ZebzTP31z/MVNGrxq
cbLFR8d1nTyDZgmO8NL/Zr6s48GiiCaisV7/QA5tH8sOjjUrf6pdWMwED6iR/rpfzNG/1z6G+8DA
msbdrISe77kHiWFv75k5LbDK1+0DLSAZ+DjcXdZYNRh7TWsBbIr8c6rr1bv6YaUfM4CY6CuAfM84
m4tXPSKn2dBU9p7uyyNip3wEq+L0O9nUy7e2KzoDsb7LH8FAtQ5IDni9oewF7FPTAYA+EQ2rdnUV
EDOaMWzKBHEDBH+tPZEdYTPl1Iw10EGTpEoP3jy5x7XuGkTMTl2UGM0HOQlWJNNYvM/QILi94hjC
3GqJ5BAmSUuCDArDJbCDEfl39Q78lXHqa8s4aEdbv0fu7nh676adDrXphbcNRcNrNo5NlM05SOsB
k6pO9KlIw0tHW6EjinLH0NPs00Sll8nzECXwAv5apwQpW8NTPAVS/mod2mpbRxCVWla7/B6VoA2L
tyKnP1jfTTe73B7Q2pFFQRBcBQkxyG7afG/MPHzkgGvPtTnBdgiNITZde4zdmdi2JBf+lxV0uYMF
B0jYy20GaDHmqLf0aGHtNN4NnxIiircTiq7CRpn7oqFrVZRe+7xOvptsSJw6Dx1xsW0ervMvsHDJ
08JbfI/D1MQBDw+0IkGAJt5/dy4kWj8lZIY833BypglD52qRt5seko6hAFzD2eEntJNLIXb4k+u3
xhbuzueg2ZRNK6m/SsR1oe7i3Rq7h5Yld4xJud+Xtd2zqORyc+m8tDj7RSfuaaJyPNTcMaIwzWyy
hd7y5M4eGlapzmVdvvl29W0kwW3QuD0LK4OeORcwfjI1AXpA5+swDtZCgHoCI3Ir27b60ks33mqm
rw2mq/SSrUV28IN0OgnrN+3Wm2EY3BgH8taEunBwDDfjLrVO0V1ujS0OJMAQcLQkBPCUlO64bBMb
XSI7zrl3yhb/gj/uXKy5f00FsTpiqphYpANXc4XIhB+azs0Z5kUwYfLf9Hp6bfgwxTia6y2mzmZr
tkUeZYEuntKFiTbpUvccDKP75FpVcNJmo3f4QMJIGMCJEz7t53EBQsK2trMYQVnt8Rh6W0Ez3Q7T
ZgnYcT4kpe/viy4/BcXA7hmPTZDhyNM808t2Ul4ZMXXkJ7x2oOdtOZ872yMNC1+dexZ1eGzYaH+X
hiRpj5m029JO4lJxNR9cgmKtyQyxujrYelicUelleUzWivcfcat3K2lqwPzExO7kEuOcpS2WAhgL
e8gn1g/EHkz5FFudmnkdIws48rU0PHfnTbR3rqD3fwZO4PzAm9E8MwFL8B0kTgqV1EdHNcazpUd6
S9a24F2JBsSOrcsu3SCzK6C2FUdtM31ZwLWPAbqv3LhD/QeAOfWuLqDEFpZelXgRcsNvc+bsw/4A
+9PDq2S8tnI0ztSjsEImfnIw8F0eZ3tEAMMA8nKH/0UqballshhgtVDODokpiDzRXMxM0aYIQ9GH
d5c5LrdIs2K1ORfMCar7ZfmK/I4B08Xlin/sHfsAKMM4mUQfqN+ehochHHpIEgWr/QxxiXSS7XYP
tX3X6q9jYe5YtsUIbZ9FNt0U8sihyOaXALN6alRUD3SHBNoWx5KfwoWu9ZbR8EeXhh9VFUa2zn91
LDa2ZUeKNCUc+CznkarQAUgYx4y6uMVk8xx39TEMCiSZDLTv7K5nnzTNTngBvYbYo9yFoClVKyUO
aJUfcfake4dNq+nQuhgsSm/tkgsegM+24OFA7DM9LlcrXQFfji3vyDsh120+KaIII+9I2zQOWS2d
yENF3YOOSOK6EMl5Lj2K08CwHEKLmz4MDikuNOpBtade/Z7KPnZlAalJHFEkz1ZlH1ananewXL23
phHDxXSF80YG556V0pQ6ejaR6T3+6wrgaUI34zaQo0fAO2/ejSkso8DhirL6UKzgjDRncsf6Bb/4
4525IxdA0AEs3syWp6Fqv9XsddeqWAz63gJT7XjBn8wmiCCVVTErpuYoA5IgrTPDriq65Uo0RUe+
sM0vh78fGt0I/0Oo2QV5EdBqKYPgkU20F+N2sSIlQrK5ZbPT7WzGvh4QahJaToHqOJhtnzHR9Nxw
5nB5qvA006hj+F08QF3ZT7mqN9Nk8q0vAHUDtAwpUoN1uGk674KKRmyw8aeLWJKAqp0aJrm5mVfr
GwJpRhpVnMLwBchcRBLkkYK/YzXkv6d0/GbHDjjIbGoGcbudiRz4aXvoqc6JOTaN7eSVdFPbhrmr
jWoi6a8JHkAqOHByHQrLO9wV88ll+QvnecM9/BCgc6kUfwOn7bc/2Q8w5MN9L9YDPQlnL9Ar7ab0
q2v9OdoTLr7ZcYpjy3GAxd5cHpwk+xwdG55YbbwTFfVulZyHXwShmwP/HUc9Ywt2r/botNzGGFGM
lzl0rrXDYlrO9712418wRpF18ewPXuBY+Smwe3ecyooMBJIoWKz3SvhhJP2ALEtHCzJkgY6ylKUe
vkcTJKzmaN6EdNhuijEgklf5fwthH33EqqoANzNVr62fM15S1Jy39Jy1HOBxlVCAUDn7Ui0fRhMQ
/rxbAPPp3k5cuuXwwiWbRgQ3v8pE5/vQGh6nrmTUI8zzmPXOG5rCshUz9SdWaTIvWmyMhEV21Olz
+mVzzAy5XbLKs9yHefZhKZfwTotOJuDK/Z3dmzu/q8GEe5Y+ucWFNOyZ0HLOx1G93M2So1anhJpN
JI8RSlg4A5MfxzAaa9qQMbHNH6EaTnIFMVdy4SB3Mh980mP7oSHCsSvnpT7i8htjqOfkw6yM8pAe
PFq76vRnWliYFYVDJ1X/6mAvnR7h8SHY/BHsuV6nnOufxeh7zNgM7dSsLyhgXKixasTmLIKDa0Pw
UtN4SyvWLeNYN+/I/XSQywUTZU70HdtPIzdq0F3UkpK/2IKNGdeGJNZi9V8gV0EzN9f5Smc91X7S
9tuj70ukKGPO0YbmiyEIvYWTnPlBmem+sYm+CVsseBwbJ3/T3uw+8JztgHnQ3pv0F0lieFNLk63X
cZV2sOP39h997xpHm5virnbMhbT+Kr6aNekPUNtfwkS+VHad7UUtmz15/uId6GYTtV73ODqQ2gBh
woyn4yrCDYgX9t5ACxvRYPnqukzhzbNvkrnF9b5bVkGmCfaNOq5N0WzbafoEoTGzOiD16Oepe0VP
LaJUZ/Q+yrJoYCWm/MwO0+wEF5E2xE7YC6H0eZJfR0mljjKVsaFqvT+CVdemx5j3CK9ofkK6a2FX
3ffhoSkmNqlzjAM2/VGsXgEQtlYn5fgzxba5JG9lwJLALrLAuZsgfP4ETEwotnA87IgYVOusGKPK
5UTOV7OD4yUa2+C9sJTWNcQIl160v5yVJ433xG7WjWy4eux6CiJfQ88Dq2aDcO83JXLzZe4ZyUQC
qkJPlnkGt694OlWFS2JefPEgHMqGEjx1B34LdZs2deHc5e33HDDr0Rp8iLBZw+hIQcVlQu7bK8Mx
n2zlpTewrc6+zTq5J5HIAGT5rQU0hDxDpJvKu5h6iDqGP4dyqG4j2VJcws6zXzBMp6dyse1XXvyE
QX0n2+u0vfsqiXrsbVk5bTybUAopI0CX5/LfcPThT8XthNXKA2mO33Kxs1+Bz/tik3tT8WZbwXUk
GM8yc1LItfhzrdn9TkLT+W0Cqc0iO3CSP0mZV6+MIZ8SSgUOw+7JHvtX8Iw60veF17hOh2Fdmrhg
dj7Ps8njCsxlS4mlPhCzULC+cnEIGhAqAEPMna4JvKWsB1HOi/URxNMMtYBySarTYJiuxb2YwXRZ
0PmYz6taEEaUzUMAbXOLfi1IQw9veqEb1bS7H/hV222HQ3xf2J7/sA5p/rwYffvTTQPcaGYipr2D
9QJ4BmjQTeNxsUmT14zg2xHbPePOCJAlGM9zLiUvvFmeFlv8zRn/7zyLgXap3ORNMMOw02MQvsKT
4DAhqomVcrDUxb9b6sT66KfwFjMRzFt4hE1cD/aXIsqx6bzcuc4Vs3EnV+fcQ9D4pf2U4GEd/gwH
KzggVesNU5K7XTQmFBU6BG6rpJTHWdsWldDwcBob266p3mQJBtK2ePyUMNLTSIDpwMVu2jG8Pw05
YIYZYSoW7XCxGNT7YNCE5NlK0q6Eglv0ynjQ91YEfh6vWePz5agqiFzgXRsKi3Q02pIVfsdfvmww
bDk3zIfmBbIVFarQw09WkHIpLoqQzRCmlkHNz5bd8eHsKLoQE9lkOwG/Nw/umbqDF5MPEcGpKe60
CHfzUL7WpXxYqKHYZj7uE8oicsJhhXU3RY3EhsBMD7HNhMO7kNWouxtCzTsZf319DmtnoFWW+BwP
80Q5iOXzQrbCrnlbSML+qT3B1rLOQro6upUfr9cf4VbriDA6ZOhlLZq44bV4HbI+eaQBZj0tgx9A
JRvKbQEB10v9J7+XYQwT55cvrXM5Y2li2713PQwG3eI8hcxFlI1RlNzmBBO692WUH56uWbT2WInb
WmyM4inBoRKtCCwvHUjArU2N1LNjghlu+3ogPeRn754t/QOAMUaaucfGCIgvXS0RtVnj7kTQGPtq
CGm2fZrRmq4pdOiT5LP2q5qTPNmW+NZxGXbsXkaPT0AKp8UaoVQQAajMXdAMp1S7QUTpzNHyeZ/i
FSSFFIAN5bbCtAApcuE4qSik2Zqea7Jy9NXeaauQH2NQ2e9mm91ZomPjHYO5VL8pGiKU2Yx2feEP
lScVLG8DxmsWhHZc8367hkspsZXo2fgi21XtOA+np3xa9TFtFEQCSDTmh5d3Bi0RlXNZeZTfCYDh
wmbHTmUGOBxM4CWVKlQflD992FVfmRi417E0CDWiUFF46xmje061UO6O797Q5zdtzHyMl4IfAhrT
lD0A+5aYD6m5osiiccJXAn/9kSw/3ZpVZ2rsYcJ7GzMrUzT8sqdSKRFANpmuWzMN2uUt9QDIbZ0S
nupmTasJIzdp8IYiCJG/4fnvjshRjHGKZqqYG7V7EAD9oSvUjc2vtSl4C4tJf0ihvjL8ztthGb64
lkOLxHchI7O1v0oGPgS3lYXVxpCsRPrRDM7aHuCSdDX/RCNQ0OsCIYKR0vQ+FNl1sNa8Bvqr4fj9
b/wiudhSfVnHzai9P5KBPF41Vq0gSf0rKuv8AFkEfINGE+4w+sRNXnpPI5Y3Pu3QPsxdK/jpEbJ1
7i08HfoTRZgUPIT3TRcdE72jv/nujLEaZogW2KcOpEGe/dlFhiwTavGk6xlbSRr5OhhYmdisZVS3
V5SNYAfdBkZbDZuk8HG8LxS4pZHw5ywSVuL9xls7AMApzfbUG6Ru7CHEc89W9iDm0rmVcCb7rUiC
CSma+h2wZEyVJChNh5yv2c15jKK4hxirqAQJfqnMTGOMqfKRB7/drUY4HkFI2TdTZ79CisUAfTPT
EovWn24zUM3jpu0Ow/bjmOkSs39FWp5QyibJbMpAcc1E7fJB32/RU5vl2PUDiiC5lbG13tKmjfRS
dPswB/JDS7YJ1hWq6SjHKQJ/JejQgwOEmW07w5M6cAvM4t6hgW1sTN71o/+TAj1Mt1JhyjZD3V1l
wPJrZgX27BYJxWdSee4rYtMaw5JOniY15fFALcdnQr1aubJ0KMKEhsCuq94VpUxbUAzmhnRX/jRO
obPXnl9W2y5sM8LmHAx0I69JeM5ZS3LrKKR8zUZzeBY2gs+OUHRKe5Jt5mcPzCRFggH5B7yP3NOA
syWrM7/MS2Edcm8krzKHXNDqu6qWH0GCI506QA/vJ7Xg4rETIbWnDYYAbOKt+Y41n6rX8W6JHDRt
HKthRTKHfVR7zSs3M6aUwe32AQSAq5ykjqulzCMQQT/R35Izg4i8lEyTUIS50Cw0OlEIxquWsCQB
dLS/K1RR74cg0Vml5hTL3FkO/TAI8vZNd25WK48LuI7P2WTrPSIDa86hmYiPM7W0+0FNyUumZ/+B
dSV/FYkoKFrlnpGmrUe+qy7zgbs0VysZvS3qGi7JehU2NgrcWxe1zoIqdEVmDvWFOyCq23zCEJxv
A3fl6WGX+pqu7nhzxubRSNdIsc27tvPgH91SSGpkfa8+pyplGdfCXOMXdHqMJS2bMA7qv+3kWySr
fCQVUTvjnxLrQDwYZXKAicLXq/vG3gPotc7uPRhOPc+vQmPj2YUalA6gb5W/8/P9udit3M8sETi6
0NVx61tc2+aEtFn/YbokpDPQI/ihLVAFeGdN3v4a/c6MXNcB0bU6o0/KDKTKpqN0jIiMvw1aNX4O
i7M8SkAauAthcwwZFwN6a85CeX2/aXyPwwbNnPkfvlj+PLRBy7pY9s4NVm25GWoTVlEY53QTkrFb
3qzSK/6sRpW/9mEn/qDAhRdvtE75SG5qw30b03ZgTx2mceBe24607oeBIHurrZYol8IHT62NEZkF
vJoplAMpbVjC2PRyetU5C7IvdqDcPOzWuaX4T2E3zSTWAlXdEP7nY52psCHq6JrntMr5aBO92mrD
I4c9GJ/w7rqfYca8AbxHm2e2z5w2WnryK2FZyTUBEM/emSwJA8qjprke2x8shj5pnfw9zWHJMe53
b46dlce89bBcc5zmHxb3zx/DAqOUt5C5HAhMBhvuGj23KQqZ4KzcQwphrmGyzeopWKp1m6jAv2Ed
hZ3TlBM4gUITsnSCIbb6tHZj1Ux4MibMvcAW8fRul9LZ/nPBKVhLxKvonlC8rE2X12SKZUoCOTBs
EBWZEeyNdrafatfUF2GgvA68j54xeRggMPA4M7TPj6WXugeSgulHNijnDXI8TDfjXsDqwLveGKTt
9j3WfBgzRWdRoTmxdzIxBSJ4DbS3gWYn+4GZSKScBDlY9WqjoYJTjJpG0NAJII70oQ7KxuSjVt9u
ohpyZeTThwnCsv8rLXy/Q520VNJI7AxdUa4727FeBbv9bW5a4d7nbUoz3VJdjNJ+9DSVU71fY7z1
VvFACw6No+RIf0Nna2m2DqY78SiZcGh7a/gAkaJ6RqQNX2zDnR8RsP3fdpCps7H46GpUip1kJ4Du
p2mJOb/OghdsvsZxcYaPnj10selGivtIIBYxTppuz1GK34W6gxuV1M9Y8IrLzMx1kET6IncK3iEL
ZFFPOQCjZDDLtxa/zuOE7x2ywejKdzL3aARkIzA35brZNs567XggtqpIsIJDuzz2WXE3WGcnr8pZ
RyZBcJLAZBrwERE4mOAAKEEd2WXo7QoMn0/EPJ2sBuPMKjv2m50Q9FzCg/4gaobrAwrpD8N3noMu
eQvnZnrMulRFIuEWR80W8ZEJYmU1y6cMnTDHDXVwA1IJwGSWM+l4Nq/lrB6oZOi2qiuODuPsEwAr
9gZcoi7hUi1gQTF5XRsR1gf2fl9B37y65nJOUwSjwPAwNVeINjSUjgeZzOZH1rWUWpZVuPdct3qz
RsGLa0CTPiqpTlbtj2d2AnhCXG+Ocstu38uCb1RAhRD0R7ulqQKh2kR8gHaPX6ndtv5UximIzzuh
DVsHSN5tZbZNPBEDxpVKiai5aQgmbzLXLJ94TWswX4CtdpwcdYwmaZ5HW383ncWup0+9Q5LT/rmB
8dY88N7ytvi/lhN+Ahd1OqXibUjnh4BivgPwtfUZi2W5WzEs36jDU88tw8XzNCz2Ls2q5nMpNajD
bJz1GVZYD4raCv6SFEvedV/Mm2zlUspGmmJLPvnwHZGXwh8qL5eIHie2BlltUNNjU4SmvOwoJ2AO
VSbsJyv38wdH9SzK1wzuOkCr4ZHdQPZVTujJmxxkBdb8YsbuYPnnxe/dD6uYZt5na8/WcPYgLC0h
CeliLvFt5egJnht+tUnonhhU0i+WhHe8zH0V5bTyCSs/hPSwG71TMHzcV0E/zARXFmlcc/hciaQQ
rHXyT/xp643dhrNLw8TYrV0ov3GLW8/L7KMcJHX5msgk2yELcL1Xxh3r1YgXEvbmPhtbmiGo7nsG
pki3R+OO5WnIZPGX0LR+URyvCDNLcmvD1vPwTpTVoRooITCoiD+NlePEVIShKvSBMh/Lcpk+WbP4
VyQrzOp1MILrmdz+hmLgvlQjF3CjXoqXojZ+k9EJYr/j/BzL5ARGHQi743W3tJ0t4hWatWLBZ2aj
YEpzJuYGxiBKZYd2tY8AVgjM+Qa9IWQV2c9PYxeVSjTx2rHIaCRhXLrTrL+2DJIzDp1GbRoDwBLe
8jF79BkOYsS45ARTpdxPXVvx2HLV5+rMtgA1yn6eoKA+yxDyVIoR4FUl+QunKzOPx12a49c5YFUX
aGlZcQahNL/5BIPo62oQnoxyQLNmrI2YkYsfIYUrLKONJPvQBBDlJizlxNqB/faKr4ZXVG4UsTAd
F/y7v/5SUBP3QYZ61w+Vsw25cm5DCYgRdWd5YRs2HDyPeOC03nfvjTn2fzHXLNugTr2XtbXWowa3
tOXn1m+4dIWkzCefnQZKDB/VdjO41cT6pKc8Fl0V8jy2vJzHEgW7mh90Pjzhgh9wxg06Jq0UxLjJ
mDnT3NgrpJuXXsPvT3XvHUyXcpJtH1iTx6US6P1KPpCTYlV06fI98F1oYHnp18daT8lDJ8fu5tLn
S4cB//9Teu7Y5Qs34FtuffPCMa46Wej48UvIAxugSbyD/jteMSnJ6ixxpicP4F9Qf3ttnexmLyk/
SyrwkFCwDL/5JfqHh/vqUatE/izCXj94DqILe1rMsIU2St5IUj39P3HC77/ru428/8fp/p/O9397
3f/zX///MMLjWxf/i6P7/zTC9/2v6r/AO/75Df/2v4f+v0zLsTkScHbD8Lh76v/tfw/Cf+GK55f6
+HJd+5//8j/977b4FwUSHlgNGN1IuQ7W+J6dVfY//pvt/suysb+Dqhee5wjL+r+xwPvWf4V3BC6o
csz5FmthwON8rf/NA19nYjIzAypAQmZq2pizkVm70UocemFqjJZ8jNbykTQpmbIQI7/aYksYuKXC
06ExeBBUNnWeKbpoxf4Vq8BcSXRBa6AhwgB4hncb9HMQdnpnW5b7vVh3g6LBKX5yvXKE1Mgug7Sw
zo++SneSFplHN1f2U8hW6SFFPOVyaSj6F8P82KcJmrTtvgRu02/5Di57s7GgbGMiu+LziXsIudKd
5M7znZMAgCAain3Wblq3WPMUbApeSGsX1LFggUx0b8Rt62GuqNvwmqSG9aCNPgUwlP2EEZqfFzJx
kcTahAGyD+Pac/7wIvW2k+6/cIEFOF1y+OS9RyJwTpYjPqThaQ3D6VRQW/MnbCkiKxerPylr+CVm
IziYwqQ6b4SqOYV8zSD3vxMtrIehnf+sI8KwSd/axpXGg98KNJ31N/fwo0GvJaHvH3PrnLkdX1xG
WaqJT5VLR3Nm4pEUrfHlEl2Nk9n5U5bNvncxyhf+Qs31Aopycl7TkGUxC/F1B5QzIRdQA3OyoJFk
3rwbhPggRHaRZFNB6EZTP3XQbOd2R2V7QKzI0GdrIn9oAxOuqnrB8OjucYpz6SiHx6Jr7pQFuih2
LpmFw9S4v5fJwO/R+ebT6vj2jXQcrrLOHX9WvY0/t/Z1+kWIDd8C6uljQep7jyMBtAH0o305tsGt
oln0jGV5+duFA/QmN3dabq0zde9NNV26rLiZVpP/dbsJe8DSEGgkRLWpevLhXl5CjivGfyiVz1YL
kBYj1NZKLU7I1SBYzrCe8KoNHotahNHkr89BVj8Vwtwb6SQe1yqfjp4uc5qIBgA2cJTsR5zSbUQ+
74uU5BwHRvmT1kp97YUPibIk1q/tvngWYsQkjxPpTKKZxZ2Pj0s2E3qis94p98t5KMTNgoP/PKR9
b12ESGSI+KKsNlKLkSPRukU1xkPF7L+lsBd0lwhL4NoSnMUUlY17r0rz75gNpI6q3LlrUqFP5BKc
s2FI+5lYKBxU6VQgx3XuUEAFscE0tyOxN8kxOXfpjrDZkmKvyXKfDV2diCgpkwmxT1pc4enEAKqm
0g4VzHDzajiMtLAO28wuoF3Iws2bH7j8uhyVTdHbAU4yuN/IzHu5jg4Uxw0h/YVgAUaEc9Jm5RQH
+KosmDRdFyA/gps7Fl5p1H+bIl+plpUoRTHgizIEu2tInwElUYCdExKnO9px2A6m2vRgbDn+Quu2
x4pjR14xz+KkMoL+Tw2Ykr5vKyA6YNULq3vVhh7xcJK7auITEw6S/X3aBUskEytvN8RNsvqAuQoI
sK0N9k+MlkBegL6R9GGc4pslCgMzh7ujQS0FsmLyCRmQ3G3KwDBdqeqlJ8jwPSVt7WJfIJFxZ2pZ
xSM0/ErG6+iqYFdRbpc+ZIDwljM7oWyfggYedjbeTaLffrA60ZJyA94DSRDWEcvhAOCrM8Y8Dkmm
Qkqr4OJvXG0xEsHmxoM2Zs+hAsiAisMXHJsiQg/X/EWbTIww1+bO2/wHe+exHrmRbttXuS8AXSDg
AtP0jklvJ/hYxSK8jYB9+ruypNOnqqSWbs97UhOJTGYiEfjN3ms3rGFzkoA9KAx4U5P4qsQZ8z6U
VefglBibq65S6Olj7IT7YqTekkxl3VhBc/fUQ6r9h1iPL1Dnx5Uqm+lVukPDpi3Ob+3U4thLIhwj
ZanvHVI/N32v5GskGmpLWzvzm2XOH4PXIWw0u/IpNNoVqV0rQwEvAieqjx6/lyAeonHJkkbz2heQ
8PvM3gZGyCeKiu4iBhwM2iEGwtdTC4DQiMew20ZDrcWq8tmDQK0v8+HIqf3Ua2cEcBc3+j4t/Ny+
C/MGmmjuA/lhkOhRUpZw/Cf2CSNJocgRd7mDjaM3sWvc55j2P1j4k2E1JIWKV7J1koe2Ypn/RkOg
28OMKoi5ap8ob9GQr2cl2bSjrfkCeiKUCyo1IJXwrgL0yvW8sUKF0G1U/Y3W2PEdg+1mb4/jlbS7
2ynrnH0Ye+ktTK2OppQ60ZhNn9laPr4q1oa3tWFix+/xbD0oAnRup7At8hsIqNWXEgrijliLYR/2
hW+gSZXFuxcm1q3B8ItNgg6uR12APkbGJ4Eoy+45T5BOY1kBmsOcrQuzJeQG+SnzuTnhXh4+Q2pK
kt4Io8wfkKVTzPoGinphe3G89iszzT8T6SE2JjrWBOTSe3cgoLznYjDSbdInhJYHUPHyk4U6nlNh
itdGGbQPVdTUEUCjofwmfFl99iiyX4ZGIHuFsR6sPLdAhstoh2Y8GWlDjYrVZ5QrA8sx0OEHFIFN
cSrrUWZoeirHY/lt9Ok6IGDnBTKyTcS8CsZtWoeVgN6UkfZktP2tlwn5YFZlfioTZn5MZkP/MW8t
923ueILAwuaQ9IspevF6g137CHX/EgyAOgPP2UoK39uFDMXXVuRaSAqF3veOyOCjOEwy3G7AZst+
sc02knE6kFd4fpikglk9jqT7nJmDMPUk94E5kxflM+ItA5n9ZTV0SUTvG/KNWxNjHfuDKV+TalUd
lB47sZltW7m3bdrnL4WK+NLBPLUvQso+tMnVDRD5B5CE2VWGnQ7RoQqjpQMxef7B9fHKWya5xnTt
eiwlbol3ZIg+Vik9jMFAHBaB7ZPgUNNCRasBblK2AMc22ItE0qVvI8IQolNSGt607AllubXQoEQH
WPyueRrSdGaDTrqnZDRR3QXVWOM8So2puwsbmM9PITr8EfE6Wg/QxSLAMlFm3PIBu3NE2HhhMnyf
20E3wUM4FnBaqVyYmoSc+x4aoh3ubnsXuHJcgekXO55nxbU9020zupNbTGSsBCdGzCsjVfNJhY7U
i5ItyTFBKt0sa7QMA1+Ivv06So90GjRBlA+2eSa+gd1rG96Z3PDLViXhWnsMSRXhSy/S6pojMaLR
Y6oaAtAUYS8Iz7zowXEjTFxUNyVXuEJkAxGnPjGhkNkW9F4a7Fg5Si5rrV3yG5DI6BuBUv1aIj5H
Zhrbj86gx2abJ8ZAnJeXcSwX2vMyBGEYqckLsR+BiCVc5mnyo3Uwdd39aJOivbcmSYco5uiDxxyH
ZdgOjPT6IbajXZ6Y4dqi/3ivrSI4TgyYbsCg3TS+NW4V8hCc7XVOpM7snhCyy1XZucdmdhlcC/0Q
eUlmkbsYEszmzu88MNL7yBdkUXR1vyU9x2o2g21kaFNa4shpZZqPKCopwSo3JPXEHHZ5X/CAqsfY
Z02ctKm1NpXtbBrbv8yA0Ou1W3bUUXjlxtj1VDUwIx5G3BUZetQlrI/qa62mr7oxmLlpKynwYJrC
bVgn5kj4GU4BIv6hOfsLuy3gwx+8tn/ueH5JQLJRO5oVzo29U+WNhqCk2gO5qenDf/4y2J0Djyx2
30fG/LOlt5+LsgpDY9j7Y8v+GQMEMRBTA2rr718H//Qvb+dyfS2HRS4dIf3cz69jBYbQyBW6/dyV
3Xt6ecIDQ6UjiCaZAygzsuRbTjAm8YO6EPIfXl1cPq3/dS5fPk082jaM9UD6dLe/vs1kiGCYtbbe
O21Sb9Bt6HshyTnCUzvzJVX5rWyQGGWYC1+zqWLMQTXRm8HDTHXhfC8zLAJ1L4VH6VH3z+PN6FfV
3gN4VR9MM4LGDYuEqbAxJPm1aluOqsqfQ8ZaMeBGNzj9/ef55zdEJ2yS+ck7k5A1L5/3D6bwGTWq
n1ddvZ8TpdBEkCpbs81KBnONzxjgOce4tPf/6YvaUO4dGHtUpp5/yQb78UVbvIdOz4SGF43mk+0T
al1oZofRIfGnhjiy//s/HIC/uAEuLf3Pl4wXs8yAN8hvAn3+84uRykHmFgTK/UBQy9ptxceYGZvC
HPU/vKs/32kIzilDpIt4zyH/8ecXwmtl1VWTlPsEGZq+dqw65MFJQmi3+/t3ZP35ogFGdegiKRMF
wuNfLlqUJU7qzm5OvDPD5rijpAi7Mb4A5QKbrCthC6g1jBcDHnmDus6GznZuMOcteRDFH9336q+2
EBmgiwmJ1fheH7bfa8W//1P/9JlYluCrFTDY4WNxLziEH690ZDiRBsyW7LM4Nv19LTt9M1YjzdJ/
/DqkHYBDJjqOlwl++ewhKKsmIv9oX4Y0A6uWrXNCdn2eH76/zn/TAh+mGsjF+0eRlKtEEb/1Vf84
47OF53Fj/eu++9NU8OG9SPL/c37/6P7ix/5gY5i/AXywfclATwY8LPgy/D4b9L3fhGUyE/Qg9P6B
/P0fNob9G4cuYzuTZ4svpMvt+8dsUP6G+ohvFwNF/3LNOUZ+ORYYqP5O8/iLY4LB5A/HhO/4nAMw
KWweXQQSmYJQwh+/qW1jy84j5HjNAXhjhQW4XaN5wzEZLVv4aobODg6jmB22/Pgfnio/3yRMuF3e
hGnydHEtSlbzly9vFjIgyohpXpON0CzQS5UnmPv58Yfr8Rdv0LMvb+F/T0Jeh4RG4CQAmiUGfj7O
n98icFcTQx8Ubis35l2oyZs20NZcOraRpaBPKGKeihPYoniL/CY5aYA0X3HnU6BR85Doph3FghyD
0rl3MVaPM3stKJsjM9HEPjQt/J2kVQF7XCVXXUvNusO6GU34WMhPa2v/Fq2Tm13VhaSj97wHGxfn
0o8Ev9Cfq5qR2mBdOxVa+1XnKUwTxaVFwsMBLmDeXIJ1NJsBZZ99QqMeLLOhzq8Le75tJ5hZQirj
wUdnjuerCq4HO0JjxjPhKsou2Fp8tY9p0jhoucKc9gu/eJx73Rasj3tEpsuSlOADLFfoOJZjaxjg
6XAYZjsqQXHysdgoVOtJhw2OUY59bGCpgWf37XAbJTSuLdEfxDrGk3yToZPaoIprcQc+NaqXqggQ
BYIyUPQi027qU3UiG9eAkNjExS0pUD3RH5P5Cs2U57Dp0k0uTXBg5HeIge4xiuKMdfZQ3Je2eu4a
w133oaAxwFAsEeEEyNl3Udqid2+xsKWN8eZ1ZnDFMhxPd85oc5F3Cgt0xuwkOXopkNrdXIwo3wC0
crGy7NjLsdjmsZdthYxYGKWNrE6lwGYRk4ILziIeHiLyn7fQLiP6CgiQSkGJnjsut7Iy8z0vPQwP
Za3AF7BP2mbYNAti4k4QrqNNRtzLFRX2thI+2inWZxPWFSV3llY0t9yf7mrUnXWakiGulwV4rSUK
9hAxqpFz+WkuSVarnX2EenhRosDY0J6CgdadevYiSz77WWZe1WnNdzpyj9Jq7IW6fM8RO+fLxgyc
K3tqg4feI8IbIoZm8FuptW2OqEeKoIaF2zAE5AqqB/J682Dhum12LyOF4g6hmGtVSwS0jEoIGbTQ
UsA6e0tlZ1ub2pMsvgEJlkQ+KyIz1jGLsWzjzDNSAXsQDnqtJJlZZfv2l9IJ9d3FzsUoO9X5dkIk
ej/Yof9tjkR77w8qeNSApZvFFHfGW5qI8URZ4TzYGY/aFY/Qxj87MamWF9cGEsiwd8NhY7Gh33qB
m5LWST5XBCSKSPq9zqLhSz2NSYf8RojL1Lu13qRU03Zmq7DkXJKgHWYv/aKQR98MRZqtyC1iKpII
FxlEs1clNE+ZD5/zhXhXtONABoxtfwJOrT+SUaW7KXKTqwZt6n5uUTzgT4RzHTV2f8YTTzaQm4C1
gpSjWZaK4Gsa2rTxlQdjm5HoslTDQOSKKtxdZjaMbRJLqavZauP1ZJfts81ka513g3U2MUy/h3Nf
brqhSj6FZ1lrRH/lHfgAeV8NgfVeRLN3Y3Vztw0vQJZplOqRLrXa5r0yT5pg+Zc4dZsnHHH2IzYy
Zx8r2NM1GC1sO1lP7kHXMReolcrR0pY5dIeEWVP7FY4urofYbiMEI2kunUdRJdVAyIsOX9o53Ibp
FH+Goe35O2cyu3mNSKyad2IwZnKbknRaExq6kVNsgxCCKse+pWvxSCGpA/3n4pxYKMsIWrRUmAn5
po0YrMJ44kDyAyRWRsJpzDyVoVSMjTTd+PUwlSvb7gpiGho/OOl6Kg6zzRpm0zgZqECUSnIfNtJ6
cw03uEFn0+8b0w+flY1G7LLvGTB1I5s01mHYc9v0iRG+xx6bcPZewXCMJnd46tJSQ76A7BdCWsvm
W6tJwT5aJEGuwygZ3xlt1mfdxkoc4kIG696YXtmJlDCYIj6Yss+N+7Kz62/Ev/V7NVfxevBF361N
9m6EiPeTbogSLMoXvvxztC7mfoyWQEfRaGahZr2DfhtkcTP03rAsEO6rZacbjWZuqK3Xse7tVa/j
zNoUrIichdc1+tUoB4VInJnac+HU5kuTkD9noiL4mnRaLG1nDlaBntsNOWTqehi94AP6UHU2SZRK
sUNo1FkWxoV5mc9htZ2isWcdhrTiCMUZnG1U+/YDdhsPNKjDTb+oHI2GIG35A4psztjOxFjX0Qqm
dHZRlhbGIlPILTkzAX4hSMH7B8iKRDM4vy7cGeHZM6sWGKPo2iFRYt68PHek7VZPPHpCgvaA4LLM
H/v6MUs0y6EWHT6XDGVCiqLNQY9wQg/KAw+EFarJxteHviKRngG4behlUaGUAovXkVDD7VAbCFdJ
1XVvMA4z94TnYV+nzDrP4PLaZQQm61RMLQBRAKhHqCDDFhcR2iqyEVIWph5kqUVQ2/GdYQWWtxrM
WRFg2g/m5UbHZsEgGXWOGciPdCr43nZTEqAMpf/7bAl1A4GbQes10exulBlRbwWVjl8Kp3dW0mTB
aID6srU33sSDFdzN2RA9WdpNF5WYUNwyaS9g02BZdUrmcLEftCcVR/G18hW3rfAM5zGvmh6LepJx
zyStjx02Qu6Blc8kIxOs5sJ28JnKOT5NDpa6tueB3DWkdpkVJihfxA/9mA7nfq754dhpsrOoDAu0
f26fHfQ+PdIRI7kbNWKVydHmMQ7JEcIDe9GF3gHUJ6yxmq0lNdkmMS+TVNv+SgKZyxquBVsQoee8
JHc5ac3r8YMAqcLCP+hqqLZz5ollgY5349T2cIGIl/KGGFmCqzxlkcqUCUcAdfDq6ogIV77wlBug
KfKlog6iEPosiIk6T6oe871MyKf0MFSwfrDpIgHN8gftRVywAROgEhaJ6tpv3UQc3NaRif7aybgl
WU7jOV/0bV3v/F6YpwxwEnk8MidfjM0DGYg5UFEFTgf0zb5MPDyBCJap1tjrlfcOQNejmvTcLUlg
VJKSz+V5WHdJ96xdJZ6HxszXfiRn0CKUKt5Cex2UflNKJ1mnjel9xUXg3zptODxZMyXlskH/eIik
jb9TI3NJ1q2CjNBArBnX1tBzPxXsEW4aVc/nzGz7HbYb5+E7rdEUIkVS68mXUWWtuRytDjx2JrHR
7cMxcTL+aI+/pOcAr5cRLPRkATuu/RZkgtVbP4vC5omeTvcu4wCs8WpErlNOqYkoZqzaU2cEsVpP
bJxPcVrUn9qPeBnWjCMb6SpjKBaqmD2Y5TkcYgnCFnVqmyHHcV44GA9b2OXlMmf4PbNfNlBgReYo
y1UaWVz1epr5gNIsSHICbRnBbtwpFvd9G5JATTIshP60F6I/BF7Ty41lZRQdVR4cut7PJWWPOVIB
exidrcnJDjW7WEW1xuagngfx7Mem98xNnfYH1qL2sbDi8TRz6GQc6Zn/SEpHX+L/IneBDNChGQDj
kr2ykkQ6ULKSz3UkWtZ4Z4GVjETnzsxKfZMyaj2IUiXQpKTqN9r0CIjgmgQtfIcwfM5R7j0BlSO6
aSaXT+5dPUT7HBYSpNfG+GZaaQgs17qspnmq7Ce2Z0QUyDh9IR7BBPSSGfqZq11fOdZMpNdcMKZz
Ocx3ocrFcXYwowVuqE9FleYJCY0XfCZvfT3xR3TL0XPGc927OaaLOGL1mFIedezvGvdBm4KFzj90
fX/iMV7aPhMSom3TD1uO84sWhfAJ3eWJo9ehZeb7SkdfyqS8b6z6xQ6Ke6yBPFh9RjsUmW9sEOff
lUv/tuH93tH+1A7y+oG49IImfSfQyp/bwUnNvSCpvFv3Eaj1ricda+kbNqoNJ55lv8ywWgrWGWT0
lTw4xEoMDRHRmPZgIo6Tu5+Msjt5daHvMkZNV5c3s8QxI87GUE8vxLTUy+TCB4aImPr6hjFdFW7+
O4/5zjz9p3lMIBiE/PtxzCKJ39ufJjHff+CPQYz8zTY5mUz/MueAUsrA4Q+Rlv0bg3USljzBqMZF
Vv0vSCkiLVcwPwgu4ilP0ET8axCDSIuf8CSLLdS3PrPW/2QQI71f8aCCY92GHeK4lwG/eRn5/DiK
aXoozKAE7W0dWhzZkUN7OsXlYfRBG/TIFbZ9U7zGWUH0gJDyNUH6dBKO27H85R9nW1KHXMWk6T6n
cZyAwpu9Kyso/ZA0ch3DfBBkszCp8LxnMROGSdRQ7p3CDETGItP4ujOy5rcRZITnADDi51z5+pms
TZaljs1o1/ON8QaRNXWPgoPvNFW2AbcgDmPbi7tODc3RIS3oQA3OJB///j4irG1cWYIAWfBBwjnW
dLzHNA9sxQ7SKR+QKM3mnsGucTRTXojaLO1xzniIsWK3CB/ZZjbbggr+6AVEn5C+gucoJduXQQrs
+ydS1M3H0J0GPJl2xO+2K9oKYFKQNtjEio/gMg4FZ1dUh1aN0cbtvew8i7R1FqnqkpNZpL6Dq48Y
CAxKbKbwurW3Rk2hhnc5mW4D6oUNy/fyqpQOO2GTXi9biN4t0GIjz/rE+GjchUBO0WAk4fBeWy4p
c/Ck+2yhjKk5E6sCObUxZVFvQt/BGBLFEHnUPE17D601DkG4C2hYGPpADbIpEPzqxMrK3aeWhSOo
cEx7U+AF2omOJwr4wM+YBBJkLTGedSCUTrtLDQKeFlVgdlAktcnVjbtAZMCy8fYo1M04sUp/PWnz
kn1roYWuTH/T23b7MekcdU+q0Ft0rOC/1pk1vFq69w4oVaIjMpHqFpqQeByg4VxlbpZScE6mb2xA
NpNeMQJzgEDhYBBZ+qnnHrBBTERQjgES7bJeU0SgiHArpzggz/NPTpkOB5eq8XZ2a6RfKdGCFoXP
Gzbk/KEoXX2PljIedpWAdpDMBpgtyQBTANLAWmbSWF/XnolxjdgYfeW20j65DeMa0zKIfA5DEENk
5YqCOHE+Utl6eAbpLpGXRx3b7yzox1MIC7gw5/AtIA3jYGSO8+rjbjgihch3DCMEH1NlBee244Na
uH7JCKvuGYDRs0sSt7IAdQSGToAiCECovBZSzVDC0f8gNveUWCdT395dWn363pRkwwSoeN281ZAR
4f5WxarRvfHUOO2IDa86mGNnbPwurFbu5FzrDO8zytLN9wFa2DrPIYF+l/SGTVX5LZhgPz45BK7j
92q+gu1rzoXX3jdt/RkkjKFCO1uTAK/p7kE0zs5wXSCA8d3aWVoplTuTb2zzXldck3TLt57t5uht
BiGyctUApoIdRwtOeuy8Hc2JGamToslvSbYfTJtNp1PEkLRmXZzwJXprbsP+Ec1ReWWYhAq2INi2
uaO77lZ7rL0WEakEcjGbZJQvImOUbx0EGwxaUhvYe3UUf8ULbZorThOobZU56+Ag5zGOt3bHh4P7
ncxQdKf0oBt+yCVCwo4I3BrtoTPgpdGAI1D3sw80cN2ms1JjQ5vm8rXQ49YqXGdr9o5JVdlYe6sF
fECfRg5lBOlzQZsePvp8tPTVvVwMNeMrCSyoXQFDoga+ZHWvy1R3G6rB+Qp3k3kv03Z+Y85GQyGS
tj8WQgCQ8sPsJhQy3BC+knzW8FaYoGcuptJZm9OGpn5cQ0geRhCLPje83XevNQbXXZN5AyiwOUt2
E6j4TUf2GAA25ZN45MGIt6l6d2Ct2hdHIPcK2wnsCMPITYEUdZ07ZX9v5lb7YuRddvALNtArkeJK
VwwDLshTdZOmZkcsBF6HLxGeaowRwW5m6IHfYDppctxeWhEpHDXjrpsz4x5tQAYZWWZ3U9LAN1Xm
fC2I8ttKstRvmvJUJ3pPpT4BnQY/DQy7f2TN0G8UVFOxTEe/2WOnN86mIs/uaPNtuh7qNj+hmkgp
srrAOjhD/hoGgX71jSx7apKuuuJjzm6ZIDhvGo4M0zisiKBGYLVcRzEglLif6N5ENCsGSMAsBxiA
SwWZCDzXXM6rISRA2wm6Yz7NDhnRvctmgVDgliFZggeBSzcTzrPJ52K+D2ct2iUQwOxZAmFlvjTq
6yJ2EBUTz4KbOJ+ZYHtp+tFkcbcHDcZFKgw3uc+diG/Z5bXJaLVvNFk5G2DN044YCu+rxYB365G0
XK8xyk9LAlPLboGNSo88SEvj5OO+u8BRiL0beNzXbbOBku9tABAMd+QYuhEj86jaSimzfTBP0TZ0
LlVlGObPFJ/zI7BHcZptcCsLiyH9oXawuC0pV619ZNofQAeJjrOG7IsbyyZbz9BfHkcqWDJPKD3K
VdC0/mmsZXrF7oDEMsXZCpTr3Wbeydc4S88peWrXNp6kaBHOYYRzbAiyt4HzNF1msWkb9Hlldcv2
xWLF3CTzQyWoxVAfFd3BVK0HHDfrH8fU+mg7YI/bJGQ84kcYt/1ARd/8Tkeb0sMXuJgEbtNJsX5g
pBWMGCFs8YRtbnjwOWreQ8KsOHRFn/oLyULDYXTs1o/+lObfcht9T2cjESrihBax0NZrzKjX27Up
5k2NQAjHRLAZI2DKsgJPMddu/xKE0ZcL/YtbSx4bKGfrQoCD6o1oVzbWvTlznYlHGg5TE57RXdLx
pZDZZDfMGMjqSdxnLTfJrgsS9ziWqXffY69bGOwZtmkZaPjqKUUH3k31hQSFMyozLtQk2r2oDXfb
wFNnitAaKdHSab4qXTHcEmSkqPdMHq0kd2xqnimPSFvzjQU2bSlLq73JfWd8zOrZWHlZ4C4YRnjL
WuUM+irXeABdth6diX2MKeTtoNzi3ELWQp+TpM/WNIl93xbduu3L+qNsibEZMlUixu3L3eiXwYtn
F9P1pdH86JUYN5jvBoYZnjfdI49sdhD0KUyE2pFtHp/iqoNy3MfNW1Cq+Thiqfv0MW4v69C9rpmW
Hgt4qYcSHfmXqWQhBnlBknZIPCiQlak3kmNeIIegksxGBsfmcOm1o2Q1ElFxhijEQYI97kvRM0Qb
2JUco9DQ26EYkhuGpfXGisJg42sLHkzq11doh9GVJ+S5WaGDaFONH8wy1E1SN+dO2npnmbVaTRa7
LamTbAHQMDsByCEusxtOFJ3JKg1K5zrvBfS5mmO9Mg0HGEi2Nf3kNOn4C5LHj9oKruF4qQ0RarTR
TpT4d1VdM4xpatPaxI1x5EwsOshJIGEL4n7AKU1jyfB16FLKiKCZj76nhw1YdeNOmpNtvg71LP1D
H6px63t1wLWvcueTIqvqtsBBrCceUs12HPD1++5wyV0uGmq/VmbBB8QZy8IAxtNIMXu8hzHkr5y5
m69MZVxlVureUUxOhzTAH2ibCnZSmwRUcxcGl0QFhykishSTWjgkDzlz812hMDGVF13WoFOy9Grv
zImg1y5DppMXib5dFJGdvNT8xEkUBmh96sz53GqJUbNm7vqaU1nfV61oT9yv6EAsQ0+btpn6W5bL
hExNPlAVx7CYG9ZeOYt1SIWL+wBsF0CSMr+fLU+A2wPg/QoYpDjZKpvNJRw+92xXVChZ1uAJpFil
U48jr7qBCUS2iipUyCLBHRKw3E0bERU7k6AJka+On80sRhla1xq0hekYh8inxAAyv6+yvDijN/fy
lVbFleg9/1ZGpmNTgNkANFLoTh9ySqwvUd1JoLWZ/wocpNujvcf3DroCbGHBnpKAvRJBCkRRaQeI
8EY00BWIA5jcg3xQxDPpRYtKfj2islr4upIbp3G3AfzcFWQQ3M4Gxs3llIbtllPrHVcaOdWiqyB4
OvE2l3hxxkRvYxHdoKr/bJCy7MKyMvZjGkIqxlhs1vGFGn3G5RMseoYUK6K19b05tAYu9hbGp5uH
q8wM7WXuZFvj0mJg593xQczLodqQ9Nkv+EsOxD58mmh8V0lk7IQ3EjaRUXDTIhNiSijFKqji56Ad
YKvF0YNmoL8gZP3RoOxY0A7C80n1tR1AQSAj8QphTrMqoDHaCSAvmpEv6FNPmZuu2K/JJcmuPBvM
6E1X4hiB71kg1xMrdvPeah6aieDeWO/9rIDgMJAKhtx1JkCpsEFMQy/MMHCukh7ctxdgERnydlPk
YmXm4zvKaLhy8U7jr1nhybiesQLfDHZRrb3YnAlJmJ1tbYcB5urAWgwDMcML+ib7kJakB4U10k9C
hQBON6xsGnY27F2Si32xJuRhhsFPUWpM/XYkFA7htmuFZGxn7K3Ai7Bc9HPdnjwQQAnYWz5f2QIE
z0YDJa3t9DvH8MOnzhLdi0pLfPEEctOwpJpFy0gAZr2aRd/fEjpWxGsvqoOn3CnGdzAS4ZF4ycEl
dhLxwJC5LwjloadrNl1g9GcaHOCfVnLn1dEIaMe25109muOCB4f5HJUqv9dmVGPRah0PJ0yWq4Pv
+5oaVKqWI6+vn4nHvLeRom9NLR+0ztwjBwwC4qSWuzFv3olZsDG9XKwZY8qIUQXwMc3+m5i6WFCd
mpK0Uhsv1BwylY7NOn+dpPQuFs2GLUYb9m/cWckSKTEGjaKI2fuM3naceFS7qKeZzgcRBEAx7rRk
SrCQsRWsE9HWRyvizOcUMoenyM3yV6a8yTZhHV6uC1/5j4zHcTaQI5CP8LOhOv53+vb/M32zbFcy
Gfv347fdezu9lwgVf48e2n8QsPP7z/w+gfMZpiG7NNEtWY734wTOd35zPBs1kMVLYJe8aCP/kELZ
5m+S0ZuHcOciWrF/CApiOOchgAoIZ2T6dvkvvyif/k4J5fq/aqEQ7QW2BfDPpnEOEIf+PIDLLIHp
KQP6lPaGvPZNf4CkOZfFBj5++hLx/Xp1L2mWJbDIbBFcMi6BNNpA9xv2LL0IcAa2sDUdfgcE3zR4
qqg9XsRQ+ud5Np1HckzV1QBRZD8VdvqF0D4bAFM07kv+3XmFiztZ4gWZlo2lnY9snAVii6bTZw+0
4gN+QO6UBPcSQJma1lB6+YPIrWEl0XYdLuX/jWrsjDISGKeOvQKwFohpj13HE64tdWiRoD/xjEiv
0KNvEoZBrMmDHkR+w61F6vIiTbW58lgFAPaRbIpTWooql+GSTMimBpFZRXCObLasCh6xM2b5yiYi
fW2joblPNItCdob63KGAXWGjXsnYrRdT4pkn6ntUMFBSD2NuOhuXYc/ZEb2z6VGv3Pfa1FcsA+Z1
6nslNG9HoT1X1tpXTX+Xl5z/cHYxxedIzrPOPYddm+OeHJGwjwSeWy3ipdkoe57rAqu+aLLrPLfb
nXupHHRbT2zY9PweFE6+oCIGwIf+dyXY8i2IV8/XYauZbzimeAyz+hOFc+2uSg3EDY9DNryyp42e
dB8NL1Mcqocg7MJv1uzM/sKR0DGJVbKwDUwmALA9Pp9CbRI7Nl+LwHUIaqPQYoQ1++NbiioIJHjo
JDel7MNTIovxGGB2Wrc1FBJqt1kmq6oLghU2qMlZ8h0x5NIAh1gt6m4GO993xac1jRAkeotdullB
v21VVZ7swkHLMLrNfT5xXZymMJcqgT404v9mu1QdIKHZVxlUIGjRpX4eUw97oAy6Z79PkydK3mil
GuNOeGl9TPtBfAIrdYk8T8nmTLsGEmLKCvmWReJHHMs3HPnhVd3OgIDAKB9FbrurboBkudBpZVkX
3xHPS9+v3au+79K7uJIWCE41HcCU+NdFTeiTkeGhId6UXXLUn3rW7u+t6qAKCGfYRYmEvj3V2R6a
/FpEY7irMD5FCxuz6e0QyOp60MO0mTxvPODUcl/RqHjk5sy98eInbvIU1Xm2L7NheCsQI74PIZaM
mA5rVSkpj4PdqFUSDKvMc2+T0Wru7H4kUL3L+3e8SM2TO4LSbKvOfq37OkJ93yNgIe/at/DYYl5y
Cia3K/7X+hwpN/Do753oaMcQsqHn1NdEEdOEEHr6HJJ1Bu2hMLudaHA9Ls2izjYpirywN6eUMQT0
CmDbVoTHtcC3ars8+HAt8veaeGnxnFrDk0dY6oF+elrRbVVXoa8ZAutUXCezVFd12VlrHeNgU73f
YlGjU06WXl17VxkxoyzWcpoIvIjWN+lNEIY9t7kSFt4FgpsaNvWuAMD1/9g7j93ItTRbv0rjzlmg
35uDOwkyvEzIRUqaEDKZ9N5skk/fH1WncatuNwrd854c4CBTCUUEY5v1r/WtEUsdAdWuQ5iE8qFe
kjYum73hSj33Oc5nIqDHzwsKiPJU8lgpYRNrPV8NVP/cmjQobKvc0ncDYdCS7F6vO0FNOFL6JZ2w
294SYwJbiCbxHgUNWhRL8ZvA0EZx1eTi6smcNU41L5FGK22OuLdpExcEdgs74aZPJjDVdky7BxdG
6IfaWH53yDUTp+/IfLdbh9pMrHjx21RJy96wIIL/EGUq0ONzcxBvc2n3FLxrlnzBnuvcEYFRrw1d
oOUJi4blbkgizkdN6U657wtp0VnIAfUzqiYMBz2S9evAbEJuvVy2F329E1jVvC7aKpxZGJHXSPMC
vtwBfJmHPQa59fhsetqbG080UGYVnLYNUxIigtAECv0AeK5ufQu47p3K0ybeTlNvTZSrGrCDOk2l
7WqVy5jYmE71lLjrnF/JhasNB7TuU28XBuTD4LoxADfH7J/qWNfOol2K3VDUfUszWYwsnTawNPQI
kiWkwmx4S8DPOj4JaPAralB4DrJujhHnNBcOTueEYDtzarMj/P8jd9rMOKG6uEfD6FHAO7BFf1oa
JX8BEez2FUpS7jOPQjzJpiZ/TDLMVgOs+9vcs/80s9Z+OIn3aIOArTYLaChuCnnl7ga9YEjvDNP7
LEemO/Ywuu/2oOOXWDW1o+5GMM0TkTObMkbxGGZykZcoCzW0I7ugYTcTrdp5qccLaEXc77Pc63FC
cclXXHOK9IWpxnTG5xNddbADDcqe3QWcVnWFwtGq34ZkV7E8NfU+0Rqqf2Ll3GrZ2FG6Yxvk4XtK
h4+aRnQUbRsHRY0q9AwbNDurQuD2odiCB7CKbSLzyMnjPiSC/oLxNL7NCofsS6bpabItScK+Ahzm
d8aTQGOU3dkl0WxcdpsO4e9U5XnzC+W6sI8J2LDaDwX4JN/66RpuSV3dZCUfnGblMN80veMXdMYo
/260kcoaCgiWO/yAfGP6tbo4LfPhzBpqfOhGP/9iVkexxk/TcSiWlLW3tGxfUWOMQE9P7Ju3FiR3
I9ehDR5LtYdNob0x/KbefWbMVpSQ1I21YzlMSu8aLfQu62sDs22RfQRTCoEs7q3i1sqpQN5UZNh+
s+j295CrubUhQfTXcbRpeF4Sq3rH4FQfAdYg6Db4WZ5o8JQEhutM+yzJjMGTdfUWerxH9Y5vhpKj
AgON/CP5KZbWxp+S6Z/C6TSp2mafmoX+2hct0gNttb9FvJZTGzDP14JZJR5Tiu6inVAIFu2YAnLs
syq7eD8F1/1P2bUdOeocwp/BbZTGD+qnERvmF8FmAoUA2PJPPituO8sk66vqenaBkdJ5G+vFY9bG
WETxdBV0bWNnYERUo5BqIkOqMBtNv9ZpBqIYB5y4wZpEJ9AUChEd+p8qb9zgKAPZ4EYUYMdOf79W
d/B4CnM1j2Rx+Bq6OJkKb8KRlOS8q0AQ6uvQTe5DrxIPWkDC544Fr7sQqFtul2ktGsd+3z0OBiBv
JUNKyPu1j9wF/7AalZLimEDDuaEvin5gmx2O6ZkzC6KYg7EzaHWnFYnm+m266FBpf8rOu7RN792f
CnSaHswPkLTVVWvWenSDKcGd2068I16eNcRyJt6h2q6TgzFF8iPDOPZFbya/VgR270r5glI89zPe
E1tEX9wOAZ7mg3eFSk76f2k0Fr/evMsWK73Nfzrdcc0u+1SlzoGdts64M67V70XKjGpfpZ13E3qT
PE92j8GeIQt18UkSd++K4DfpctKjf/LaK36H8JtOTqhFn8wA5hkH7uLdoEPfxdLSj/NPO/3/Xhr/
W5dGj/7Vf3VpvP34juf/umH27z/6l3vD/But3LaLz4Lsly4kMY+/YjT2Ct8hKmNLaUrDxKHxH4Qd
92+SH/CwMts6PPPV6/NXisY0iNG4OIHYYLmiWp78n9wduSiutqF/tBWRtXNdZEkg4oJx/Goh+Uf3
RsJ8eVqypdtN+RDbAam+eM/OEd/D6dCvfKGNX5LINjxKbhs3iTVDwpZlzaxAJelTaZsJw3Kg7Rh9
Z/sbgjHhybL3aiq+IhOXRjkM8TWKqnCGm1jJKyUduJRq0wwm+PFMcPLHhnX4RTiV4/fxMN7T0XSF
2Ddpm7pUz8gsFCssZfk9cAG+b/E9HEy7lidqneJjGxXDBY5b3m24Zk+V3+V9weAtplWTLwiaozN3
ul/25XKWTJZ0vx0k3oghHDlWJFCoTmbb0LwH/vNx9LrKOrrxUjzVulxGaK7t+ERLOfs8k2h4+p5O
ndhG2mY8Hs0oH5uNNYb1t6bJgeN1U3IqtgpSoTdoqJ6HNm6CHZuVbbYP85zV33ZrVwmFLlM2Xqn4
8b4rwjmfYKAr42DCtC22vYAqGaWKktPE8ygu0oAEFPeOFKU6LZoz/oER0Fd35Huad06FxjPt9UDN
21A+mDbGTvLvR6wglnaqNbp291yC3c+5TezxaLlUPG+asG3oFF/dtJt4AvVDP23FHA/KnY+BZ+VZ
z/qz3VXJG8eN6HtoNILqeifuCgGRgHtXgwcuVhEdo0WtzsIwqUmNQiUp82gJpIwNMOMeZ94G5PVI
LURS012yuvQjo49urFwrsndyE+4jl3m6SDBt6yeNscCmAmXJ0B8L56bG3LwxQCInfj2wM+WgxaE8
UgDk2BQqMK5S4sfmgSsj+xoKnpYJIwoxl6Jir0qi9El26IIds0km4bxuyrVdyBCLQW7BnqoPvZrC
DSl0QhF5IX/Z4DvXavMus97jWrgwAiF4i4G6XwMjhUeV2oE+4yjwYC/tdVK/cdAXHtGcvnikUikh
4ULlkuPMzgM6kvfWtnkC3hwWx5ahbrxvaAP+agvuqH6ma/nr2E7DsNFMZ+o3tFBgnucuwZ5AJIUO
rzzNJwlzB0TBqSuBDwm5AK2Y8b3fcBlk7FOWjzIl9wvj1G72dtrT+WnBBLft8a21BfTzGrMA6ENq
i3zIJ9S1ySqU1kEPi+UDGWOIfw16FaNkEpDPKWWGsASzVVPqqIseE7QaYK76VaETkjVMmQDC9cb4
tVMJ6SQufH21q7gUYV+HDeMFlJk2lGJI08L7jAu68WONeBiDG0MwL2ndN4u7JTcIGQmN6EUx2L/Y
DBvtDmN73O649sbDbkIzcwKbWd7s4y6gCkPN06wH6cQHjRW8dGi0sMyonO7sRkTDbThKhXbcpDpC
jsffeoylwu80i9BQv3DrkFbQBa6eHQgtWVGzhKaL/ddbeMoWVR04LfXPwEOcI2HHqHnKumqW20Tr
YTOqkY6UMa/gu64TJQ7uICmvLb+o6YOwyn7nqvfaLYVvbb2pM05LQQSsn6AFYTA0MKnhG+Z2G45B
seSAoihxLFxL0ZKQ1ll35Mmchg3VMGID7t9+aMekvCtLx/l2tak0D7ZHjOQ04Hf/tLycGuwipqqK
cxbWZEycoMK9yXwpXdt4gY+P2Kxnhr3LMzui3K9uSJ3IWvjCSdCDFiREM8A2A+sii9FVNiyQglQG
Cknl8xKLwEjqkLFTzGFwk09ZSVlH2aq3cSzl7Zg55a+Kw32xUY6a7wZlZicYH4QDmE5hfnHpywum
zlMH1+jV7QhB7BJqeM4heMbeLgWj/uAAHPXtuDQfi7GMOcSTDEA4oPeNyIuJl63OKec2mjk59z2N
vg4GoWejNK1fRe8SmGqRMZbSc48D2X4842yRxXbSdP1zisbcx/Y6pSt8ZR2hSQJF+jxQ6VqBCC7B
yOEUZ8xPJKCs77W+Gj50aDfviTLsaxcb2dEdxnSH+Tx8ZLdM5L4xRPdckTz8bPrE/qZeVD2rtlA7
zPNPHssSEEoyPN02HqunlOQedaRLXJ+aJmPllQaHZKNorADKlbNHnmCa4sAKt3wn9XCm0z2EBNXl
7lskSj7WoSu7M1A0+ccbobCUSWX7OrUlh7Tvi3fGXchcFXYyddDNwdrmI/i33MyrQ1GM1bYlenfn
oKPCTQN2l+5mgxfMuMT4XaPY3gxMFGKfPJRR3yDULHXQtQsW/FytwaEJvMmmHAnrYbUZz8jJnOcr
IW1gkThlyCJp9sOI4e82bejIAHi7ejhc+cXW3N4suBLe0pGp78rPqE/1lEU40Qvo083MQuVYwPUL
yhnRIezRu+d36d9xZujXzOhctSEatjyaIPaPiTPXXCRcaHki/U1Ij4JD7nxbFRZJf8enV77p1P0G
k9Nr+xTtk3CizWG5qr+JpC6X2FvkHScXANxeWbzOBpmYxtMSouYVTV4llYvbDEcm3zcxWYGhJ+6D
zo06xjRJb5gxkOd9Ys6knUy7at9No+QBi5gyIvJU0HoD1YLH5IrX9Z/49e13THXjw5R7rnV04jJ7
rYh+RvfESiB26aldflbct76wWeK060gbaKeOCz2QJ/Df+DOjUSC8z6R9LCcXpxpjGZXCTsV/59hB
QeVfW82bdHWMQVslOE25kwH2CnvnwU7NyndUx8rMh2tcJ60r+23fo7D4/HQR1BzMmk2NmrefF9X/
cSoPAw94F3YwKx7+OKofjyhV9Q1ygjg5WlI/ZFWFp6SD7BAHDi7/l7xsyn2MuY56kFDf627ongCY
8w/B9+aybuSQPDy3Y7OZeXPwUkLvJH0S84cedCoPU0vRpbt6tpaPxish0jaTNX/Q1hF+9d1EP0DX
jeAVI2nTAGtOc5xdDM1pz3zwjNxMfrz0m6JG7WFMVt43CCmPHEzjYKL8DuElobsF7TkH7si/Ge1N
L63evYzqCt+xSrWjrYcylhCHPDJYU7+BqSVkmsxt+UGQigFhGIYf1jB0ZHTboeWAp4VnrE6QtmrD
yY6CX2kbsWauHRJ69auXUfPFhJ4Jr1UJ5y6JHaqnvKFykYrn6abt6vK58gZ+t7atnDuICmPiqzrp
jmWzRNbWtKPqwqo/B20roHxx2CFNreth9IL+sa479OvancmIwy0I6WzakENTMFfg3Hxrmpt3maRs
NQxBlnvITo4d1MM0fPR9BdovTjsG+02W3VuMHfEdqQLmfgx/hwxJLqbbvjUGgLVSX14iHIvPXlNn
tDbxj90lc6yTIAX5EExisl91zxnjp4xRxQUWFixnFhj53XO2pA0ch2W469iZLyWhw1MM05VEUtHL
g1Wt0bWMOPa8iXjPDtS4jnu8s3a3cYxW4I5NGSbLUplPLrtOAMdouMZ0mzC7NQlMEULECew03UNu
9s64073F6TiSwIriZD+6gKlom3kaXS8h/ba4HPJkNt87VpN90ftuPTYAiNmJrAoOWqI57tYZHe2b
FY8MZt65O5Sh9LeYpzrgKOS8eJNXGQTaNPdRH5T7XmHPSXwvttChm7UHSM1YO2O3Em+ZGJdLobfa
Z4UT5UmfY2xDJvjfc4lt/A+w1aS+WaJubQ3FzfSNh7C/Looi1XzJxzNTBbpNbXI7aOnML8qdyzBn
DpKSVejQNIV7YNCsvbgR6Zpt3tUdk2ynPxdxi21vTqAkNk4N82seWrxzJtAMPQOLjn0Dut4iw35L
swQtEGImYBrERUIFmVHV4AGo+Am0KGkJ4EZM6qNOPxrF8DrpfUGcsUrQt8jQwDdt3sNKXy9Tbn2a
Yksek7ZePe6RTe+NwFMzmxF8+VmR7mHx2lhafDUz2Jx2y8SFpxDVtfP+VBTIdNjSj1MURttG9vnO
ZmS0l+Th0OLm8Heo1d09eTjWP4LalEpN3A613t5XRR/vFUcEOzAnwo0RVLnLtFK+m7TudgZhloPR
qezcRGL4AmZeP+CADqXPoGTk7CKqZ5u9b+dKquNV7kXvHGfowfXix6Rkacbyxml6QaBVDRVRYqzC
c+3QKVh77YpEG7qbwYzYqXFhBiqB3R66/dEAqQWRTRSEq0rVf2dNqattqnL0yZTBUtqYaKZl4/Yn
xQMC63Juz21D8ZddZSDRumz8WGTzvdQaZ6vcDtftlNtYHZfh0Z3b9jRr5rLnChTtKGbkVpvgtLrF
rlduYwG8q0ElJW82mruEmcNDX+iz9Jtpas8uLQU3jEhrcj6wPQPptPq9g1ztQ49yb6wqfOaxf3AZ
84zTcLUWZV9sfOgbqJgLgdIMsr2B+YaPcy35iVIubstaH8tEgFo8INXXypqwI634QG6f9AR4ZfOC
TDp9JHU2XchJrKZjpjq38+KKg2sq+1jRFGHtyevTZqdDcHhzTf0+qztilAR892G3YjutlhPgUNL6
llvDO6fOEOq/47x2czV+1kt3W8Q5ecQ8xXpO9mphibGiT9ML9c+I4wb+xqnazcMsGcRqy3kkE3GX
5uPwhNebfU42ThBxVd41eUTfgt1qzrFYCvOucvFq9oKz+dxlPf6ZXOvfmpCJTW+Y47aEdbmhBKT7
pPok2uWemGiRCdUTyV+gmLLXqbeX7G6ua+8sDdCgBOeZMcOJorVDbgR+yWkE0vokmi2OnpxGPzrx
tg08CpKF2VD2PrJizxZuNLHvcmvjNqzR7kH3Bd15sTaMfwRcbfEsomktYAMlyc2kN2O/Zzf5bk2K
7X1sYNMhXZLyfYqwxZAUNfNwI7S0ji5FWutXmoIrjt9ZcSFBb76b9KHdmxSufXfpCoTMbDhmzGgN
6zhwu9m5YkXFimVKrlkzQQvXZG0mT3XdlVguo0ZuazwFeITzZnkd49o5ChSgIwBLk/vCZJUXILZY
WVeB5CNyNGM7ZpDfN/Y4ARy2bHoHqL7otScDv++mV6Pts7/UT3Eu+g+TyD6GVKM4mE5CH2IVn62u
64n5DqDDcSMyEmOLNAI3rJxnojT9oSsXy7yNJgZTWJbbtKXG01yo09MLS9tZk5b2G6mKUl6pnzD1
fc2uCWcizNcjY3SjVE1HC3A4skQe7WwhlnHihJBP/tRkG+7kYoe/9AmAPKAJi9r5rBfpa1Im7QkF
p8QbhWUXhxl53ZMmQNo+Y59fnsreGN2bYgKtTmfDRKveEs/FNlEaPHdUiT3zxDevaApv23B92+Pt
sAQrUqIrehKd5ZZLZ4tLlR1rpxTT7CzqFBZmS3uuZShp/lw6nyOkRV6GgBFfuaS9Y8l37XMzFOk9
kGz7K08H+QtlBqw6+xEn6drZl1le3zle3XxhlYa4AqHAogJ6Fc69OP9OtVoLD41MEw/5AdsfTfHW
hLZDsMDhxIdgsLFwyjJxqpVjBIDV1C0DAqC7yhkIsyZ502UbOdW9zbC6HNSmrqN1FtRVQj/n8RoU
JqTB171L45lQgF701qHjJpaSFQILtx/FqAdt5vTCt9t6eLXCZj0qdxUQ56TL8+cMOdDxQxTLe9Cq
uMOTgvEBBmQezA37dOaeGqewPyINO1XLCHHyM0IMnHDYombhMO+w44I2I692P7PcqH+5hSFfF7ek
AyliHnKp5NqBjbdbUudidTNRGBJg4PGH9shJPCdVXGe5H84D/SZF2ehgHdO+lrjRZfRuN3O9Bxjn
3tFCR4WVWRaSbiMxUCGaSOeLQFoIw4HB5Nm1c/IkCWee17TT8LARKGrOaeNal8KhuCAv+mrDE2zl
ADPy5qBCq2n9mEALrdJexNjRaN3yBht+ZGK5IRMQFFZm05FcrLOlEKMr5bqqDwvKl702HLYD9eb7
bMSTzZA0nN5GlwsWr0R212EWpHzdYSJhrMQa2zazfqlp35oR0MaMU/KQx8azFBKMhN1Ll3NCFlln
t8PcQSXTmH6YmCDQLRLwRbs5MsjbFaPNZN8Tw8Jgb+DSxePpyiCLyAkZG8qdotck6bt9UZruCUFE
JHgTceqg1ubfNKSYQIFn5sQUy1nDGi5p3ftkiPor7OT0V6N05uPDHNKVpxZJ2WemCTBD1OjR4qZ4
VE79HMI2oYiwAbM5Rt5zkbTc5jH0kf93jfQznNVKpzAxONAFLRO477pBDUWXkYijJbBpS+KF3mgx
NR2HJUiIiXy1ztC+5K4J7TNLYN9sMizG0ybpBWOZ2EV75C5Ae3HGlBnfIB0d0QeRAHGezBatNPFS
eZdOCfM2wfrJgp1GNIsVrP+wqkvc6jQS94vw89JAsHFp/9BBZY+0rmAPBOtEKOfNpSwkWEQzvPFN
as2bVtdhD9dRN9zUOlE/zssCS69mddE3POk03k3m6qCGW003DNsS68pUTpTUpdZonxavWsyNDqbD
9XHeOvZGw5m6t92sxpnU0YM71jqtviXc5/UWqVFC0k5NtF1y2i+3ZpwsD2aDD2kvORm1XJm8LgAV
EBNaTuzwVk1aqPy2B/IO5nsdYhMKZUHV17E3q6o14u2edlql9OFmVk7Z+FrDLgOlngiOn7Q6YhI0
8xXmHnvyrltIYG1ydjauYKsDI0xJP2yklbcuc30M1oTPI8SiueIXJr/VhbfgpB2Qy4XxZ8w0+dhK
YaA8ptRm2RrczUCHCp7xNc4hk2p53ZbbjmUTM1rfaA+kDhZ5haw9byN3TLjApBhZJN5eYBiAXpM/
Nvz095wDGa3KiZk8ouLaEF5LpwliJZLHLJfzAeZaPO7ibBLXOhkI4M9jdMUry0m6lHV6yZv8tdas
cFslQhBnYhPZhoPZM5/txxAqT1h+MNDRvquknp+JpQ5agOEGUqxg2Z0JEa2z/0niD+cOOckDsAK0
7Gz0vjjMtZ96KouXBch64le16rZc1uKTZjBs8gG38Ir6cLAIA7omi2pu/za0Ru1QLazdhKBwRtKx
/dRyhkunz+YQaEVl0XUq1HKweHBpQlP1Y7hMfAOodkwCfN/mU0s1MAMeQBXPGPSM6Rw3AxUw6CvR
blFijP1C61CiGECTPAxteBcHyeOL670aLXRL0OXEewxMyrtlMcblpgYx6B4gUVuMZ+KetvAkM41j
P8dPcWO7Pkri/KHTTm1pdhWQ+CTq2Cy5+mIg03ATaMxXzmSTw96Wxu5TxtUEAEgm6zVqHD239Ag/
cxalx0/3YqH5OqMojWNbQ+0ZGPk/nsnJmckLOoAvO734bXaEA31prdEYd0Lsb4YE6PIaE7ILFnpO
lK1b7P93Pvvfms9yHoIm+y9MvUnx8RV/5P92aT++f3fxP7l7//7Df7l7vb9B83MsQdDLlrr9/0pQ
hIPvF7svhhrLZgy7/sl/uHutv5mOw/hWuHxbSWYxN/1rRIvx1xIkQTwLO4H4+aP/gb3XXOtU/mlC
S8AfEo/u2CT5LcO0V07gPzBfTY7jNXlBuS9ZtoOEza3ZdB7Q+ZqQ9heOgXab6rF3VY0j966mqPUG
VxYIlYZHE/HiG5tVecAUBJCeNPxQeMXephjqPW8zOqgXtyb+1mfNV0PGmmBT0/k5+ssd5eTTo/Ri
bVcN5Q9Nvm+/vTKc91PciUcSYYnaMkuxv0Iaxu1NabvQVrRiN3vDbZLa+XkdbmOs5OKM6nUkcGLj
Hiv1XVJ79zrfjUPtRcOrGzXed6a5LDkxbJE9XL5hZ5UGs6d1CvYdsXW8D044nJYuNQPHnfr90lXx
wbE9ij4YCe07zq8BUiBVvYm8J9KutjNi86GKoa8184A1rrGxq5GuvihQKFuPNdVgfODO9PyWKRSf
MKlfxqWqfjMqcW97XQOQKIfnpdM9qAOdvFiCuebGRCPgXa1CvDYJFZUbghKtYB7KkX4zM1rZyxmQ
D4GQ7LUjFnfCYNyfysz8aoFU3oZZktywV2GzFbJ7yuEEHa25o12YpAA4u0wknzFVLL/MMCLil3T2
TUS722cNPgo8XOdof8bZ7W8LLGevFc6hWz5wXqdDAUnYUBjr6Padwq5NkZ0k800QD4uwLv9MNvEj
fHbsgzlJrxMTCsRJfC1E0wq201wOOH9JuvHA27xRGhSgwkwJnJIxieWgv7LyY3hyOYMiCbKeDpmx
2qK7A5fDJlAW+p6MmGOR23E24+ggtkbKSs+OFl4lFkiOvkbxDAO834yIWriXY+ttwiN7GEzGcqMt
ivskX5uWWxmrjTtygmpNVdDI121VJlagCbzPwol/E/4McdaVtXNnGGN6HBoqJfNQv6m5890wS/C+
CYxHL9NoECQkNXOdJzM/yTh0n1XJaR3p0mtwJGsDqqxuPiBq6iXRF41peMUkGJFgqL87ytA85ALf
GKJ6N9SpebdYc7FLlTsBR8AvsXEZxGwS3ctfcuGZTTBBt95pBe+Zlxrg39pyeF+cuDprUtaPeBrF
mW5CuZuRhzbWREIXQdRlt97XsxDXrKZaD+MdGo8GwKCd00A5WbynGrt8MeTs3cW8OgQDVKmtHlJp
umniNLqjazS6WIth45631qAiUZoIikCr7ztLETwK9dkf5tTwBeD7L0nA0yP6ojUHZHZ7h9dCUrSe
XZah+uqM6SSzMPU1XQWm3mu7tlK3xWjVB0k2jYoz95nAYBAxljuiycPQNGNXC/5hrb783YDyb+WA
5JCUffd//89/op+y6pk69hfuuobHIryGHv5h1QtFKqh1YznA7Ak3cwTLR+quLsuYx7Gsb7Bgmr4q
aEjqytecYuV4WzVte2cvBvmeCN/JuV9GSiMYdAdlXOZnzu+Yb2kiyG6oZChfq4bAVSdUYhE0im28
F32rhyg+S/YIEIrvc/bz3bZioPHHku+Fe0Qgtk7KQWyiZcmCPkb3dfb+r1+6WIEu/7Tig0z37BUZ
7Qgbf47+/634MwIoanak7w0nIhpZ0AGRWU+anN71teHaQDryHRE1N6IdBFRYPuOdHKeapwGdlqL2
yGmNrbPEVY6iEFI8YToqaNHEfuPki565+85H0aiDjTOvsTAW+ObQvmOY2FXQm/agwU5mbko/y5Kv
psFWw7NVXKZBUrque01AB8Vw8owuPpnU8TFKyEYqp9vMOpZja7m+nun9lvfR9EOVpcHIWXnveFNx
GYTy3hFRy/d51MedcilgNykpunMigCM5d+8d2LhiX/VKvNKRgSpaWOFlLpLxkf8Vu3YZktcUjOFp
GtUSkMKXoNtcfC9DvewrDANgZdV8jGImaUD++nAX9Wb0NKOCMj5Alvf5tZFY0izeZbZn7FvluLuM
TXabW9lA4os1ctt2YXvtTfSNiALGKxZML2iwoP5xdQ+PSQ99lVZOkLq1k6Ib407xkb+cq9Y75j2i
n/Zkdco8EPZFYVmYGf1u0mq6umA1ro6oygugy/Yi6XY/6UthHCzDjm/CRm8PJEuORSuDfoxlICp0
lkZ2WETEYBBgUEo9TKrI7miNh58T53hRYpvUTD4PU0BIo31i6oRyYy4YESvD/IRCFz5XoV15fpi/
xH2KYtgvDtXvfbcU74WOfIN+1t8sLYq7HnfTuaSh46aQAF0wNiaQdGduE62Q1q410jmkYVnGPmPy
+gaaZXiPz7t+QEoVhH0N4MFOQfzSARjASJq6Jg88xGVA8b91wfkEcVdilo0sBguu8B7idRXJm5Dj
ijhSbgPRpryfTdpuMH1ybSmou5pvp85l2isFtRlsE4wZs0u3rlkRmukuXNcxKzJiqhA17Y9cV7hx
XetyBiaVak2Ux2Rt4Mid/fKzMA4/iyQrhR0M68rZrmuobGPWGeTHhYUg1pFm1/UWrEX5Mq1rcGva
06nEqUVnpdnMryXGk52pZlZ0o2oeR9FU50U3hneH8EFQ5UJgnm5NNK11Y0jXPUKsuwXiJWjhbN1D
GtDw2gFyLXHC/mcL0r2aCJOnzT3ZDqMRz7NeOfddzaggmNZ9jUyDhZxZGZmz73TZnrSxhviy7pND
my4B+X12UCRo+anq1GGr4Jm22KeS+kwh6Mga2hfNoQrhpYYxKl/Q/mzpNMjxwc4rK5cCnnGHbwEx
eun4iMTPqQH2HLFgThLLeqSQP4cL/Dkp7hbhBPF67tA5PoZe3DCzXPkIYS7lNtSG6VwgsQWEb6dj
6EDcQQAu9qTP42BkgHZMh/VqC7jQDozRg8w3VcO0OnGzW4cr1dHqq/42jQrzV1y59h19dvKxnGF+
b9ou7nZEobzfzVKbl4lJ9teYD+Ml6ebkRSP6/xRi9u+CSB/EEa1ACzSoexORXjvBDIw3aoPN1rpz
NWs4tFqT3XKmA0WgqM1YW4pM51LMdQx0ry7u+mGEGl0r0X6SFH7VyacEHiFaggeW7uwoJDb2Epcz
Yj0vHGyAeWw1pE9uwe5Iv51Elao72k3Q57SLs+A1FO5kP+GScC8UtDh+Iti68AVXzzXlnwlZ/jY/
WlqS9kGR0F6xiUeZsvHWg597U9rdujVjc3dU3oGDJR4Ybxm+rKqseY9hsgCD4IuGerzAnXFJIzSb
iCz6LxQ2Zw9Wmm8x1RbJifQ+eYBWaievGdWhSKfplAoCEkzWWzoJGjeCQKTpb8YkL0vUT88ILES6
sevt6WdJTvFCJoQ3TboP8Wxm76nlIkvpuoOI0Bb9J8Jg9F4PfbfVBddgr8rCPX/lU6frZrum47d9
Ubpns/Z4+DXR52zlevKwaj/AZhDCNxWJrY4ZrGtfEl5GSK+Z7+Ckk1UNOzNdfuumhrOsh+4LsCSx
tPW+jzSf9M3WsUz9teoy+zTO3XDrWNjTI4O0j6Jwih8WyxFmaMYLKGWzlRzYt8TnXMpp8Dno9h98
Kp/zVFl7NjBGOF5YlUw8HMm3naD/pkyb6JFk1rxn5eFgHWb6FV0vcPEaXQ27Nl/txhgO45DXv5SD
YsmAof0Nt+zfyTuz3bi1NEu/Sl31VdMgNzcnVKMvIhhzhIaQrOmGkDVwnmc+fX+UnVmWTx6fSqCq
gewGEnnypC3FwAjuf1jrW3CICAjads30BEPoTjcTWJJRZJg7Q+YnYfaXEQ4jiv6hXbbDYK5iFvbM
7hK4Viu1Gxwdf09uqsABZLGzzYZz14uNPZ4LfTs1RbTSSI9/DBU+p+okxWHoFQiJgem9iIp4RN9E
P7hEx0FZP2XM4foBM/0QyFcku97GQZm3NqF/HMMqDQ/QQ/zx0GZKfibLV9wG9C/DMsyH5q2LMWou
9bi2j0hFuNt0vo40uOgxjk1zNHqUxunailj4VTlWOydCR8g3EY2VC1DS5LcCT07CTi48q6j2Ah4G
35+a194l3o7ssOhA9mKztHmhTHYjhURB2pHL2KyDbQYWadU7SQ1/bhponHTs3Qr+mwGc4iY0eHwm
Y9ZDSiUYgjQYnVPqZCMMMD1f61prPQVlqG1EB4jFs5WYEXMy8q0FdmvShjIOXBR5Ta54/Yh78jRZ
6vs8v1h1mqc9N51iXeKo5XgsbuvYklgm2PichV+N6aYHIP4a4flb6IF9lzYZRXXL2T6JTHP7ruo3
Nkh8hD76sFFbExkTFtM7ArRL1iIjt+Ky6ipuSV3j+lIU14XlpTCKsBQrJCgzSWM8Md2aBCIVaEoh
wJPBc4QXga9zngZeJVkuTvBBQLx4vnnC4ieu2z5sTJeJvJ1tEBcqN1D99Ctdy/p3GX/z6snN+mIw
F7CKAvOSiC25rSD6LwIlO6W4L6Ramm5VJ54FbCPamGFbchcR9BhDrbip8TpiX4/Ws/AHm/5IzH3v
WBpKJO/Y9Nh8KAgPjSB9UW0f7BidxXkM2DNIHBdlJqL3yPAv4jjNQA4U6rVleOUjny8OL4x/lz1Q
P1ZIWfGgdh1+rTBhCrFUOGc3yOjbRzQi/VcUM/qjp8bGvYnRb9motdzV2Jj2nATB0Uw8ZQnnRiO3
MQHHrrBViyJ/11QR9g/m8wuENMF1GBXmeVS98cnAtsMK1E93FZvA5RSZcolcz0i2tk2aN+epNTxg
y4BpkzHknxOigq0vjXSXhGO5kthvMPg6w41ovWJjQBbegOqWayQK0VaSVQUckkp2TIAQd6E2bKkh
VbalOahmcvBU78pIsmIny3ZY+0krVww5g6+IasNNhzQGBltbbm1ZOVsfIRaprOFIbJZHZh/PAaCB
D32igx7yUHbj7HAdfH+ZhenZJ/SMFUeuTGvUhqhyySXcQJ/9mihjsY9l3cLxLijI0D2tWyui55em
vAU7V6+mtsghTQxth8A6KWbugYVyO1F6AnFRUMOqy1Ru2FPVo2Bq+WbxVPJl46T8RNekzXL0Mv1u
zMIai/BkvRR+pm8D9lYbT09rt26IdmPJkG4zgQupIdt8odlx5C0isDVuPwuN/dhwxzbGvqt53inD
V5Y5wTeDwUwUqzuf9CUt8A5VihlQxFCy2jzAZcU2LrBQTSfGNO6Z8GUu5cOZvpxtWtLz3qZDvDAV
Lz0FsFmWad9ZLnOCaRUORkCbFFr05ohADoFtWLwFnrZDEai9TkhHKRjq7D3w4KSZPSE6tj4qS6LE
tWKhQ0TfIwCNX9Frxo9ZKKuE9CbhnaXSOaeMQvuKXqU5yJCwLAAmTJbw3ep3kSK7OQ6heEQ2DG68
SPIDAL+I/q+ItgXWuK2qwySXXVUeMz2rt3VInvqA/HuIUHUL6UyYViNtwzdM/9rQrl01ClCdDKft
KkyZfQTY0zVI3pif40MujP1Qb0eb97PNnMcaPhfGTvssss7BwGRFdyTSyV0ZJ8nRIjcE9TJ6Cq+P
rnzd7NvF73th8Y9aYYM1K25e1RFQxz+PAfooE55HQspGGcd6BfDIfEH+Qq5vaWS2s0CH6EPNHPxb
n+VtDKYGkoobBIVyDetg/MZqs6hWiTTIJSBbmHDXeV7JTEdHdApzUltqwSRBUX5MOFVgjjmrawaE
Y27a+xD2I7IYOkRl+fG6/quDif6FcsjJtnIgw/75PH7/nKbtv/2P57T49387PNfozj4Rb3/8/I+R
vPnFguSOup3GVxpMvf9umgJ56zALty3V5B+mzQfibyN54wsrKkOzLcbvJIbP0/q/jeTFF4FrSmOU
L3X8TszQ/4mRvJyzlH4a0Ch4OzH2qdavmWEwoH0Nmei0ST0cngrbTICpqsRI04bdRYHrIV85HjGT
C2wUAfmztYxXuKPLwzh03o6QzHI9IuS6MLMhcNVxsFyWo8M2QXC/UhqP+VSh+BpkVUPrXApFdIce
zFkE3eMuBVaIpSYY74e52sGioaLGRDOIc7O81FoR3/tAxQFR5DBp5nqpb1EYOL7j7LKppwiZ66o0
C6o94xS5YOsQPpN9bh4s/Achy9O5LMMCZbj2XKvFc9XWjR0osI9Srp+ruvyjwMPlZh+n1gcHwN6x
efM/ikGmkuK2mSvEZizD8VACfT+MFci/QgzK2sN+shkpL2U0kXgOvx37SwbWKkdL3i89USD7m6vT
hEwPzMVUrGXUFVgKsukRU3O0Yn6gb7W5xkVZOt62MdCWQ+3XUKGc71Vxm6qznzM1TlklUfqLBLYs
oZYHA/LONwlfgbFHobi2D/ONTSc1+FyNo6uN75lzFPckA7Vbda7arXk/u1QRde/Rm2GPnrGkywLX
6ws6BG+vt7jqNpTBMe6gACBVr3QYxEUUKreKkiKznaTFsmRqE+edgSxZvnBR5ppFQa0HxehZKcLY
4A7dOUslbZpVqJKj5E0RvyVEyEf0gl41K3AGynaWOK3w3mrulJijG8x/k8A5wGV+2IozY+j0vey5
Cq6o9OIOMDHHmI2u1//KcBA6eNoJkAXEGlrMRdQUR5WMbf8yxWW4Q4UUXBmC0lIrKi/gcuc98dVK
lcMGaIPxyiPZntsgKAvJrxRXFU/xuYXszJBRgbuSjaVBu6w0A/UUtCgPq6BY0OVXu0AqxBEEmvc+
FibPqYYsAqpBCxzG6nxUgpXXl+JsmbX3zP0YPSLuVv4LGxBzPRbzboD4g0K81LKjh0zEVRmKXedC
JIwnnEIL1+0EF0CAYTiHMvHfEXgTLOnlBSugECe6kWt0zklVNRxV/URX4dhJ224jW1FfmR2NzxP9
61edhzVcciL0d5W5AF9p3yBNvZtSMrQs3VYVvj91QbJjlzQd83A0Ki5GGzQ/diLy3B06Q7IaSQl0
FgrGiSvUEAVC367ys9UYzZkjJZ6rYAV9wbjRQyvuEVIppE40Rp2JVaSRz4D6vVXf+rHMd0oTasjj
0smHmepnYPkV1TP2GgGsNUMkx0FbMLwI+LC7UcuNF5lNyZbg2OZMlhLz8VkvN2klKs/EZ6qi2cWA
QSDynzlNwx3Q3XhXjF7DXKvFtpGYJDJbsSPYSdWknuhTIMh57zuu0wB+40AZy8lq4CTEWmU6bbHq
mcVuWQ8yohYFSJqucN4qwWSKUCgFl7QVBt+QeffffC/q1iY5MhcT45CrMKsVNDlGekWeOtZvv0Lw
sZCkGzwp1ajTxVt6mi1wM+VHcrVVGB+5/8QvSbdRoKpXdaRhHJIOSlF0KdTG5nHq6DPsFtFF2NnJ
EdGm8WRLH/FANs9RrDpiN4aoIVwVmESWOPHjDs2rBvyiowjcAcvI9yBRisS1qRhCt7GEd4wia9iO
GIFWQcWcdAV41DsaNRL6ZaWoiHXKyqqLGU6iPrNvcr6aOrE+wA2ccz4l1xhfqFKxwyw6aWdrzBwj
ShCjLW5No3MOKVYnnIgyfMlFIAFJICpRu1ZFCchUvov0cGXUoc3oPY+3Agm7mxgB0UVl2bt81atV
Pt/TsxGsSdnABTT9QT5iDySzOQxktTFYyYFkScILhfveKSV189KpyTgPDBSval7VZ4P7/FXpIynJ
SH0cll0blxuzD+SV2cr4VquV4E2DsclCKYy7VWsL50AGWbRVHTXcIqTpN+g9cJo6Ab528iJyWkF2
sW5BJNXJN9I+Xml6P33DHlhvozgNzym16w5exbUz5eADuVvCNXIiRzxybjsHsqrp1zFRmteTypIQ
KjV59aWjpnu7qcfsks32wHglD95JuPDP9F3eLdJLVNmsqxz0wESaI6OTF+jhqueebJZ72g/wjOpk
LyFUpVspUVWhXdYUOK4WK92w663rdNCtY1JNZK8hjT52lSIviKm0GB5HmrcnHxf2h+r3gB/CcO0H
k74DAY0I3tCaZm0pUXI2rBp9Z+ixWJ5IfHpj/BUGFwK3wLMCjIWNJ0gn5FUxRucIueMR9Ku/9Ecc
d+TqyCPE8+5R1D4WNKniYeUU23ROms/3eDtAleIRiQ6GP2N5qxcXExZyIHrIWN70Ls8gAHD7hYPC
oB/z8rQoW7t+8VDEIeDMxLrrS2U/4Yl7Q4s4rnOt7m4qn2NoYUmDnGiGlnufgfSzCNl50ksJ/xLL
i8q0PanCdWmgPvcrXE5tK5EO1oXVHqxe0w5dyp7QURCeFbhgN6PMudMp/Mwu1HxWbaU3XEV2YKJq
pwevTbvk3WzKr16fVbhUCrH0s9HbxkNen3ujYn1qe9ZtHTndVdD1TLLSkfOakcvBBrHKQj8DVq5I
igEw+KjmTOvocK5++28p0E/hS5XX+Xvzv+bS/yXHQB36QfO/P/8rOLcfncEcxPnpX1YfWpfr9q0a
z291m/Cj3yNB5r/5n/3DH9y6vwih0EiBob368wr98FY9J58peN9/5EdRblF6wz9DiwLAeeYT/L0o
l1+IgLBtbiGG+IG6+1GUa+KLpeJ0dCRnpEUMBT3Cj6Lc/gJUR2W5qwl+lyWQ0Pztxf9YEP8OgyfM
OUv6Z5KBBRTB0PA/qmh4dN2cW8mfNsZOC48/jjWYblhgkIdzqLQ5C6wl89L2mEU4AZmKiAOJXfkW
bXizo3BGxGuTJEi3TxyN7OdkmmwOqTELur6lqmb5LvlIsXHs2LY4wZtszTjbvlQ/Um8Qz/bhsTLK
/EVORnuoPxJyWhrJatnmYdutfekBQpEM0+JVowCxxnNeROzqpGpizkn8V2QMWPXszjZJ5dGjql80
bLPJweuGITv0c4iP+pHnA21sOBqT6h2muqxa9AyqeV/OIUCeRRxQjd36EnUAa+BuAlptZqq/7zQb
p0YYB6DxKXucvZjzhWoC+Eh9UFT2Yp3MZAcFwaOd6D9Cicw5n0jN+tZYxx+xReVHhFHsz3FGPYyL
zAUTMHiXgYXYd2UEhHsvUQAxvq4/YpHMDp/eUZgSVa3wGHUsiaUAm8TUDXMOK2vilcI5aamElXwU
rRKyGcCOd8zHiFCmfF64L83vYU1zblM/sSNm6C8wzTbNkDQMsBo2sj23HZQifRG/xMzVsL58REPh
5uABJPPtBzWso8tY8RxcApa8Ve2og1RPJeLlo3MlPoKnUOJWAxZE8qgEwXzhYorSwduYfkXaEmF/
/pIabgA/SKJVPGdbEe7E4dwyLEBq1Q6kOxG/yWS+j8xk1Rq1uEf4197bvkFoVv8RoGWrKbd0aVlo
uz8StsA3AL2xS4bvRUOzuMMkRrYrUPcBfQOP4BqN2hES2Or6GaxSvjX8MryuU4kevCMK4QW3GDuq
MhDEqlG39bPlJaDb0xPXpzV5k1kAH8mbDDQbXoe/bVt7k7OTnRKNbmmEAiEpN3D+nmY+lRY9zSI1
VegT/eSkRJHhz5HrnkWysR0xUHoQp5kquq0pIWMQP2Q9EoEYVAuV0Ih9TehB7FIM58aitCH6LNSi
at9NbRowcE1G5i1DtaAgAZOEHkXYZbsGNmFz1umZd512iEVFMcbEVA6zGbcPHDhwELgLdLsCFm2Z
mPFrGyKL3tmpAtHDQ37tmkmUg4ToZQA9gm90euM4IdmmVsuwcNElqVBQxcsquism5yKB5rACWdkT
C0GxURxUUTp8HM0tovOeqqZWo7tM9OoGEe+0skI5HX2nTg5jgOGqHIRXkpDUW/1pdLB3XGN/ze+q
nh4SOvhWM7q+XTo6i5e9dNLsxg+iVZPUQHYjT6sntvp8UjCbGSe1tQnka2zMYzwA2pOF6mG9/YaJ
YjqKji3oEtYZQHpFePF4xzQEolA5jp0KQZD0wnhNnUhHgwcSIzkUoTj8RrhtcO7bbDY09CUbH87Y
YNczgJ8uQzwO41LjK9OuHaNgPd3b/oA1E/kE5j6TteFEwhoxcicF7MtdMzb4dUqdeJ51O8gRoLoR
iBa+UjNym5/j0GxlFquxYWO48ZwTIka6SEQHS/E/4gxW+SYtC6NlVG4YvNrF/zQKsCJt0aITSYfi
qhZds9EKUIL/d8/tT6f4v9L4TdWwiukcyX9+vp/efPSwz+PnI/7vP/j9lHc4sDlDdY5STeg/q2Ft
54tNxBS0IIcR2/c/+XHKC/OLyqTAcRxSJPX5mP/7KS+ML5zIaLgEebvfWUb/zCmv/8IrosaAl6Qb
ZNTb0nIs+ctAuPVQehsp39kKXoa/hZdqsrsghJN5P1CFV1qBZN+YtF2kyZntDX2lzY6cRM9p7Tue
/rWEOrPLGpOUjsLExLBIQwZES6NvBhKblED/6tSWfvL6Xr1MFcVornQjM/WlxYq+BZkmI+6kORom
4BJ2WRxVJR92Y41F3TD8wF9hwPVva/bVKsEMHFVtqym3joarx26t9qGgu2NnTOIqVsYYQ6d9Vqcq
dDtdvRhHjLNOXJSk2NZd9cL+u2A7xW2hXPJi/aMKKQyqJNi2oxGgCnG58wV4WRN7I6ck3WLfSS9L
EYqtZ9gDKJJJ347hGEJMKh0QGCOUGbab5nUfgIohdNve9FrcnwobzRBkD/J1HF1dsbRH2No62azs
W6JIEsVdl9t9e/b4qlMF1flZc5TCnj3tmNpyAX3sKIQX+nuyfbvrsmNKRV2fS/9YclSjNbG7jn0u
Zi0IxFk5AGzVPMzXvqLPabK4DiiVNIxxyFMdRbueNMMZLyuUSNk12GUFiaoKuWgbR7MoLChIN921
amNGew/5A1hU7rF0qJBBpzXB1+B1ElEa13ZaNYIoCgpakEdColVkToptf8KxtPbwLW3gfAaval74
FodT6myyqtXuSGcm1Jf2yF9DZ3t3nOHQKn15JTKmmflMdl1AvdySCNQ9WCa2n4A9XT9wFpllj3C1
GVLnpFc9sFFObS2M1TVrE/JmEy8a2F2o/QaCYv2qp521zYUSwAHvgBS4Sa4SSG0W9q1hRXNnaOXM
+2Bf2DeJpoywf8gIkNBt3bBukpsmJjKnBQ2zYOEabPBiEchkZak702apqex9W40OUjxtuvWyUFt3
ZW7sTeLEKcYU1BuaeumzOI7zur4hooZiGRreJTNob90T3cpwSm/JN0kqRo15HljpogQr7MNg7JMj
6nfb5XdV7pgmKZmYUgMKEsnwlk9re8gRd+JxF/lIdIITRrvRJycXvmLrplQoi6TwW6LW+vjSsb3u
seHaokHKOSyXPhQI5Cu4e9XFBJHIrWC5LtLUuhvCML0ux3yT98wjmQxMd6iuw1cDL+wKN09xk7Y+
0/GgjXjfo3Fj4qt6tHAY7RJlak/4Y97ytkUig6IhXdmD12xjJYrWADCU+KFghXnT5yPABC2IrScy
pjWKU+wbOzw0ynoYBhzyAv+9qYgWqACFjFqimZwc1GnVgDM4hbuyToaIErTyky26pz0WR5M7TDqc
zHnv7ak1o5vaT644/ct9XUT09GPgXPp66T3LvvOa/55905+2s/+yxyKmDU6IPz8Tj89xHTy/9m9v
xSeDyPef+9H4yi/zUWg6lqlrnD1zF/0D4SewjgDQ40gybOxRs5L3b42vRuNrcCLqFgNVx5wPqv9o
fE0OV/7EEUC9kYz+M43vL0pp0+HYtTTLIpvUFDb9NB32z32vkfdeUGG8cs0+3TtpvWF8nRz9tHpq
2AUvWGRxQyH6LKoIWLf9WToM2M8DbZ7X3QPBuI9tUcG/nGZjR9dum7K5ihg4L8lqn5HeSuiW5BIs
KyN5aGzGc6oTP/RGTtk77nXHZNLfmgVHgbIUfXT509X40eb/rAP/bH75eHG2jgYcmz5Rlbb85cVF
mAebacylO6SRq1GPxt57VhVXlCPfvyLfpyn/iUeSXEnDtLHa8B/J6vHz2+grlWZ1iJk5mNi/EOkY
kXg1NrmrFb77+xc1l2WfRhVIxZksIpegieUfM/rx50vGTLlPOU4UfGLdi+WVILrS7L4ZkTlUjrbz
uhxsg9lheC/NwrW6tl6qpuzIoSoDEL19s0WBsZEhkTVIC7MsPSmGmFzDqB58pT8ANngWgSsp9bHL
5N+qIR2Xhc5CEkYeodk+8z3MO2tPV5l6EyWjI6SEqkLMm1TD3iUP+9nspseyDJ/0knt+EqvGX7zd
2nzlfh7X8OJtx1AN5j5UhlDdPr8HnmEF3ajDjcttexMgRdHSARd10JAjhPosfyhSk8EpNmeC+YaZ
NCy79DVhJP37i/HxQJ+fiKWhuNcJeJDkj2q/PJExGAY/9VEIJA3Nv1aWLAUU68H26znVJ3khm+4g
I6bqSXKoWgLDjPEaiqW1YXuDYdcR12T93cySv8EAxOdbz1PkP6Uj+UaJcf6LJ/uHIZdpMiuGMGmq
FhTBj/L4pyEXhSMSNfDqK1WdEIGgKrHU/lZ26k2pmBxu4W3d5ji9ze1EKElYqncAV4AfSg58Vs7V
hBpfIyQdMchygtsUmFhiCiBBv3+ef7i6lkkTANbUpCBm6PeRWfHT82RYYZlhaClYlpMbAtvKNbP4
HkX3cNnPczKvxn4V9QQjmHh/iSV76srpZkyrVcvU4vdP5peWQf7yXOz5Pf3puSDUBVEFR8P1MljT
hQrLQKPjxpVpi039lw/3cU/6+QM1P545c10lV8oSv9o3LH0mfeMHcvWGqRDeITQlTYXtvedTIW80
YCTwBNLc7cB8AbaywiszGHfMHp+sEe1URCrSyu9T+gQne/BaUnxqAjWj+nYKWehTkydLgsMAGhrh
tcNgyaWzX+AbP7IjkdvIZFtbaJinyfYgpS7XVuSpHRjsshrJjHQlZXlMSsVfe4z2YTrW9bax1XGV
G6yIDfK2QW4BqWr06er3F+LzzRzJxPzGCPQXnFWahfvv84UAZZPUecOFYLm/IuF7HRUXQwQKID39
/oHEH78m6EN0DkUUH5y/89T550tuTPgeGREFKz2yQMvHb5lBaSoJQF1Ojt6y9Q/uo6G/keW0a9rx
DHTq0bPTeeHkPcFSJS+gfvWtaZGp8bZKkDU01WnIk+/m3T89c+QfP5qfn+cvM2vofvCzC6IOvck8
jhou69iiZI7SB48DmmypDjR50YXIL4N6kQzZqRpAO9lF+eBPtJx5PykXpqwJsx1KfcsCpjtVdZUC
l+jjLRIpb+OXJs5+1r13bS/zZVE2F13ODE4WLbjFhgZYEQXuTYcHNtUOccE0Eu5QSjgsQK8WJJ/N
HV7TsuvL74cmevaCAsdo0Y9Po9HeCRZR7kTl8J6yGmdZ7Fdrry39A5kr0zoOkrvfX9s/foiodtCk
Uloh5uEE+XxpgbRQbuiZQ3frYXyLuQl2y1C3Nl4h1r9/KO0fPRY1B6Rl1hoY0X45p6nhSwAfueN2
YtL3LQQL3Hv6oagg8uNTkosEvJ6Zjafaf/cthHe5jnAPLke16Ju8cqdRM7koRnWlOeNfPLn5sT/f
ZSziC/jWInTi2/Rr2ZdEHfmwGPVceBD7EUC8oRym8utfvAO/ViqzvVllOYPtU4Pka/3yDlQi9lsC
vn3kCQHKuHkhDuMZiige3DDIISe1594viuekNL5G/Xht1Dp2ZMiVlsxIHpuYJJRVmK2serhC+BAc
gSyh0yNP+i8Kin/0TOeZEEMmqQvWSp8/Fw2bYMz8oefaJnjkKES7FKXMLVmH+MgiIGhYawh7Bxuz
ye/fpHnk9OlKYKUV6JVMy+BUZhH6+ZExsTRTTt/qIiO983qLWwybTScn5U2cSdJYhmn5Fw+p/aPH
NBn5zQs6zhnjl+vipKMKvcvAZ1p6G8bcOJPDYtgXrOFcEVLap+1LEHdfy0A+w7l+FhPQKE/51rC/
hMub5xf2kL1HqH+03GIZc/v7t0T+4QZsM++DXz7fhAGpfzz/n87cQSmhJotGcVGIwkupCPDz1h6w
MxwBgYlOc8IezoeoHwSS72DfTuYTgJ9hTe7yY4WdZ4HO+syC5p1M+HU6qGu/Y66sxOEVBu5NgWR6
YeQotov8xeS8XVktyDR0BrucP54K2e+BEoEpxv0zDm25jo36bUzV23aUj1rN+GnM1l0VryXk6lWn
Q/j7/TtgzWXjp0+FLWjmdYsil+8OeRCfPxUZTBu6jcByybS5FalxzSp+a2WAIqHlJhh4iDepjeBU
DD7caY//JzcyXAdJvWr8+txU/ZnFBYeBghEzjCUBdBUHvEX0FXkRFqYcN3XQJml6dfTrOXFx5OZd
Eq5c9aY2W0aPli97F9nAM26tbGH69k2nEzklwpPm6y6Qrh1phxddBDmlV1kmsQZ4DWbJXSvKi6pl
KMkT1dSURKrhOETRMU4QrOFOeO6aBqqM7sMH7jdNY57IQ9qU9CCrwYmBeGQwPGSGZm3Qy1WuqBog
Fo2xWDoQZgqKOZCwugZTQbWhIcMuXnpie/PkwZrI82re/uJS/OFK6JTLfDVp7WZR6S93htbMvMwq
4eDoYlmCIre2Xb4tcVrlPyrN/59lvYw3AGNQt/z5DOW2Cou2ev40P/n7j/19q6BzEXj/P8Yk+nyO
fB+hONoXunvIG7B85yPmJ0GvkF8M9g3ETzFZYa8g/mOEIsQXFL7z2EUnhsiG3/HPjFAwVX/+iLBV
QC+AsFgyQzFM59eSvchiUI0Sm5b0JE75uJmLH3ubdhThmjM82CZ++m4IkqVRx2g68+ZtEOKebuwh
tRL17JVYx4yyf23G0MI3TmBxM5igcRQNMH1TZjdxodYHq/ORu6IDc6cOQdBURtdmocRuLzqMTDXC
R98vLqwiZmsJiRUVuvGQO0W5NqlRc6m+IRq70sYsdhPfqJeZE8kFgc6v0tcv8OSR65cr5VOQg5Q0
zI4crnFkOW3oHo/qd09hnWyVKT9WFA+gDYkAYuXrX5FX5TDTNJSVCsmdG0pETDoroEMTyWlfKAjs
4FNaNBWWpIcD0XWHr/lWDePnPqge8HoTGt3hmz8paIlW2Ac9t8lRQJB83i4iIdszmVsb/OHyWJja
sBMxg5zJG3MX9IfCplELGweH8wjXKjK09l1rnYt69E0cbLp1zRwFjn0RrALIcpsRpiqrjDI7WRFa
pxnq9E0vSXs1JQjjoBYFltZSUBo71o7IsAKmmG9+a8zxqRqcYKmnE2OGHk4xjg/+V6YX31rTUU6e
2ak7p8dQGOJUQmhryNMUV+2alugtAmm+UZzSuqwAN69nLfSijTSBcyLHJ28BMSY9EQ8dEeX7Mh3E
2a6n16LwQCyRKnXZM0V40PPxgR4kAEs2EpzkRCo4MxIGy7hdFeCpqReVeBl3yXtIatbWyp0np0li
Ehr461OTjMG618CvIrna50hml/wtNJ9FRXyWldyG9PIWmLq9reIwRknAMICYLRd2RoxSPPaBjfrJ
mXggYL9pFy+n2CGKnpyZZVPIr5YeeSvLV4xTG5X3fF6dt0GFJ60qWXoxCcpZmKzpqivqW0/xboOR
yPN8SBfgEu+iScZup2IRIaxALgYFKWI2zOTy+qwZ0OGBJhYLVgVEULd5c6f64LApICiPyAsZoisi
DvjM8n1fdgEMy7ojTHzhdKqzGYba906RLspqk06M8XGchi1eZaaA0hyKlQabHBdPnCBvFFhHJSq9
NNSKtcln8NJv6m5PYne4Rc3GdikIuJ059QadzKlVIy8g97bSD0aWR+c6kvZGFIKoEqO+0/x6uAGW
w06LCLkt2RVoSKVJ9lokNnHYpXcJi/cll6pb9cbYNXCkGozLrUIFkxek1sWiPCJZ9vfT2Ju4Vjta
1YVmEBHceojOgYu5PmubBcZ45wLBxXANEw/DLbCW1dC3GPVrc0+Brl+qlVe7tofdDCBbeN1rpGuM
hd1eEkQB0R4Y5AuJUtuwmehHeivf2uqMMSsm7dpjXOQyxGWdEsBJbbCYLzF7W8vO9AM3bmZ1OPsm
doSBkSUrFjmweBXESQ520fuxdsyvrc/uv7RH7z5RLQ8wiBWtjU6NNiEYY4KYS7T+ZAx8dcKiPPo5
8ELQzZM4J5OmXDhphV/CSaJ7MxP3alABmQDf7Nd+ti1oCmhBxVtXaN057M3eRQtUQ9XqTGsR4nhH
5ETEslMX3zBG9W8du9BLq9D7vTOa/bZpyOz4yDlWSHhgz+ff2xK8JWkiB4jZwrXMReOrsE4yMiXT
USeRXikPeDEE39xQj1zsXh7mxMA6zBTUq37yiqOHUuIygF2El689tmbYbZDdlPeZSmCHQDR20cAU
WgZjhRwmRKieknm8JJor+tphW19DT5rOXjBdD7jdXWFj9mQFFu6KqL3mHFJ2be6Va0aj/rcqT6et
lii3eD7V1aSjyspF1lyCIcOFYU8hPQQFdCbC42AH8bn0ZX5tREBAUgCHZLrBJTMsVKogOj2XNd8I
/YMOaacYeH0bQLOA0+x0owLyPA5kHiwUjP0LL8U/0Fk6d+HQeNM08g4dM9GW1E7XMMpeQtgHSy9i
SSUd0MwD0p0VBgywGZhfVh1L+AW+OvieGbGsMudUnJ+DSDC3+2EPdaFxxD2KNmOZ0DmtfIRHJyIF
BDp9VPIkjOl+/03xAUHOBWSFgtd+N+rolPYtd18N8FugrZguXnasVnABxxheI6hANAREhHR2rCwM
JTpbg1acGLAg73Fsc1VCOYG4G9xhJsdo2ZNOzpmQLU3FeZwmKtLSKV7zgQ+UWSe3XRmTkT6MvQsP
+mLqkEg7jH457aKvdVOJXasozrKarzRkcY+tsi8ovbn1MIF4zcT0rbXypw6hOG/qBH4mEVZAm8v4
zIizcM8g5CoMyupkIxsmilBchxoyghFsxDLPOuHauIMWoLmw2dOHbesurm59ndiFqfaRYTdNutXn
nBqFu5AJ/d0T3spsjG8juSC9NF7RkQFBbaBchrrx+lHA/VcXsv/P7QtRpP7exXb5GrIv/LnU/fEj
3+tc2yIPep782ub3SpeB3vc619a+SHTb/4e989iSG8m27K/06jlqGQx60BPXIjx0kEFOsIIKWphB
4+vfBjOrMhjJIrveuCY1KCbpDsBhdu3ec/axHVPYIOC/U+b+qZ6R/3BoG9DI8QSsOaZQ/xoVmh6a
G2kyYAxMeEDMHv+TOpdz5491LkW2gzXLQsdHhKiggcCfvzqWJ72rfLuCUYWPFE1ZVeAtXmEwEpfY
0zEplDSau9oMtwGcrWIr8yK8Mt0y39FbUecsTU2CekVBvqmVBNA+mOCvpGy9buXT+NB7WTr0Sc0E
H3JQoUePWKFN1JqDPgFxVc8sNzmnyyo/JlYeH4os1Yeu6ClplrR7UOjlDXuK3a5U1PbBxrFsysgC
siqupMmGJSxtrcuj9HP7nDAUQr5X2w1wTMu4kDaaKeT1dDiYyozG17BBDrPQOYNPSaBJUxIDiHAn
TU7kFCMyLDJqYapj9z0kFTkiyAFOs8pq4I4kt+oeMxW0pA2I/vRd2uYfhlkkl0Qnj6HGROJERU+8
r6tfXHeOz7ZEf0cYs/vgznZ+EQlFwtgbaAfwwQD4LeNjPxkGQyyBc0DnO3b+eRtw67bEwseATnW4
IvppuNclxuMs8C9+NeZnGbUJ/X+Mw1HtrDq3Su4hlKfH0qzzLZGc08dxrijQ0QXj76JWg5OKrAno
AnPVU1bhel03wiK/pOnqmO0lh1xhLI7iFTeNkOc8N00yQsaBblmBne3JjGZx607A/4I+z4Mj9HPZ
QG9fgAvWCAjYL2TzUnnxoI4D1vGzG+G1WAnm0DckIkAULxRqn1Wh8dydB4YvMMqhqECT9ewuxxwR
BbcNq6m1dlsEXrtywtPQjDg38JsXOCRCXyWIWAucFvS2aWgBkSIBoJHXCerVj0bfyV3YDOW+BGC+
XFKfszMG/lPdNs7Waf3xKmuK/qY1vZxHiTxzWtmjj9dIDrp/8E0CEthALfm+A9bzrqpNjWd60OZd
wGH0xpVMGjeODqtDR5jToQjsgfl2R7xCK3AaIJ5N7xq4MZBF40gBep0mOOJcUr/rcrPaOsxVYNgD
PLyPkaIeUFOKgwvweAchpAAbnS0NiNqrLsT3tHS2HgByMJcfepwk8btqAMhVZVN/3bXcY5MknA+w
ertbp9L92rHRhvu6vGlH89qaJnOTdeOMMjlfwgQMbhnGvbUG4HMJ2JAJZMNkxVs9jfF+0BpFAPxe
XJe1lnredoifZza9kcwtxNRfER19ADatr4Cal5dBBSNZ7GTKrdLZU4cO/TEi7REv+9z4zQrbdniT
NriK8JOH5blLUGft5GAmWKRE4t2VSU4hTcRoC1gk9y5NYOrnUdrURaauqVA9v3LPTh1243HwZdMR
kBK5yVaw8U8fbcFDeiBwbtg0FOhfcszdBLeYynXrK5/ffoDoD621+d6ImOIe49SDKJ1GPYfxyrIz
8RnKTBhclRWy240zgZRtvSoLVkPnkWJLIn1irYXZT09Irs2N07UEr8rRLk5xlag9ataMzFRUsJC/
O5bpFUu0yLae0+Xvk2Qc9l0AJXnNYv+uU8FwZVptc03+cvmUa8chu0e66Gj9fBRfPHh2+wYn3QWL
HPrd2Ah3fZuGLg6u2bqpzHH6VDah+SHX9Nw83TqHkbeIFbaOIMy39eOQSIRRuZgd+JK5raovUd9W
d7Pthl9To5kOGYTtL3oYSS6Qgn/YDDHgADWb7XE/RpbTPCYGkmtU6I0frdsYx9f91Civp2ghjXVH
i2y2j1FqmZsW7u2wTcjhdQ+hXErkomMeeSkLr5bHAq14sXVkgt3fzKL5kegrSQZhDIsUgaTLQbYB
SOHupVNGPWzcILuMdCbYXsAR1WbM2W/umJ7IOqz2E9BpCLsLryGPbvKmyK+0j2bdIHCZ2ZQdcRpg
41kVQ1OfgKQA5+8Cd9hP41hcokwPT06iItJNAnxHM1LFj53mcuBW8EqsmgFE28brlHWOiGmkBvQ4
WSKCrL30kEXlUKzDpJg+C1sx4u+zKfgE3JDEnTolXpqOB04vkh1FGexhCdDQFMVE7iqYBnsiKK3K
7xvPazgCgN2KzyEgQcg/XReRnsECn9x4ldBQw8E2HlO60sehJh/+ktvVcCCLk7egMYpzhUsPsjt5
oKDex3GdkmVEwzRuqXC7dtfkWryodr63e86C+CDC7kGMGVxpAPf4I9tUezh8ITo0Kzln7ouOJpFv
gEm673XndMHadus0OsBy7+Ntp9yZAzYW4pk1O23XYhqmr3g7xBNetuGhhSqfbap+ah9cSwRnxTvM
gV7a92aj7PcIC4szC7Z9amCZrJxUR/A4pssc5Pa47lzQnb6TkQg2n2TLC7vCLzl/KfKKuOTOsqeJ
r9i4S2ZS0cCG51FGK6UKPe3gLBjl3s5t6xuF09TtasMvpjsrEvGTExNwz78u/HNm0rPaE8RsPaVj
ynrHAaAlc61aGuoaW8WN4XUEYGBGD97XeVAcTCKnwGpCrrEOxFH0IYOQMBw3bky9hqhQQxJpsoYH
ndiIg28aIF7t1u+bnDSQTNzoFN079oKO+ArdTyU1RIB0lVDB7oMqyuKmk7OxqTjlYJGjL/fQgJR4
wTHlyLXTNR5ekShioRFFDH0EXapaS+K9b7hqdQpj4rAPbi1Iu8virvna5LEgUyAaIoT2TFjQh04t
GlndWR7NCsaxQLlFzILtcrwmA6IthovHEW3mWNG6HDUcs/5iMp/J4NT01amJlVWv7UF9po+aH2oF
b6WzUZuuET/6BjmpdDvW7EwzTSiVLgwqEX1wmONeOSLt3xtJDj5fTJzPerN68gf6/HAIksjcemhU
zoVu0m1a9GmHn6n8gshmUVOH+nkuq+qoVcYz73HLXI9ZjVsBS2FLlhqBGEWXcljKXY5XO9LB1W2a
EIcKq6hlnJWTek2ciIJtn3R04Rji0d7HeyWH5ykuiNbC65VGWwOf79mw/eipw2L9FYcdmBQ0wXm1
rbpqNtfJXPLTQ+KjNnOra8WqDKoRDTOIcM+03ICDVVrgfe3Cdz2kf3wPsd5rlxZwTWQL1ny8IPMU
7ylID5nI3GbFWKbc2ROiN4hcLn2fER2O5ZOGRMyIjQPYYwlMiqx5PyRBtrWjdlyz77OeZPwqT5Fv
hYc2yuurqo+GRxJniHsnoWEDDGMkzNzN83WjhfoUkUlKbmMcW5/HolqT+0lPqZo/IN772iehpu8j
Imw9sjdX/kRew8qefOd7EBn5SiEzQqIJYnhDGLom+BJaPJs2u9H7WFVGsZpHy7ml0+IfZ2xSGtk3
Ke6HqK1zkz4mMyAW2jL7VEcOwqyZBQK5eUXOg0tPhp4RjemDZrtYt+wBxxEW030VJMO7ECH9yhly
icY5pco04vLcczY2Vqol8eNgNIVPZmRZYjsvZTA80sRE+OYot8KGmhWfkGvpZ8nIy9nQpTS+atuA
V8D4gH979PUdK5CQ605YNVl2KJdvYVgGV7YwyZ9cPBK3gI30AxoUfK2hS9zJaphK9dEFrweAALGt
CW1JTx98Qko+d5HH2+G1RPecefEoDJMyrl4Ct2segXBYV0in5G0xms0TFkgM51bdkY5pRe7EPkvs
2bpPjGBPhtV44NczMKyMRffFph2XHKo5CfAbehCWReWRKIG7z8efO1nkq6UNhFK50KLyvAAcZjRe
9Ixg1MVxO5QKAX7OA2wrqwWXVBrmCwTB7mS6Q3QZZLGgXf2lBIOTTD1QzFJTHFiomqgJGS0EU3NF
KAZhVooMU2M1y5BmalzaxVcWifQlHQbvktMmtJiPqnLLPSPxq/cTbOBE6+HjAe0Xbsywete4aX/m
ZbXXCfE16762zJMJVxHbRWbT6euGLasqJCUPcgqA8iC0Vya9XoJ25yl6SqM8+BIFNa+2xgX5aeyc
9ErXTiBXXuLTQO4bbX7CeAfqQ8ACS4xMEhbIuXEgqBPpyXjWIfJzNWfpFrdUfmOlc3lLAzyVKPVA
r+LRYmGpK5zliF/WDovkS0CrklFL53zE/Dh/GnPFKKf2p2gxb6WfalkxhBnz6KEjHO9ZhoV4SIaI
85/HHnINVDMc9qQ/NuTceLLN1rxYJNC3wqEJnGgNrDBytmMxtKTLGocB6ve6LB+IOIR8EXPdd4h2
afTYtYVbDiPLeYrKvADk1+aEjVrxYZwpLhhV5HO8hqkVf3EtXAVLRO9WOV6BD8GaI2YPZXyOCCa6
dc0wBik2YCZxepT/YUGv1eIyqIzQNvVLd7sd2HAn4iQe5QARgAcacvz64KWstmNgRw+qmp9ejfpu
/xho/3uBLnxiGCv0ERisou8C1PxGjoN3dfDyAiQOtj+gSr6HTHWsXOMMyiGbgSiG5R+9qX8rmnqr
mULuguaZoXogUKa4C+bndQ+DdA9VWHU7M1Ay0zuQHu21HS9klNL0TgnCu7250HV+fZlv9RbLZVrW
Ms3H+SxN643GQyZmNYdeNu6HOMqvqGvaW4QDSDxEGj/WM1MiDoHwoYdB/TG9/m8r7jd2dYnYnvbV
vx8733Zf0LB81Xr6oR33x1/7sx0H9wmS9tJ4c1j5EeL/sx23RDtwWKPt9qdnnT/5p3If+JQt0ZdJ
k1GwL22aZH8q903xD7rOWI8YZqOFwg7/n7Tjlh/qa4WIy8rv0y5kS4JzTun+4w/5L0ck5JkPIZTP
xqdEiBi2EMDAGSlTC/Iv8K6YUX5+daf+f97aNx9Nm/L1OyRT08sy0ahtYAO8jGISu+J0PtRZ+GlQ
pv8bLYxcruT1lS76MfIaqHiRqdtyGeS//rg07FNkvkA3+xQMa6TwtwQ0hzajL7Pd1NTPIkrTPU9a
bfO887eB12NqroWz6d3uGboFsX1zREROdos19eKkI5OI3Fm1InyvVCi5VW2ySqr0bILA2/76XuH1
+NvXR2sI0hjNviP5Qb1ZcaQmdMrtlb11shYNj2VB/iZqEPd1by911ezgfpjgetIfu4VDkDzYoXMj
GelserIKSFRSz9lM5yL1xQfDLq9iy97TBvgUeb2ziovkiOeCGnXgv5UFbttyAXhEA3EeVYyO15/U
MVJSPBqlsDUEWH2AvbshNWjlzXdTJdYpaNPeie9tJz1E0/CJ5CoQ0zGjmmIzhn27jpLsDqLVfZ1P
iF6/TAsdC2DuxzEZ57034TGjbvYulQ4oyc06O2J27I5IjQnXaBaet8/FjDAbbW1ae+Dw0aObiTsy
yeggBnyyhefvSpLC95IWrbevSNjATtKyUZLhsbJVyXaMTEpvUFkkN5P2cKZgVD4IL2OX8ziOERQR
nGy8mFe+z85hB2lzixXKhgDSEOLVVP5HS0gPW2FS3fgwkyhPl/4zfbaPtCiCrTPE8lPtzP1XWMPi
1JvnQcbD9SBm0kuE3zS71MqqnePK+VR2fIRw8dL1pbkzSq/+kiTplySq3OPAQRygFJlHCEnujKbW
NJ/jU5jlHwCxnBSkn6h3qV54NE4z6YPZ8BfqNOQQX4Tphu1QXTiAbceuevRynvevf5By6dK/fp0o
NWijuBbjcMpB7619JIgqU+FjM7ddnpfg6GFJl2uEvXGGIiCq6VQ41mOSyPFqjjvjYxw6S4fXJ/4s
TBQtb896GmW/npeW3dB1/tex9KcHKxP5viE7ZO0CRbuPrSp7D/6x43AZim/fL+G/m9pvNjVL8Mhe
Pe2F8vInveX6pfj6//7vQ0KmQvF6Q/vzr/y5ofnonnzUUihNF/rhXzoq3/8HmivU9eYiolr+/39O
l3zca/wfgYUW3lm2wX9tZ9L7B6I49FPUbli+l+3xP/BmL/yXVz9L/B42gyUH6S2uD4T3zjJ8ejVc
Cq0YaAjA1oNNe/M06yFbEyp8sSH7nbxxgP+BrnNjL/hqwNnjUzJk0QlwK70yBCsbM4DNVsje/5zG
jbkJ29q7J4N1PFZG3V4A6sW/2ZZ+rOn+/n2XZf/V9wX95raJP5mHIMmHA/Ivun5SAMsvw42oBUJu
7KUXDpvh/tUj/cnui+bwN7fqzf5bu3ZR69qaDknUIO1BVQ/0WPm7mbCNbdoZ1YZ+mrHqTAZYmXRu
xh6PsauCYgOzmX2kdvRhmktnhQ8XVzG6JM4t8Q0JVyzaNXfPtcab3AqjS4i9AbB8RQNMl+LQgMmr
QSnqPHnKgK1g8FUGC1yd42QmjWCCRKwwOldxQYBEW3QPGNMjxikeMWn5mGzzWhanIhDVhcZictGQ
JT/E3dBuTKOurhIzl9sJhdWO7v5WlJ+nPhZHFqk9Iwcwq0Hcb6LBFE/2gGveI0R5n1s5ja4xSnap
131OddAgZa0kTvnEERxYjXTH8rbkCilyOWIH569Mnxw3vOmm4Y40aE3VvRly49luyuDcEhN8mtLg
fTNLY0/OKQcRW2ym2JVX6RxdiqLgqMihf+NPKV2HLtlbA1lIve+9tAVhzz25g0j405PV47+W/XTD
qdTZoZ9qtx2uoTWIgPZUA+fB5hASTAdhraL1txu1oB9SPdIHPYEZDzeRrjc9diNJTmKVqhMnOAch
gFA7qqBxU0cFMVCz7PdV6ttbOdDOKMeJAE9CH7ZcGM7+pG6PjnbFxyHSUAwitFsLcWw6UDTcDV1g
nXhryDfvzuEUUCT5st8x5Xtk8tjfjcXY4pu0yXxwO0BEQ30QsfHI6YjevqZFrQOeSYyt+yboMPz0
lpVfBfFS5jDnbXw3ZPbnin2bxOHRBu6y9iXARlXR+EJT7qyhAC4aYWt+NEYFlYxuXNX3KLiK42xp
8IhxkiPn5dc8OkTx4hCtVp3PEZWglek8RLFYj0mb7AHdfLK98rHNWnDW0tkr5cPU9B85AG4at4MN
k3MvHVQPK2abB9dqicJVFkEXHlNEkmqYHXT1ZgjCVdcHzsHhaS4paHvXeVeWTbbW1uTTqYCYYOVd
CnveICk8T6loFFWc56d7lQ/3ZinE2YjAm7nDOGzIk4AeWrec3as6e2AwYmxIadqPg/0AxG3cZP5I
C3uKabN16bXrj9itYoKqED+26zYViJ0NuTcGYHzEE2xtF2CdHKFbFsE5crKjKvz7xMd0qKbxsR0T
BmEEgbTxda/MmlAvkseZzozNuzlXN55i/OOJ7h66sf8E9yLZ4QrZIkp6yYD5rOEVXXQmseKXjwzk
tnIMdiouPgNM27Yzno3cM/u1kk28Bq90jX4q3pvwUJNUEeoenPC/3oxedErDUl4KV0HOCafJ20Wh
W1aryqqaT7QBHO57KR5GInER28l7oyFkPUww8pVBP37uqQCZYmu3WMnRCl7inDaR4LKO4NogyOUB
8lpKDqYYqiZqemoxusYdtiHGjQddJ8z2M4lEHhfgRhcZBAdkLzAhIBguZpxDzqTvBHpVb+jnPzEh
RugZqOE8iaF71AFAISSC4CuJq+Cobjb01rxkItrBE1cmXfJjoDp9r8Kiux06Iq2Sisgy6NX8h2RN
r3uEPHDMtbiCV3lTT9NJS2vaOm72OJVpe8pCRlxuZr+DlYNcovayNWEBJkFlHDvwUelrSWocAL4w
3rRE++Kko5xPM8p5bHbJMfKgf6QGuVxGlCRbT/Qhi13jPBelcfLCmfWONlsx++mhHMj6gGo8HwAW
QaA3q28ekjlB9sDeQSy9NvosOzRB8sEytL21k/CO+JASbEEIpqBBSpv1pPQORmoeC5qe17P+nRvV
+rEQ/b6D+pyf8Z8sBnngLz/uoH5VAuhuZvPAG+whK7SlsUjEmE8v8TfkNRmbRJnZAyHCUBYQ7V6j
xASWQbj2Ge2lOtNHobhuqmcXj8gdJ5Zgk8V6sewAbb12vBkwoCmSTdrn0SEJ2/Ig0YNu8aqzMJTi
pBUAdK+OvoFyxEzAIWFd6OKO72GgPVlgd//qL/xk36aIelvg/HC5b86BRBpCes0ck9S0Jrxv9Iic
i9zkDUTFef3rj/rRefbnnfUWORD/g5po+fNXtYk5gKBvYWERxed9az2CUCbH/siModxop37+9Yf9
DSHAE6St9denLS23V59mJGQTjlUqD0T/EALnWO8tYtOO6RB9MRMNgNPN2tsuzmMonHI+tAYpzjJD
j+K7UXsJUmi6PMlNw08zd9W4S5uuPXXhgowcOYEmCY8wcwaxIX/K2ciJACz6ZoxXM03vejT51yri
FxrLuBqXjVotW7bN3v3r6/zZ88Oq5ZhgxWm3eG96laZhx6aRNeahCqq7Kilcsm6AdCex85sPMn+0
P/3x+F5/0ptSGMltGSMVsQ591IFGDYOvJsSZVQ4MZV1m7icXkMxqJPJzFSyVQk3W3W8alj92Sb9/
Ayp+ZhwwWHwe7fLqvnqkWUEKlcE+cnCVE60zN0T/asmM0s01bpHRMEDrFACiX9/hn134Dx/7pqaW
bcXiVg3WwbCdRabifPEywp8AC2Yr8puNUzmN1yGE1luGG9XWG5g1/y++Ag8Z8AewSh+x3Y9Xngtz
bGoE4AdyETTRdJIDcnMB0cHct3UMsDPujeML6k3L/ciqr3a//gI/eXWD15//ZpXohqABOR3Zhzbv
PlpNMl63ZWidCoUEfDKi3zQDlpPCX72AP54z8nOHZ2xKNMNvrjYekNy0Ffp0x2rSKxNozyppAGD+
+pp+8uZwP//6lDfX1FjC6nPSEA4FqqPVwAWuGiadbQGe4j//pOVShPQdTqt/W/jqoCsR64rDDIFr
Nfjm+9wNjry3v7min/5SX3/QmzWP80fX0kmzeTtr72sytDep9Ox90Pkkskyd9ZBFLTkT0VIeq6VQ
ljWWgV9f7E+OzLZYki59X8gA29GbdSKMx0F5SWgdCFipDzPqtEcEIuYRdZF1qK3xqaqDbBP1EWp4
UPxrFcVq7akca3hhvBgMNJnZG+wOVBflOYuK9662sAgl8l2qiT//9de1/v5jY4qKBg6c1/KNUaP+
sKgw5cvCYtZ8NYAC5URYhhmLZA/tWqCyni9j4I7buhMIxZAaRgMiQw6hxi5h9L8hbAXyO6Dlje7L
I2VquE0rE9MsZ5rGMDFdjOpbXQ/RUaiFQG7ZZ9Pr1SrBYbXqJ5+AHYPcpXquqK3qUMF3/IrVFUzk
oAr4KL191TTN/fdL/m+j6neNKrx6LAL/qo7+1qh6/7Vp/8/qaxm95D90q/74e3+6/sQ/6PcjdoZV
grLs1fjFdxikEJDt40VYGlwBv7R/9qu8f1BLeiDE6VlJj6nNX/0qk6ENawNrnfe9HS//k37Vj+v0
MrnEiyiZJdKywqS8cKJe75CebUQq911/r+Mu2ylsXQSXEUmGv90ncmg6vro9Pyke/4ZEWVyMYJ9s
D0c9TJS3k9JUjiEOxIDxZNZE+0hm6VfbstVdbzLlHqceWFwI2BeVVCAY4E89crCU6fq7WeMOHnpp
PWU9HL3fLLjf15i/dpDv9wHuDQ07eneSueqbSmE5l4C3Kfz9IPOPbcn3oPr0mSw4B9napwBS+77K
LagOSQ6cdro4uhOnX9+cHxeWP74DlCcpBCZQSzpvvkPmK6AlJBLu6wQKY5g14ck3k+rx15/ykyfO
9AkJPBM3gAnB8uevaiKPm5zGc+rvrYoeQTZgFvLo2aNcWamBJtKvP+0n1+RYgquxPUdSwr/5fSGv
Nclg8oN9QHbwbvSXk19Xy998yo878/c7B0D7OwYCsApm2B+vCUCsqQj89vbo9bmMbBrIZevu+yL5
/OvL+cnNg6ywkCa4Hg4kbz7IMQCnfP/5honAt2ik34YEJ2VmlbeE6V7/Lz7MXfwOlk1RI9582NjZ
VeU1NnMkbAzr3EcsCoOX1tgM+2ZM3cOvP+77APLNO8C4F0W8zYrAOvXmWSUQl2bUqd5eEZYAVrcK
rgYInve5GbtgwpHD1KVyd3FLqO9ckSxpYoL45OZWSWthVPdp5uu9VRb9xqLUNml5qBqCtc/gzJnn
21bWRb3x4zJQxy4l7dUqCh+QZz3HRPUtaWboGcwNwhi3R2nv3mlUiXe/vsafveeLfJ0eML7pv/8e
B2T82BQTbx+VsTym5FEcp94Ra2aQTwY0BAZYzbHU0TfPiuutTR/mcYhs/ze3+me/V7Ct5I6Z8PEY
Yf34e9Up2lEnzIM9g177ONrJdQl5DxstpNFfX/DfPwmBCPsH8FGfhsjbZwr4oxmCFMSph8J3PXY+
Gsqq+NhwMNv++pPwaf397QgEs5dligIv5o8/f7W0KKCPhicbb28HvcQrZyQHzYp/Cw1pJDCTH4JU
7WOUjSRbdi1NXohLak1rraZPU43DAYtjvqe7GHQYNRz3gUAp5wW8pH8YXMwna0t10wO9cfuqbfvq
nNEARiIUT8wszC4ddzkcCtJ6TLUWhUeEXDD5BzwX7o7AvmlvqEbB0FRyazkQ5vgPBSI/JyJ+cD+0
ElFkYYaXLk6dG0hJY7oGCIdvrx8lNkE/uQlFkb5MCnKu3QfDVuTBfJgIkF9VvcJlrVrvOUE9fjNI
LnxuoDsYIcwVh3Qp3MgyvBAcvQmy1trmROkeYyfhZFYA2qMKrx9tqetn2ZX1ix8JPPAxSZCreFJ4
KKqh2aJiRSAalPkhEW36YIha3QBU99Vq9GpykvU4a4bnlnqucXZedB+H7+JgJh8RI8pnd2jGahUK
6wOYz/dlDp0HGSaug7TVN1agrWuvIGmTQBMLneGh7E2rZgWI5L1p+kTPWrHrn4VtNTdzjx4PrLa7
b5TO9lwOAtAeJn6Y41dpZlTbp75KRpClbj5dBV3Aw0yyruiwPIWoOjrEu/tcDf1XSibuyWAhBSDN
EgdLZ16rNgy5ZRYjHFXZzXuTpOyF/Z2qTeHUjbsKtQjeUbYBZXLKoH3ykQ0SxyH69aAwc2nXsa9U
70JrUkv4YhL5dQjwgq1/Bbu/IDwR3Xm3yRD5HWQU6F3p87xl03P7cCo5L4glhw1qPbrCojeTrY26
6wOwp+nMFNH+QCiB6Fc+AaM3pK8Kuj8cB1AgdqLx1ywexDtpe9LuiuZD8G5oHKRujBTKVS9E+lk5
KdfghQ6/+KBPm4ccWiy9s3ioSbbS4alAupeTvPZtjqwpRTSRMNsWLfCCvS9rGjUpU4MrmRUKnFXr
VhumdrhU3Uis4hDYnZwpcFasB8UnsIt9sKBkjU1ga3XUAagDK8qI4Q0FENaZ7usqtaNgX5F/qdci
K0hgKMNrrDQRJ+kKv9lYmnzfeNBWtSJbxU3WhXRjFPpGAqR90LuuN9UpDhyNPq8sHqySxLUsmXYQ
kuNHogxHwmBq1Pt8t8NgVNEuUG1wYLZf8HzHYhO5I7+PfM74qnHeYcCoIvMdxhfvbE3qa2U6apt0
OqE+VepjEEKBokC11NEwtSajEvUjxrgFWUic+95gKEtEfcbdF3528QlvXMfjFB/jUvtcK9Gf9CKK
F4Fk9zolTvfgWzr8klkzCaQZatC7PhWkdPOIH0Lw3wdyzPLtwPxub4zswpSi+nPvFO2dDDCbYA4v
9rpBq6NkZO58YRnMboMd0nni2klWP4fAQLejh2dPIx1d9fUpchL/jIxDkas5D9gmm4gpTBo+RVNv
n5U2oxtye+VZ6zZ4SXzXeiI5oN3miOcdiFFowBdfygHaeMX8q0224J54FXwjOiUZeXm42PtNIR0E
k3X/TDprc/IrQaCBgwKdoQMR3+FcXloccN0aQtCMfzmxV5FLstnKM/J0baNIZ2JG4W05pGRYCgUN
+dAPUnnNpSZS+9MI7xrBJ05mtvmEQVU24mWrhmMqjfC5hhi9QllCFJSyYeFoomvKyZsvUZA+A5lw
91VDtgKJvCCO3VsCaO+FyPJjERfITjorw9xBwPfc93tkUMaustzhKzN1tOhZnRUz75phPo+Bsi52
3lwAv0IFwNqxHgcxEaI7mVfo39ESI9HOdzr3so2TV8OuopeKEQPIRmq6hAZp3d+HTV0mO40baJW3
s8SIbXwbEbcXg+c8UiTN+07hNHMqXmXXFHuTXuN2GCrzYpftXZ3oKzgh08pj7rvGdgPhKSxfzKoC
+8GVL0ClJIqqlbJhIjResyEOjdAeiE5MCAbrWg1deE9IbLH1QoKlmYBe7AoRMYnqYEotdyS3vFMf
wwAYn0fA2dqd5lvXYUaeDiUuB3cc3OfSi7Ft5tGEeSnMLOT4EcANmxA6yqqprJ+oy8Y7WSbWIXet
cI/7DaARi811UjDfN5URPMRc7wcdDD0jpTHX3A23cEeWc5WOy1ix8jaeqkKBq08TguVW3BHYHbN3
m8OFz9mtZv2+j3XzibAJuqzKCzRY63Qa/Z1bwuhrm/kbUXQo+zBmrgaveynmvDryz80rrIqokmxN
PpsTKKBUGBmB3QoWn2teQrDSaROuEStmH1AmqJOMQgAtHeMkk64HCKco3iUJQHPTpW2VDfqs53C8
QXT0rqc3sokC48nKcS9abPK3rlH5u2YOUyAjsclMPXQHfrlEbq1nz1YPUJQeyHRVh6qm3xUQ2HRo
myw9jRNYyQIp0LEL05hVvisxqDv8KHol5T6qcnfPkmJsoY2IFRanHHBuIW+7Ok82pYjLD5WPS1cB
hwmNiTBvzWoxNkH1jQ0p2YIAyA+0/PqnCHc0dvbRGb7qfHbsVSVwCqYaIsQ8B4Ka0Zl22LjgW+RV
cRyS5lslZXUah9B8sMwA2YGYbrHuZqdpdhxGgxYhk6Zp9O8YlpENCM9lG/NsbqBZiKPnqBDtV6Dv
ZyePdk0RftHMB68JJox2eRKUJyLS8QxkaZcdxl6g/k3JROxCRbJHIe7UjJ2usWK5m/1+hGjj4KeN
7Kg8pQ6/BObBYmdaXbsaJekD1ZgAkp0SYO3oKoAFjsA31p0TVp/lKPMzc9es3ZVk2G8DN833YQnH
wcamt6pj95zZ3fOkxwoK5Xg95lXzxSnq7krVFhB9kyg5zobXHVNaAkib5sXCY7UvhOqPhTPts8p4
V6Khz1aEJUZbBRDrVIVFuo2hj+G0dYsnJobtNQzzav8/7J3JcuRIlmX/pfZIUQyKYVEbm804z6Rv
IKTTiRlQQKGYvr6PeYlURzCz0yX3vQkRl3A6zTCoPn3v3nMFm+BhUkhz5qp78lQaruo0JEk6GrrP
th4Xdu4zAdLJGuA2Jhk3ymFtLrBmgi6qkzu8ADWeY0A6OIXB+4D9JJNXmuF2SrsXNdc9shVzmTrg
Iqt53DYp6/bSn8P8zLTpmom8kIGY7CGC7FgSLa6Ryl85C/ocwteyOwp72a2S/Ay8wIG+qmFEAXqr
n/XZDqaCejtg/ax9IupGuz+WBs9ykGrn4DYB+Qw2Pp7QnejPI5zbl9ZZRxjsdCODHTpISDtKWeEp
aibGr8Q0HlxYEZNVbVpT2BuOUBssqmpPKV9swwTKvp/m8Z6RJkISfv+qq+TPvpXxa1BhDVKCt3mc
/e2CvLZX7dPck8SkIWf3lnkOc2cg5WwBpd29RT0IHDe1fobEyjhucVVn/kMysENllX1TTsGvpPiF
f2TYt2cAjsiSx9432NhbdVIyuMykfWU5i1mTc6PJsrMuO54gfDERNpjRDX82E9yWxKnW7FIIBdWw
d/22elncT1px5S50WuKQsYGviZ1gOiRnixuos0eCrCAE6fqpW8JnvyUBmsyXQsU/pkZepvgLPEf2
F1iDybwqu3xXV+lT6kQHWVWPDLHfaqc9KqbhiCXra9dHcCycoVn5ahi3mKrBwuVkdTkWwgxP0r9I
W+dIdiLIYL+8z3mrjmWeftB2OPrjvLHCVoIstREuAUdt8zQ+4E8YbuookTezCvQvcFQRTTN5LGIL
Inom/d0Qj0BoxvijcJlT+xz3H/vWI2eIQz6vrCX9n+kCMqiCc57Eldx1kYCqWdDXdmKm0pRSPlnu
LpyXtATIoqc638AS7wizqK+AEkxrXU/UKiqOONyPHvN9jgh6RHdhAGuVCV84d/KCpcDEK0DyuE8a
7jfnVlxjVvDAJPXGc8ds7Tvdj6FadpoUHrStVJ/wDwyxqKz5KqGgd6N7TKlX0JpeIIZfVz52m3ri
vicWYiNCv7tjmi6KTb9+Ej2mzI7kDWfK1WtuE+JuM2lAKv0RWN6LX4p+vXTs2bPS3DQgsQrmwe1c
QjeaaIYydSbovhsT++CBgNqqGJeJanX+ng2m36deCuCYhsgpqEW3mgOQ5m01UtsG3Y/aNsMeGSvf
VOQjtOfhRtrtjN7ZbbYLOpyvYE7dm6yZqO58t9zNQjQ7K0K0NBfiqubMsss5/xApElMc+c1aOt1t
13PAkIhZX1OCx/d1Gps9LZaH1iQEzyoUuUNyHVIe3ujWMtuJtWPrRTGEwsgpKPonzs2Z3bUQrchi
65hM7ITP4Tisuxd8xjjiGX7sHGaVYGv6aB2M/vToWCR7BLWiluxGUJRN0Pyc+FKnoAugzEzcUsc2
CoSSZfbst+JatejekqaomfsdsHjnW1Q0zpWY23KbaJNfFcg1n0HN+8/hJH/Fk+1sHKce9mnpiheA
Bv2htnPrQamh+xh5tm/7LvSv5gyzWu661p6pybBH4QVMrIz0tcSav/Vo42yCFPiGaBF4rUaqefLm
bB08CUC5lkl6dydIxcAGR49vXUJTEiuTKnPEdi3g/JRvM5CcVULH62ecpPUW+ca8TjtKoZ4j8j7K
QfxMCOc2iAcNs+VabnIE2ASl9fObWaAHj51PKGs97oS2zTH2chBjuSTBAyDZbSYkjnqvQBAK/n1T
a/8upRG1HiruOKKO6AAgyN5N9FKKVT4atH4aBenUdUeiALZ1NE67iBeds1TVXaAZGKAvoH5BX1Zd
RQjiKGOhmsvCHonuxTCllqHbm8nx91XZS8Iqi3lrcITtF+kMh7gYwxMm25ieC2G/bkY1zwHsYdSO
S7xsbq/9qf+cInd8xej+ow6W8qqdUjhY2fLJcby7j8YWFFfSWVBeLaN3sA6GCxy9T44jX/i1+lR3
jC/JU93qlHJY44BedzEtN2fSGdaAtkuvHWHRG6o70LmVEfSCKsum65j56ySseXyaRu1k2sTJjkOf
92KSDqJU0KiXIWebxhLar8LaDITBNZyt5pzMHHoV9ZOyYDF1Uare8yJ177MhE7e4j91tCgpsXvlL
1t0WTvTRlhVpwhxBmbC5PcI5dTabwpfvowCTpjIBAtC6+81R2PrRVByHCQahamOgS1ZT7S08nmul
w3pFiEN2mtN54WDWNcEK1gYJRvXyY9SeOCRLMr+mYF5XZZ53dDj8jwDdCcVBhKfeBVegsXadhasN
GLw5u/QHTlph5OY4JMQduFmF1qpO2gNAg/QSiFy+XZomu3AGOPPQYemoXpSTKYOVZ9zhbs6F9wm3
qnVO1gK3cRiJL1u7/hK8ooIE5eCNwSS3nUmzr4aHLFi7as7VZZr08+NSRQFOHAHSYhtaU++RetiV
r6MvzdaaR056S788ovLw9oCv2R1niFhMTR5y37BmRl3xs4rbdJeH9rQJCRlADwuzr9BKPsUF09p+
uA4ruzuVAbrGBp8qjyFmeaLLq4gUdwQsKy9YNDHmdQuuEZbJM7+oe6rKunktzmun3VTXmL6LXV6r
gEioyN6V9piyzIV9/aYa5Z56WZGk7QXNvPHIYj3YpP8+jSQ6PhTx0D5mhetdCfS8CMUQigoyohAp
EGS41qUqD7aKSA/og8xs2gVG+QrXAWsi/lt7ZTVliIk4qoZ1EozWFpFxS1RQSig8SQoxpIWEXvrc
Qo8oCjaDVWCMBQSw1eXOikf17hNbSMTtGBSPAevPtalCclJriTU55jC5N1zq8JL9Oy12mdPdx1Kz
ehX3fhhV+2hIJ7K9aV6oSOCIlebWS2wJS57Po+PBXy2DdU3Dncl5PK71ELPwMkfYWXIkZaNQ7R4a
50ZluVqTabiOLEtvrKmQxDVHbXElkxx3caufgzbL001aIGDVlfLfEZ86h2gInXXXobMYo54I3aU3
9xwpY97/Kt9XqeVvp1bxqfr0dZzZ/RxJ9qBlFwKG4fi5aAeO4TQsK0Kc0RKCPhrhS9KpRRAUxoJ4
PPSEBM4gqzQgIcss8A51D9tnTosWq3l27/fgtVHbnmJPoELlaUH0TVcYF3eMZUPnzsfUIC3YVHlV
2dTgc7DHAI7fKBaqv/AC0mACmOENi5cIP7H4RnszO+qF9oe6q0Pd32NA6l+R2OQ3XHnOxbTudvbQ
BTfUcuPab5NwV/H2bQQAvz5NukO02NONXBLCIkVUxh/0YKnw6ZcTDwjYLAbCozNi0UBmBDuDHrAg
maAlvb0A3tB/oei0p62w40VsEOAydqwkXmxkYQrHTVMYvFKgadDPzoZjcNHAYTr20Uy+AvncjFTD
HrpQE1RXPQrmp8If4q2dhu2lTgALxuI8cYkz68es1HoqM4htaJ9Z+UeSsEfl7StlixvaIgH/tI5o
X2g6ejIIYKNE1LLRup1ap7xRBct06iD6ZWa5roE4SuUNN3FZboBv6tXo5ltOQPEahf+XWbqnup+i
J0TXNdtuMufBKql1tQnsBdXn9LJAElp5PZ7ndMg2li7grCtksc2cZaekoSfEQOeYlJn1rEeyeKKM
3iVt92KNtT87KZxTFWCJXd9w6moTDGAA3TnMDh7+Lp127pEKFjdh1lUg8ETProjiMiRcm+QgIt66
EOuZp0dU1qGVGoSqQljXjXbnZicw3mO8DqL0wQWST5IC4SJO7jdbNOHqAS5p1ZAl4sOyVZVmSk3D
w49Xi3H6W+3WyNvgkfuPpEy3h65IOERirla4ZmOvO1muI3qir+dpV4QaGXZCW1OMgf/K91p2/Vzp
86BCNs/uMvTu+cRS3sYiaWjcLK37OTstRa+liJBRUW0jBA5b9QRcl8WyGM4t5AI7/JfnFw6lELkp
+5wZAtsb/ZIXORXBaz+nwSUTqTOHyQ7uGXwGR99x3SfQjIna+JKwcqpqbyS7u9TRGyKUhkLGquqj
YIdDUUdcDu00n6adkRXvVn72Km7A7Njkqnruk+EVfo5Frr6KoF44+EfwK+tWOIwY2hxiV4sB87O1
pDjG0zyhz5fZQ1YB30AHCzwsZFDxY8Z5fSNVXn6UCGLpmCbJjZka79VYLpwtbZLqPZcAV1Tl8ed6
jM5YL4sD03qqIEbBSJcPUSNDdU7ptd+1SiAIdv1QrTTB3LeFQMC9Dlud3FqLR283tXZOGmfPgrTB
r6Z2mmeGSPFLlVQN9sUSu7/myudczuLoU0ke5jpbXuD5pq914vBqzkh135zO8t/pAns/CEHVYAMW
JAQucDZPU8Iv7hBsax4RAMMeaQHEjmyrYJ6+yJMY1xZ9mzVmR2+lQQmRQd5iPbRklR7dScxX3ThG
b7ntFGsBcHEl5jA7+bSZfeYYvSJAqIvfF5osvABN2b6RHh6fFmptiuql7IC38pL1utIp7C35yOZV
/xpq09z6Ncpshg2Wu5Lk5m4p8/K1XVg/Mto9iJ2QUdC7EeDvCHHZD8kZS0bThuwiphJbt1HVLeMy
sFZTQr9LZiVFSe1U6mHWYxetirkMuTiwMdaeA07F6cfy6I1zeJyItTxlXqM+ybJjMNjYvduucekC
6XHCrHzU0Sgg/RRVc8WCEWKjyrhzDnnkzZ5j8gQJwWk5RUP0y6styJ4zuQrr4E8778Y7GtbjLeEH
7YMcguaXbA0sJ1EXp8XE/hcO6hCfkFKXiRdYpHiBvfgChtX8KpxiBNsG5O0Nvlf4mnedDpB0BZ2/
CbOW2Od59DyigWvXP/CoRpuUAemjlq2dgzKQUOeIvxb3SBS95ySoqs866Z5t0nHXtaYigUyx5Kug
TOyJjntboD0e5/dKRyn8MHqnhnoKFVtA6305aAKqThKYW7XjGMBFNmqgwLB8tYhTnrZehbzYJhC6
m+Lsep56IsokU1fWiKQOdy657RfQ7btgg6Oq340LMZYrqEkA2ZyQzcbRBYNoFQJDxOs7MbaqjXMt
TEDDLuj7eS39IHk3nYpR5HX6lWRRBUA2IGZ3qLrmPuVGhTsv1N6TZkA4bwWoVUJkRogI0ZkxRaga
uKnyN3pK/cZQMTGe5x1Pc66J9WLPXPW/2VVBVPs/zG+ilaLkv0hid3zy+/POFoG+ShaLrr1V29Ep
CeaPjjSFFZPjcVpxtOY9oUbiGzBMsIGJNC1bLn3siTlO8JaUS/nZJWNMy7KXxD/NSEVs+1L2tDDZ
C87YLvc3wiugg+2sMtkx8HD5H492PwxmpfDJ1VuVuDBNjB00/dZLM1pn2s5/xtorj4GXwT0qkx6i
WiBEBhorbn92czCz66J3Xw2MbuaLorDKtRh7/3VpmTowxODwVnVxdc7bKdzPvOzFxdyRYk0g9Wzv
56Gq924x+Osy7+edjxqVYV5YH8k2YlAWMEy7JdOZHGmszewmJEz9XHJlU+I5VvcCnavajAPVRJOq
L3ewowtpedEpR211Oy6uVa742vo0d7q7mmdjbZjVcsafSYhASL2ymPbtOdugPeTUTHJ5OLjpCqpx
dpuG8qZk7rt3kjZ5TKvKzdaOtqZDXoE62zG3T3e19t5lI+Z7y8+9nxa+FzISxOXs2M0ncvv8CbZT
ieZ1bCKav177SpxnfWlh9L0uEXjeJ4RA/EGIcRZa/F3yAu4eFRQbN3ZSzzvLJ/6iWEgLESiVtuH5
TM/wlBPzbYDd/KbsVca+Tal6M9hW/kQEEVvpvxdMeP9KLoEEhSkoQBuEN9/0PVjz/DCLpnA/YyC4
iXzVHYZOM0UQjO3dcRLrmDMZg3EAVJ9AmbmrxlQ7NRT2ynBnC6XlOgwrmp1KZOuyZsBUT767Gynj
mTc79m2djC5tmcoP4HpVEhuN7zWn0cuXK3IRr7UzMKqQ9AZdlFoEao3FwrpCBcxeX4JGNYWzhw5t
rTLUQRs/Zi0zHVmoYpSPE4T0lRxn+7bN/J85ObdrKxj6A/hFRF64FQGjpSj9wBW5f7h0/wQj8En8
oWcLDJZABYbB30RsFY8Sl8+jWkdDyblB3Hoemdtrk89AQZEsQZ8+zETCsivN2OwybeZdVG6pAs4a
gxHHYgZUYl2B4QtXpvK3eeQOR9FgDGsm62IShvNuWVAAuzk2pBxM8r+/+79jk749epFkoIV/3UbP
EJ6Vc3959DL2EjVEXQSWWsHAxzm2lOuQDKmLxerv7WnwNwObM+YanZ5sIcwvJl7m2IFSPUCb2Ui7
JshXYzojQj37w3vxz7K9CHEm1moIHxHK1G/XN6GH59s+QcCFTaOKUWQSXYq47v7wa75Jv8/CvfON
RPHIK8DS/jt76i8XQTEw9nSsoj3jz7lg+w7ACI2d2UxT6X84HOBZIwu1ru243sRm8O8zitBpQ2O8
uECzE92Ucwi5yPCyKEDjN71rBEzCeMFpmIlH6Jr6+Q837vu1Yb0WtpQC6aQX0vv5JtMkj3qhIcGz
N2iHRWFxIFAHguZgHhdqRd/fe46Km0ZkzVu50D1j/iPW6YBvaAaXtkHMMH/KPJr+xwPx/0XafxBp
B5FwnfNN+H/LtPcmf+/e+79KtP/3p/5HpB14//AQrNE7k6wowj0zodFe9P/9X374D8T+AqgGquXf
yrb/K9L2/hFgN+E5wF7ES+zzQxpXa/rf/+WIf4AgcAGmAnr5naX6n4i0vz9x5LzDXMJ0wBvCe/Ld
shU5IKs1s69tL7GfMQWe55fU8af/UG8qzsyCM1sNoBSdWffbfqR9IPJjUvtb3yuGH4OwwrOkJUEX
1RfDPiHZ7g8IgH8K8Dr/RsxZqONZAVw7/LbMRNVShKaggRrYU0SPtSLpFoFYSsBKHbj1BuR79kBi
fH7o4/DejCKCn8dP/ahn194LHCkn7af4v1v0hkz9chIRyvGqSpbl0sZu8Senync15fnzcss9TDko
80VwvlF/Wa5ywrFnAs6DbRE31ec4sGTpwOa/RUQWH8nd4WpMAoQZWdh8do1YPs0Ujs9zkqu9NI33
lRhTPNXN1J8SWjtff3mo/4W43vnn54SP5+IbIPzN5Zn8tjIFUStUjqd5a2zlXWULIVPrTDbuJtBj
ejHnE1syyOzmAn0MPSYLbmJPyDj9pyA8pJMXvDhzUt0ASb6wbXXEJ3830U6kEzmYkISOdijeKBDD
PUAavGuN03yYxC725Lur+3//Xb7BIUBxcKnDgFeIVoOHVv1cuf3lUofZMoreuBInTZlezhJ0OUHo
TrKZFPiZEVR0gZdPyK3V6PETMUyDQ7qqo4IV+MwNJszmzkxT/0ZkMEIL264vq8KSr5Nd7LSWV0GX
OZs6yIZ1gJ36pnbNcOybFD9zkr8pSfski+VrJHv3miE1WLv5Jpyz4aBmvyJRp/Sv7YocYc+KFxgZ
6W9eQkZgPPRPn/ljEGzNHEL3LUf3qlMi/Qz9Doqvjd/6Qvot9VdeER2Wshpd0LgbZyajVtRvGoJg
Xv/9tTwbkv5aaXApkcazuJ2LTJc59N8vZVeOuVJOK7c1dciFa1XLJ9Gg/qXXueKeCQzPKxLTqKE/
KupbdFnd5t9/gN8rx7dPADlO0uS0Xdv1v/vZOOfBYtKz3NqxW7E1FvWuyUdxCWdsj031y8qJxDVz
NoFgJeKjOhg+9Jfflt2Hp9r+qk1G+jRO6wTHsaHFGFjtCDS6Dmwktq4C1NHowzDoZEL1Vs2fEZqH
BwNY+SIqJ+uVLPrkUsGewmevOAjOiZguQ3AFu9744g9Prv0v3kKWhvOehNlH8i7+/XKrUKghOL+F
umiH66Q6z7rPdc5RYf65hbcCkgCLDAfTcrnr2jC5cJXkxO6FoTpQboVPUssZkUMi/kP3wvlBOL9Y
GAqxLoT+twcBiVg1lHJEwRY6cu12zRfp00fartMmmIb/0M3y+5dFmGmEOFtwv0eJN2xQACF7uaWA
DV5FM6M/HsyfotH/xYocYlf439/ybZkokSb52u3ktnCz7Bf1e3M5m5oJi4d5affvH+N/cWPpfhKK
fjZlEjn5zSwJZUYy0ZZyW/bB8GyPDHqmeAn+sAs7fzctM+YKocQJ0Ogs4Y4gNvLvz4/DkhvOZe5v
B9ndK+0k60rMe6a8sEwegcveQCBbu9P4OaH8xY9u3Sw2qGf2k3CTu4hDImOQqqSE5PhajfsgIRdR
TvfaUThVAHVsVZaA1jYMhr2JnCc3Woi1gtmYJ9kfTjnfb48MQ07V7JWeHZ3rKvfv32XxFvh9fhds
W7YdjrNZuPIhtm1oaFl/WGT+6bJFgr2Z+ahPAWPL8NvDnS6xg+bHirZB6TMPngvrEIhluEg6kjtc
HZsDlzr6wy+lFDzXKH9d26A98bpTLrGw4XH6frtGp5dOZY/xdijHR2xzzdZN8MFE8TS+um1TwaCf
9D1a6yMdpzeaWvku4IT9nidn+Y5IL6h9EI2EaLNj/1YrJTasLYD3O7Uve3TxOs7eYke/NTRfMjGS
ox0WeoVOD35zSZhRME5HWQzE6ARa3NIaU8Rpl3Tb5hSeroSglIlZ7DrAO6RpMClh1nVJP6jcwaOi
fRODGnFVdYfSNVqdZV3sA/czUA/W3GPhhQ9J1JibxX/31PJZE3R2Uy8VAjApk1eNhu3GanNnR/cu
2TAu/x18Ua1okeb7MvNrXFJtmb/Ni2VvJtTs6Tqa9PDplFG391L4dqsKse7bRNrSLhLVI1qP2y5k
7NkAZUnsnzHNt62MyePKrKT6AcsyQzFaym5Hq7SgyQuAeSpJw3PmrroGYF/c2pMfk8iSt/3WJrxv
ZXfG+aXdIoR7FEAbshPAWlkxxusIDvp2Gf2g2sRsEj8Y8EMFQsQEpHheq9J/gNrSbPr23OirjUG+
tbTpfNGB+b+L0wEbcjaj8xVblHIHMIXL3indQ+w/moGp7+Rt+tmJvubRvSxG89gO5hfaBfmcneMP
3KWutlE4vFRpe0IRrXcAI4arGAXac5vn7h1ZSDIk4ayp+LdKWjrRQhyc295V0YIwyYRXQ8FItFeM
jFKT0L1D6OuvbasfbrCDTJBtSnnbE837CZ9E35gOT+YqTpMveMkRDdRYHwTE2juNt+y1Ru8Gqtsl
T6Rv+l2WT+Ft01TqzipKg7UEAr1E/d/OG50TFlEmS3/nxrN5Uk7OVNDq5kcrjdWeTl1xbak2OSxT
Z90XFFrXdIrSdY53aGO3Fd6rxVfXHNHNtqDLtTVeaL9bsd0dG4TF106n2k3K3TssUBTvAON8dAMd
3vz8DUchrT3SkVuB4mBpHnGTn0/YaFnj+SqmI0z3LB+PjV00P+PYTh9pntnQzCFcSRPam7At7BM5
acumBzcJYIx5VDMl8i5ox/S6AA28EWom9Gzu6q9Q6Glngbc8ASpjZCXDX2kr3wAkkbmDbAmtQudk
00ugCZsjcc9azTPt69Sd3JXR6XIMIcPQMEteOqVfFNKcfNVLu/soGW08J2EBewMNzz5izIiqrHbW
nHz0ZVd1coN0wj/kHXygzgqTrXT5UKDvatiTtXWV8ak2RBTxl4v6nhV2OrRVOx6ZmPhb/layd4Lx
MtbDL1cmF2UzEXaQR369qoVLtEKW8heACD0MUxRuB0BZO6RY4XnuW2ztxgofXDN/aBJz70uCdG+k
YVXgHVw2npsNx7KSt4sS7p1JK+6JY8BI4zMzJ8/WIy9Vn+7SaETWG7nryWnUZXCO2izcM0lgZpqI
jC996l360IWLVkWIli/YtHo9S1ZHstFmNoiW3Go7zd+1qc3lkMjxOlvi8k7Ozcho26q2ENv6TVrm
ewTHb0Ce9C7x85oEF0gAvUCcNUTDBs1qfo0CjfwKa3J+umNOPGXY5ps2SsUmK5L21rEq3FAxRzva
oJX37MYt+gc3AQaPLwmpYHFj9cLcJ/F8YaOrMK4+QuF+jBF08I1VceeKyQaBlDmfApr2GS1HpR+O
i7fPtQMzjnwzKFudf9M5+FNqlS6HdnIfbCbnsvacFdT9gdmF2deLMtuocz7qob1IEXKUXvGBPYM8
uHrw9qPynX1niYcGkgBwgeGqlkN8ORrAaisplH7tl8pGkoRY8EfC8WzAFFSh6M1RopOD2F30BDiu
nQr5mi6Sa7PgWeqd0V6no7s466DBvUQGk1kbdN/Ey4G32PkMUskRjU+UHXig87y4aFxruLXsrN1l
gg49AgJ1kr5u7j2/vUsLKAZNGVnvmdc170snir0dB9lzXAN46zE7XkLtd1/51M1Wm0Je18iW9vTB
AT/5Kn2PaLif2lCglfHZOTtnbnkvVHQYMoNlBXz+5UzXb6MT1O/KlQwaZokNoCvEFSp/s+tJMeEZ
7+46+6tI6SPgE5r1Y9gHKLLtVN06Yznf+0kREmJf4utagvxsbpu3HgkELzXY+FdT0nWMnNK+n5K2
3dfSYy8ku2/vdX324zzVwzyj2x3exODseBHHLI2aUw5za5Wl861AhrKZiPi7pbMDBJBvezkCyr/o
By0vY9fIbRoPAotUmt2VWe8eOz2Gl16UmK2I8uRqQAdEiEI0XLdB/qmqNn9MJfmNmZeIA4/otjX6
IySgbFeX1IuQD8+rS5SmYNBLRdm9BP581N45n6k7KXMjz1Mo7deksGbtKlFT2K9t5cdby4TBlUvw
wD2ENPkps7Z6Dc5NTcvynueYAIImRedVt/2wlzhEolW/9Pkee3+9sjy/OvUFbsDI9bodk1N3k4kc
RpvVtQ+WHJBTTUsZkemkZHqEVqd2YmaiXdoteEev4sGP+86Cglz73pHUouVYhwJPeh/chvz8ykyW
dUfGb3m1ZO2nrx17S7qZSwVcdvVD3ZlrS7sHbNJfddidkmJJbmUR+Rts7kwoxzQ/Di7XOQkynKEu
wmraUVc6UdsBGTGFWrxj3DaiprCJGh4sO7oZ7cjc9CSWPnHCw25Wl5m9i7yaZJ1AD901Ecrxc9AF
9n1V9eI8v1YnN0mmK6J69KeWmYDm36bp41jzYSzhyV/M6yMU7Wl9KgDsbp2Un7OJHdl0DNvtVUbR
t4tl7qJenNz5HXNZcFkNGu154jb1touC+l7VQX1M23z4VY6TT6Swa6mLBNfAXiNxQ35lZ/aThZwN
DjLBaZtGsl8PtH+Y7wI+2kM+9NgqTRs/erhluflIZld6rJL93LqSlKC4xRbVps6yysDaPZ8DXl47
1J5A6HQJokylaQyuxGAGXbVNHl0XaTHsnMIaNy6HIZBmsSXfkpYtKFBx+eY7Jtjjj0VNV+AZWY1j
FRHH1So+vPDRVEYLuthB4ctdla213EzF2b/H9FdBnUv1VT7k9+h1PrwgfzGVZ3ZpOjunDvvPwZjl
1dB6X+ulas+CMCL03KXZOhUqn/C83UBJDqhuu6U9t4gYGVR+u4HwaS4dt7N3SKbT3Tnt91RZQc1o
rYqn45COu7hyN3lVRjt2V2yFbkXQhYZ7d2FNmXpGY35h4k+0hPfh6Dx24fBuM/smUuGHLPRr6niY
hBKrumsHoGxa1MHaw4t8WZLX2W9KeFubRtiMZhu8PNf4r7pNgGrlUJWWsWlFOdRJoayvcFT2D+ig
io3dhK5eecox1yRqJohBfCnfEVKRisJHMLdtLJO7Mpoe4qlyDwje67eJHDz0YKNwD7SWSIzN4/5h
YUpPYBQRVLVSwQGRY4KKjG3v05hwoPlqx/h2UC7Ftav2vMlhu+675i5M8vEwECzyVjc9ylMbv6Pf
JPW0TqKTWxfqzi/od6zsKGs3A7ROLEX1+Cw69CKcVQYXek0iMRwg8/ucRNbPTC/97IufqbdlV4HD
bWeLWCHKGLKBlkVbJyTJOdFbicbFFSFS82i1bjsnqi4HtJVylflNsMMQESBnEj1Lrte4a4A/FkPm
KHxgyM+BIaBp+JQuM3OYPhAXdAiafQeRhZfbRHgTcB548XJnE+k6oMb47Gk67ia3F++8w852dkfA
eyZcbq1BIKJHAkEZbLrm6NahdSVSTLkrMXXFVZnCSewoPraoNGt0K2WzN3GYbTLXsy+qJHwqB3Fy
Kt18LCYB9Zm26YM3WM3DAhJ0bVQ/32UVy6kGTHYHk1/8SGUZ3TN9da6cQMQr/snk53kp/FElTfpA
Dhn+D4pc+6LL8fviVIue0F/2j0ERFdHG9NlPFpbyOh3G6QlbZJYTSQL22251/eMcBMN3SItDmoQL
ZsksuSY1GAgL1qpTkyv3CNqov85shG2N5SQvmTKAIJ2k5gWihTgyt76oKNheqgjHO2PpqNxT8yi1
BQZvbcNqYig7MAw+dxmyGxpzw3Ph0ZibrLk6NchXopXfjPpO6DSgnbJ086GmXrvwy97/NdotsTsL
iIg7l0f1rg1zkiNX1ug4RxlwPk5LTpMHUL7/h7oz25EbSff7q8wDOBpkcAcMA07mVpVZWbtU0g2h
kqq4BPed8fT+sVpjjzRzps8B7AvfDEbdrUwmGfzW/wL1ElvNfN9kfnlM0GH83HVF+6XJAFHuLIPF
waZqNPqpFOfZ88A2doupr7mzCwHHESgOjY0fF8a5ScbkIlyj3JlOVYOpaMeNsMyaNjBp70iT2R4n
ktziLWliTI/9BYBJWT4L+MF4Z+NT3NSg0nRT9hflzfde5Hsc/hGydc1PECBq6vKdP+K3NNk5paVa
fNTfAwFThN7Kdx5wUUy3HkC8HVrRyg6bIO6ezd5kXmkY1Hf86+Y78Oh5N+pR3prAbWjvKXguUSvG
b04SQTJyRNnuItOBM1aV9pQ+WEmCHCFuTsZW6GVoTpUN4AdvtAd+KCP0Gt9TmqrCOpDUl8PsucVR
WcKwPhVR1L2DPMevRTK4K6+lXQARpjFwplOwpGi/68j0lm2+qBYBgrgR4tZw3N4/mYsLPm52nJeh
mItjrX0LG2wLa26Rwn0pxgrDGCr8rOJth8ayo8+cbvtmaggFLLlnGMBpgIlQicNYXyF/hQimX++W
rl3kmSk1vEIXRtPO9Sso8c7UiKu5cSr4JEH3jGZEFk6Yd2+mxqNPE/78rutAF0xh7elag9V/dcx6
3CM2QYrED5vwb0y4HBVeoT/L0u7eYbS7N7gMih/89ObLEEHkx9217q9JhYQBno1d7hbA2u3F8ePl
0lWuX8NM1vl+xBX8zDQsJp6Dq4KDYcEAbaKqvk3R/LxU0D++0lrSLnpT479CAlAMtwncn3GdwCrL
tyZ0GRIf/gGgPGTNJrf+0jVBtc1rO3phpcR7NeYYRLpp9bhi0s5R68RqL3zrFXHOnTWBG7B7mKY1
88xDNuprpeAca80IbFNC/H9IFy8HwTH3e8uo4xP8RvNWOQoeYNYOrYeCcNntl1L3aJQhmIHoWNvv
ClnBD0Ke5ZiRvj7FCnIQET5xga9NZnfd6kx9qyiXVop0f+RVjU+NP5h3dZcJiJCABBF8hCOO39rc
R2U4zwuW7o4H0s0GCH6TmSaNAd3wq4TkDCBQx7Aa5rfOHN/aTgDDgfMH3Mi8QtsSPgGU/L09EUIr
pxw+tXUcX/tBHZxRNUjfRhynkBWv0uXCZIvMUFBYA++V3gAh22QM2kLp03Mt3gAWRoDyPeu9k87U
fV+/Akdqd+qDhxl+l7NzQcoo0PRI0sErN8AYGNZib2pQgniv8+OqJaIF15+cFuJtqPT0mooahMbo
z/3tHHl3Y9I7N/1qvcDPirZpPwMnD5Q1nMa+0VfthOEvb8cXdN+gGGBHt/IoPIUH9oJoEiECVuii
v/oDc7j4EBT2F6/1p1uj8ayXjp9+7ZOGN8wX+yt2XJDLysL6RHYKbYHkPOCExbkIc56w0cJIcsqV
v21MfZOUBQq0LgjZqG/qH0s+M24rBnGIanpdAWMO1ZWpB3ELhx90MfhzX5jOVUdJG0M7COS06WdS
MuDt+YDVljhURpdvcVBHNyQeZA3KSJR7w269q8qTCFUQ6czH2sdinVFGFmynzAe+genjlTa7hyJq
kztTMhcMRAfo0B2smygakJLmHMJNrWIwT9Vy5InDHNbSZunqo6s/JMGpGoOXSVjep0RDx1JLW4fK
1yaj2QJrDXLvNfBY68bHiW/rU668jFh0nVY/2pDioEYuepzCdGwqjDeC6WaefGUzSxDLDssttnVI
tyf33kJXbI/TeGq9IP0et+gG1HnUhpbDFkulcflc4Lr2hIeNfhAi9j6xr69oiRCYBf0/QD1C4aUK
czdD8xUdAf+Tv0KmrDqXj5AZsd0AOhzSAtVXCKZ2+9qCr9NOLYI0jRpLqP0clcBeSXwTteSBNA2A
KPUMIMPKQXQZ+fKYcmsZvxJGm572F7zJPqgmSnsgXD16KdyWcOmauth3qTc89KDTjjnlPZgtxiMT
bZcEpBw4k7hP8yW7NFWFGllTQHes2nw7TY57nm14WZMyy73faKxlx44eqMvdbRtl9V06V3cQmaxn
c442ZSu/ppWLIVngALl35xTI6thAG8bXZItUdtgv+Y2LWu4xjhPjAbC2FQJ39q/hRuc3aaeeygSv
NDMfk/cGCe5Hr7XtpwH6AzKRlt6JBsUOOeEdBp3/YSom5BdzR2G3aIflUJS7Ls6Gh0joGGvqojh0
MCj3smDKzEDXuplKGwali1LJ0H2YiRHz/RZ95jgXhzkqrqAceYfB5hhlSf/e0638WLQBU0rgyLng
zz072gN4XWM2iLYPErf5Dic8dYBzzWwo8vqKE27FcD518tQPw16zDrWakmfMynZnLN13uyv0KZ4m
69Yf+hY+KFyQGoYRgG3mTwc7MoZ9pQyBjUkv/R2OCA1+gRgKqhrUqtMN+2zxkI3uWS3XO6PJT34L
WqQWuwDlaxz6hi9F4PxAUyM+DGI2ryCh81/7uXs/GG1Yde5Z6v4oYNpvqj62T20DEpKCl91BccAu
+r4Co/+a1HpaIcnJRk6rjsc8LicGYM8qQEakNryQxUO4ctQ38TjUV1abnuJV0LvH1PeH1aNNoaz2
q9bx2UTpIEYRoqrQc5BxsWG3L0kHwtnXDi2QdtIrTy4dEMigQditL9lkUXp4wFZn9Ow1DTIiQ1jc
WU4Jp71AhWhtJxwzmL+WiN2eihE6mlW5NO2rjRQxd2t4sRq3eeq8VvhUPsLggUMUJxKjzUlId28v
WX/Ml6XG6c+ukmtHpAo4cGEikDGaIv4W8Q94PdsaPg3mWE8W+nn0WiPTNuyqd4r3tg7ppXfa95dg
z4KCUQagr/tI2NEjWgXoIQ1BFRw8X14FjrWNfah5jYOV8AbhwWk5jp5Ov0VeRFb0Mo5Ui/Fa9oTk
TsbK0bSS4FucRgRicIVeaDTYKJ/clP4kjJVrTl+CIFP3Qew51hXb5Ay+1MB+hP1ods6dUYdaYa8L
HZCZKN4fmyEmH7roB63xNHAhfLXpQzaN6nHobaItcQPQMbYRejNFpQMOJHW9LzUCe9+WSjo/FC5a
4I2DocAwk7q5o68LJbbte617CaViMfsjWhAlNEIeNc3gSLcY1aBLfNG+MChud5lEHHkz99615zrM
8AWsP7uHpqXzCw5+eCchd2VlEopu/Q3X3pYLnW4d8jsGw7eWiE9d1otH25wWY4P2RHzvUJDccOKS
LwhVNHTEzWbqYuOMjMqP1pmHbQzK9ZiP+Gk40dLAzAbQVwRfx3h8cJr5Bcj+3EP3oszINHpDM7zp
2I/7g1221QVEcRC6LQe9SBk2xo5cQTbm8EDuxpDEV0zJsrwudrQBdKq9sMFk53os3vTo5GGLkhak
qgSGf2LBLIzomezRAGXispWqg26CqlL2z/FQowOTWgypc6e5ZOAHjFzdIBEOqWv2zK3pJwwpuiqK
XugXCmMHKq3ZeggaXY14Zn5NzawrwtZd5pPucSkIR0hhFL4pa+EG7o4ohpiQh6Uu84Ili4PjYpjD
1qDVkcSforoYeek8NhOkSmiiyJIYguWIk33pYrHi0Ym4zFbnm7Ry2q2MZv2yeHRteDz2I5MNl8Ny
67bFyzSZ1n2sTei7XW8tXwEsq+NAdXxjB737sjTaZPjFWo+SSKNZki2BcTPnwmg2nsdtAA8m4BR2
cXRrMRr6Tm9KF6IzRGzGGAuqnvvHnRSJZ+4ix8yfaeGQI2vhuSwynArTONmBYF/Qjeq56GFiDfWE
seT0qe+KhjsYP7NAPtS4Ch1zdkm7QbcdHqVLm2ydFoWHKhO3VsxKkbiSPvcVcry2X9OZjBy0Te4a
7XupUyjvmJ3b6XLwZAtKFQNe5MRI2QzyQ+2nTOCRFYQfMqKe4CfDxpZYmwdLgb9DBRjF3dpO+ioH
6dSAGuvpiLFG+4LxNrNVEPFXTiabH6ViHrudJQdkSiHzbQpUSR5z7AnmsDF7dVSRomvQ2jt7iV9A
snY7+N8M63BdxUqc6/IQDi7d+D5p1KX3BiqLsU6v2ZywcpBFfpzbIC+2rQEhfGMXk37QOKEeAZ5N
3Vaig3L08cmC1oPyCdVKlr1kRMXv2mxNoLqmfHTrCEGvfq6x88AHuqaBG+96/Mk2o4xo5CopTnkq
a1ompH6uWjnaZeg6k7pM1DHX4xLFPSu02mabBksbJdi84mXvDWlvp55bHgo5fFKdhifoa3+XujDc
0clGjyKQV64HqH8zJc7B6aigNjSl8oYODg2zlq0ighmNvi/rHx3yXm+YMCMb5w3irNaKd9IyfQCv
V12sYBzgiuXZXaa1e+RVsvC18/UnO5Hezg+Es/VHXdLvOf3q543PNSKGIe7ZxC1kbM7AjJAt8Var
7aiZTkRcbGWp5fYDUfrgWoq9f4VQHwzbCIVvxg3XEVugba2CZItck/swaNyFlFk5301o2BBKdbWK
6WXIRw82woMJxhardci0ZYZkbY0EgnGtRP/SIuf/aHI+75Pa5CjFVs/cQVcPMOix7WMPFZJ5um1G
kGVANdpXRmOgoFSqJd36ying39XqMHRu/7lBsTesDIuF/lSCbIOtmPGLCzEkKNOUCNLgJNSjUFgl
33GblF8ctPVuF4meBOtEmFQAFTdVZsFV8IIxlAZmtY7KKxjx1nJK0GxjHVGNPJ2pavxvYhJfcGJ7
i0fPunEC644DxbSeaRKG9X12l2BMj5Zg1q6dA9Ib8yXQrK4PNV0vUgkEzwSthm48cqwbykeLkelU
+MmVmaXxs9cY3bImotHYVkG+zKHgzgIZ0MEZ1cPo6HhF+13GEyT+8gENuP62wfz6qjRmzBiVGNuw
nzDz3SQ9XiMxw6JHTlf6WZW1+TJJCyEMr4t3iKngCIMj0i2KFzlyWAP9ZbQgctPnpvEC6rJ/Vloy
mPKRlNpk2vSvkhYJSlBb8VsQa39bR1DzA1cvj03Q1GeIYMWebJHvXA9NN4j7GOVqWMesX8yPLnkI
Z6tsTiKj+5Jxnl87mLJciT7ouzWHWKHOfQxrMD2/MGjpr3SixDcVx+4nq6PQLmmSjp1IOuawXnKY
0wxvnR4ZCzkPP0SAHE06SVRdPQnVLkzM9Bzpab7jROaU1Hb7pXLH7DuUC2bpeP8+ep4c8eGl36m3
C+tjEAzYw5f4fEEBg5vqjE9LHAVDyHLDn0Nj7LtHcy66i62qxrkYfjleQ7RHJ8kR07Bz6LWOTYo1
da+VcbdYCTRE4RYYl5lJvqvdHoyKCaHXw1TzKRoteUlqHAHhtDK0wYeb95lXr447lpi+ztF5KYCQ
CCBUuqtuRCWevVK8WUA7n4paNA/VYKOLhV7VWtVWY2incEFFO94uuGU/WbMaH8SClEyW3U+MWvfS
zoYX9J+6O8e05hcBmXGXAUQ5WVXqh4MXDS+ElResuK2bRaz1wVSoC+bR8lTmHbJecVLcxX2qwsgZ
1Y9xjLp9M0EdaIsxpVUxiA4ArI70hmkcNrXskxD4B7pAXtccxtbXX4q4afE/XrT8XliCeqyrYW3l
1MmnLHXibQkf49jYqIl1rqfDuB5k2NgrNKIckB+x4hqTHJe5j9sfWssbrusJDYrENc0XJ8grYi1X
VWwapJjuGbamp1GjpcLMNuNTvXlf1Ya6iofcuqu9ptsVGIpuEcXwT4PJSCMr3yfmNQjFAMOMoOJR
RqMdtCD/vUFRDbZTl5XHxmVq7PrxFz9JfoBSevOZtqLM6u3TCE0UD4hagxf3oW5gZrqq2mDlcSjT
Nt8UiyL4LfY2KcYzTmGIF1ef5oGwM2sPHysWQwjsG+yNkx2vbDiY9nZMPfMqH1duqnkEMQSRY0yO
C/opoTOlIBDYCvWbaWaR5UN7gt+N+KkUR20017llH+Ebne2G6fdiumyE+Mhj58/Z3u7R3WTjntJM
DkP21YOjuhdenN342BU8SvZfT05Jx7iao2/cojIP/01XaFa2rO53nurjbyJJ7BtaYAOSYqwOJUIp
zx94xv/bjJHDW7XaMnb/ff3g7xVXmsIS/R+//rH788/xW7WK5P/yh12JG9Nyj2rF8vDWDTl/lQ/6
+V/+Z//lT3/I/wQXBD7dP8A6/0my/1B9+50H8vE3/jcPRAauA2oIzpPrBauv9p88EM/6A24I9Iif
NJAVkP5TrN90/kAzAyqT6Un4QO6KcvzJAzHtP0BABiYYWNvk49Bf/vuv/wno58b9eTf+BcD/n6CG
XJjhAitm+gyS2vgdGeohYeDk07SD/F4h9pvofZTRYpkmUBqALvNfQHh/R2+uNwI9dcgtCPVzP35z
ushjCzZwbkw7bXcQnez4fdR1htUEogr/8Az+xS+T/wQR57vwm0FCF1Kf4znGb0DewaWFYlkx7aSJ
WmlcOGwMMfow0RSV9Y2K4vFm0BaYQtmXW+Jc8MPNq/EOrJ66KgKbYNcIoF3GMrFtUUMHa00FcfuZ
ZQt7lhQw9MV1Y/N6MGT3ukwIvoIF8SLCEnV4vEGNcvY2k1W9iQhjNtdX5hPD/X7cW17amKfebo27
NJddHHbgkLZ95tlvvZsAYQHkNYZ+h5QXC7rkDcEwtF6gr2yrKNd3JE6XxqRZ4gPwP1Q+aIzuM8R3
Tw3uDyOBEw2QjUpQ59qQJKLPeI7AspTMbBFtiXOPAYm/eBDQY+Edag1qe0NNKppwCKYYbr/dSpD7
3ti+F3iqXXude+XFnAdzHOSO1fa5XNynEmBqjVyVhQRALPQplU55B8cOpykJeTkykK9J6xdRgM7y
DXkPbLIE9OKdFxaemzSQyaap8cCyAtGelwSWjjEMjIxRDQPKEeTJFi4rEE1WCDuT2cw1TeFLigs0
koS2wk0zRerOw1BhHj2cgLJsj5REmCSAbCwTyTgH3C5GvIg0xvLebGlppXhYmpFRDiRv15yTA+6u
Nq7CwZVssPBTtcXXty0bWBPjs4wo6gwZ/wdpNgah1RHEQhCOuVfCde6QUrH5cukWmFH7BqaR9GwD
ZXCIR9E31AtuijJWW+nGrxNZaGOCiGQyKw54+t1Xqt366x1VTF62kZ089iZqs8YsfzhDdDaVh5Qx
U5acIZkBrGaTTnENM9O6jyjx6SDMH5lb7HEWbsJi6A+Wkb3jAKEgEbUvDn9ggXPBTvtdBem56OPr
uFYmyk+ruUvSPMaQ0bFa2/jLeEoidejxB0vyNt3VAV44/uwz1G2iponPmWXjLpYxubhteueSiuql
RBwrJOuiLDDlJ+SY39wBvr4CjLZXBQ+vxZKBbRa757Gfgt2A+tdG+8DlGBxnG5CZFwmM+GJF82sS
dZ/nWLo7R6IFoiyFTF8kniIrPqPnYoTaQgShEqtUq1ehXheVm9mNoe2rir2AfFFGwA9gWg96stzk
U/qKVCiSqYIxi8sgq/cYu6+VVmHw1S4q6lddxRSh7Zwp5MHeJ8UShFEFVUbkeceojxdVNVI/9aID
RtR5T5PBLy09UAIlz4Hp6Ss20dXu/0navEm/t9AN3vtfE+VHuP8/WfT/q+QKltYmt/3HRMv/Wf74
Vnwr//at/PG3S/q9ev3W/u2qy/lj92vS/flJPx1yrD9gWJJgSGkwhKB1/z3pBvIPvAHA1a+OFJ7j
+WS8vydd8jFw+yBwbdv2DLnyq38mXfcPQgH5mGWmA7mez/2vJF3zN2KB7xowLrkyptEBOYpP+4WJ
1nXUmwjat4dkKqxN5hSvZe2rneURmZKoRWNS5+9Io6MAHajXyuyQr6qYkoEAQgOmAgrsl90WOoAT
RlP6aWQvE/7DTf4X2fM3Gy9vvURsfIy1LOCOUG/8eomY9JLJVdwefOrVDfo1kol2w3w3Cc4jOqW2
NV/cDsXOWPLmsnj/i/T9H1yAjZUQt8rDP+fXC0A4ofbBNaB/HXMBlp7HsDaBS1hptEvoVZALjrCl
DfrrIVn7XZPr+Pf34Lda5eMWuD41EVYpK7fpt1qlsxFHy4u8ObRDvGwo1Z6GhBjYlH9lNfcbm+7n
F7l8DcIRgbR++6kuqPmefR6Y0Gqs4E/2wd7r65eqKVixLUEaLi5NUwMracMwH524yEDEYpb3Di7f
5wLUH4hMK/rWZc60a2dpPFjotofrewFYbm6vhrJaDm1hKxDOhDOlbG/Haoo1wDD2IOtiqr5B3jUi
YQoBMQR1OfcLSh9XRtuRtdImuo5Lsp1AGOfQOTq5WaJnPdmc1kI/Vabv7O15Qj+5U++mpdWuG/PX
UhT+NkcTXPvBG97FD5b2Pv/7J7RWcP9AlOHG8UoY7MZNnNFtZA9+PSOeLo0cDAtMWCtiYjcvX7Io
2voAasNIShTLE9yYvWYM/oK2JdfT/+sX2w6kQw8WqfwII79+MdBhrwYVlh38jkkB+mjZleez6KKw
lFtq3A5slAYw00pmYeyMwZCRNT2/5IEiKoRCGjNyn3rF8XinLBSXtkEErLtqpuWQA61DnFFSby6i
/CtTFSn/+doR4l01GAyU8T3jt2NtDAHQN2RRDjDDy20jHAfM51o1jYhVAireKa/PD33UFxdKD7Cu
5tWEofywYjsj9PT/DEA2vblzdsFTb/yOrMlmvdt6wD5ZnyHUgnn19//qs7bRCJMU7QQkuHJkjX9k
7/YyFQaTzfwwidZilUNQ8JFg/vNGt24NYWSgPkNHS/7V+/kvbpi0aeKMVXvdCX57PQdZRNMQtCiH
j10djmiPwYTqu7/gfZGRfj9SuAub8CmBOVsEnF9/X8lqxxJNnh+SxSsPXtuo6zZKXv/iJtrrx/x2
cl34hhIVDtOGt/nb06+KFgwrtr8owObvLASZcrgdxVNcWgy61pI2EEzko7FnL2FqjE2d/N2MbX2P
pNSOqU5C3qFoMm1G/9CiBSYjwMdz8CJ77C5QbzQEPkyl/ySAyKMB7F3kvLRM+gafIpHyfQQlvBfW
1O9SfFt3AN8Pxkx8wx9HhmkTiF2V8p91iWOe6e6ADw25wevB37cbH/aSpldEzcwH2TyL40fjWss0
2CPpWG6SoLb3Unaf5t7vNrLGJjrqs9dCp6+goe8LMHXXEZT2jU153MIzOXbAPNBVLI9iDgwmlUaw
B1T7DiYYGZeKmAvEfJ0uBhw4k/Ndxszlxzp/dUfOoK3i50bXej/mwVPC4QhFr7hu6x4eGcoj2Gvt
LNmji8rbPq3RG1USmDsz9bctWh9ZEkg6aoWc5EFmfzONhbAscZhYy1nox/7WahqJrUXehPRYX8E9
IJ43FPIBewyKh1STiLUrIClm78gyItMT9z7ahVwvNE3IDurNVWTPCRd6oAD4yGMagG9H3e0UCWSb
zRrjkFa8eNA9tnbUBmGQWP4WNmkUDjZibsSy8qDYIlkrQB+AQBqKjgycL721Kezi7OT1Y2YGT00H
7KUZINGoyE8OFD8WiWW0UUTm0ZRd++CmGvoe3AEKjEPkla+t0bVX3VDTjXo5IvszY4hiIVii4+eC
g3T3TZO/s62Sq1jACcbASRfqnS4sOOCW3m1jmx8K5tyh1b5Bz4v1cDn6W2l4FyQVaMcacgBqrPRi
Q2Nso5pzXq0pc6mor5TJV4Hrf6cX5sTyZBcPPwOIWCHNlYO9ASqOJXLBG7CK3XaO4vcq4EyUCdHa
SCefaWR1ntEF3QCRRzFJF68WG57bgQlO6I7wngC+7zVC665l4K+yGO3Jjbwno8/5jZSnZzejq/54
MFQGl84FFYdEDluN9ewuE8fGqMGpIAOJ7H2SvvrAybGYsu6xQQsOgFxefWNElJETbva8Gh8Ht4VP
wcpohpAJqtAs3MMi/ac6oJDBbUj9+QoUnDDgcfcgV4DMjRSfNoTMm3LmYQ3pWm0IPg/CnrXxoQbR
V/P4O4PXpR4qYyPlmJwnA0twuKppWPsc2qpn17heOJdLFYPn7D4T5DRMWtuTdIbuMzOGYD/0BvG6
nnnVvKRGQzzAk2fk2XkLaEWN95UJUWfrFBBJ0z7Iwmwez9UEdCBTUbZfkX6bggAmgGJuAo8RgeZ3
cHTVnw+4MJx7mTcv8OmgB8/Ze+Ny1aztofxxwAZPvfczdbQ/EgnKLOYLOlrXfu3waxcJntbsaecn
biLNAPUQu2TWWwF4HGzKfUeCe6h8tYWK7KOybKqdq+sXR8LIWbMTyrmoJ+L4tHdMO7qWbva+GFF0
J3G4g5WJxCjrjV3blehPzxJiSfCjzAkmluTkovgOiaJLn7uO95hN54szEmsV4LetMzsHpNFfe+qr
NZwtOE5gcuRePoLS4BBekr57YQBFYhzci6zwuWcHfk+/U6LPzquC9cbrIlKGMhajDgbVP7uJZC1Y
3NQSuzXtAIa/fPzCaVHv6yvRpM79mgrQebnvay7s4xnUMsDyRUwIHEcIt05nkP0OE5D12JSoGEfS
wTbLZN+c2YjhtUwk6jjHZ56j0hocxo9I50NFCJ3Ef6oWh4jKJGtHNJluO8j+u1nw/ma8mbsJrekt
innimK9Glv36dGbkOENHV2cdl8YWKyz+Ua3n649IjPgDhZgbAy5LmUmQ45kbaf/Jy2vgi/wNlyvx
5z1787WK4QEM6VDv02rQe6GK9FIFhtr6DvhwvKchbxncsY+8gvoDMOC1eFauw3Qp2sEXWQ7oa/Mi
LtzI9YTNmmCc1JTpRJo9sumYGlYcujYg8OCWjSfQOkvxRx6NxUrt4+l2WfuSgrPEWYOoTxdUHpqY
D2zg1+4/4i/YuRUMlDBNU6a1EUFVHZusA0tLBGgDviBOONXOwAvkaXV28WFC6IJwg2yf2n6Uw0Oa
5bthgmggonx5hj1QHb2VLmAhbAsDQb1+nJWyL14zPwGGMD+htrqQMFpGSCO3es02UUBcVD2vQNT2
6gakt9q6QN439phL5BLQuAWCNGwGTB733qghR7hQd6eUuwq0gPocgcOsaZIjYnwkvKVvLkTJ5pTa
SX9lT8yMOqdw0QpL5i0Ln2CvhmmFdgfRFjIvNjbdBP0qShzjiEJ5/Jp462zRMu10PwLHBoiWdofA
Y22WziiRN9VL1Jb9fqaz+i5AhTxaeVafEOyEwV73jxlU9QN9TgrshAWVYZuAfQsoJcqz0m0ymNHW
sjDvifNm72japLGK19KgHqur1knY+Q4FS3ENPMSeImbGS1PB4yEtqIQ6udHtxTKRFPbsmbFyEL8O
AufXzJOouKrICuWku72aDH3CSsnY4CP1ikC6vK+8Wm1Zj/I/PuBNx5mSYyCK5pI6uYLmlqUhGiaM
PG3YfB3ous2cxzY1SgNbs2AWXC7csVG2bxn4810/QkY1G3z/DODnO9y5UXtuXvLVzC1Y4UEj9lg3
I25tsL+t7lCb4ERThoB8PeTjsufDbBNd/ESXYAdMc9i3g3PN7PxrnMfTm+rbBFsjP9pO6K+yrHe/
1966YVjgm1A8CzMhaCHmD/YXTrtosGHkNLQY0ZUpk1mDyZtdsaaMZApsGZMpkTFEtrrJgGIH+M5w
78SE70JLAOhAMMbslwDA8kzj5EZg1pRWxF/wtM+mMV23bu5vfMAHhHLxVrscPm+SCmSuiaPkIL5B
bUDmojGtq17b94jPYtrVGudWWGpbxoRMIxu6bZuaYt0Ws+2bC97atfPRit2FoQlL6ZC+m3MVwCej
fjKhW2CClizPVm836xPW2EmQgaD8Re9TJiqWyH7+qWwG+2Rr42WUhAphdi9lxIijUE37PdaAH8nE
ww692R6rIYrgZG70flJUTMZKX9pkQhK41jhuCwWLgTzHQjhEa67fCcxWD0Pd8rfWjt4JKO7AHmBh
x8qRJGPeW7PfbvKS9XAL7TAEQgtVD+8+e5peAar4B1WO94nPiYmCokUXFV11TSpYr3MdeZtMHw7d
KlIdka3xtcpeBzN5VU71gtcRNbJj3Hfs5sHYeJzQpJuvP9ZKqbEiUrz4rsynM8z4rzSQzd5Am+TU
GbJ9Rpn9S0ZOi3t8Y+USIM1EUMP2Tt1kE1fjU1UBCeyprtdwiiCxvoFUpZjDI1I8Of4TI+fXeinO
FBjACby5pQq0buqWugY65hnYhkvfCNutlxOSznPxCOZ8N0q2X73M+a1pC75zypI7ozXrL6nBvYem
h/gDk/nc5oTVOadhwDGLAot7CuqM+2x7/qfKKttTLNLpqWgEqsZwlbdyHV6l8RJOSqG+uM7Co446
RzXJfBHodQ8bN1iDdEHhNI41tXfXQ12YqDGlHmuW0Rn0yLY6ouh7ALPbXZkBmwmRvMdke+gB/a4r
nUtscZ0fGR34fEqOyF6b9azGHJMLrFu6PGoCmmu5y6xF7AQXvLHXnFkuVY7/Hl2LnhkQgZjEXydu
X6qC1DNOw3Qb17xS0jF42AjmH/phia4XJpPUOjkQdbdXD80wYuYITUrELH9mL6G6o6PffWS5Fh31
cwpxNgzsxQegGpjnuOZrcskZnhNLfy0Qa/2BcwwwSHbmTEBYtKMTEiPfxmkKlij6lk8dn9IW74Y2
jFeovuU5J+t9nH76zV3vZYi72/qdIQS/Kncf/Dk9uIG8L5naH7uIzJXBzlgHVY6tm+MQB+ONw058
s6DUcPxYcw2VxOqAGoqgENf3bVAWJLOgBqECNgp69QWzMR/guKWQ1gb3pJz+Wgw6JeLWp0VqvbMb
vn5VpQ4zmwIrFfI2b0c8fWw2hyKZTAD1TKU47aS4gUc0lvb9R+4NZt7TxI6e/n3j7/yr8YLrs5c2
pecaxu+u2WMG2gmDNnWAzkUjbjGwdfr+pakZCmYGvkjw39ix4fYDGibX+0QWA6Gm/uQ0n/2mfjL8
1OQdptFdy4zBMwSoIe9JjfGdIWeNORM6mzJHZzOZDExLpvHOLQTQPh+NcNnHzx+DzI8eiX34D4ic
ybs7QypzevfeVLrcTqI3zxJc6bVbz8V5FiYFHcQ0TgM9UM/SlH5JSfprZ6VgGdCO1iZsQProYfhf
1J3JjuTKtWV/5aHmvCDNSCM5qEF579F69JE5ISI7Gvu+/fpaDOlVZUReRUDAw0PVQIKkvEp3Z2N2
7Jy91/Z+gMqrz3M8TWs7XKpAvcwHOfNunNALjolljf9+i5yJgGRQwICersB7ElFM1EEW8qbsg4Yz
Jd674KxhXntQCPVUlsBkeV14l4hTElaXUxJF48e39c8GqE1KC10220IXTj/3bdMIwEblRCLp9rHb
YOMVsz40NXWSVsi6yeUlNFIhAsbZJT9pVy34yveNJI7vPkAyKGyCXtLbj+bNtgj88bu9V439Cnur
u0H7aN1Gg8o2NsbNr50ZB9tgsQ2j7j0Vfdbf+aXYT3K0nj++DEsH7n1TSyEVhennujze7/rAnejM
UhdDsreXRWBpGMDqooRGb72tHfsmClldP/7I5ee9+0j6ozj7GU+Y+Cne/XyJf4LjJiFZTSC9bVpN
JLaG/CeMuvdjg2a915jY86EmXTnss8PHn/43bzNzAr6A73H3GWW9vfgZF1W2jDn3FSFLm4SGzjrn
QPHJE/43l5Uus3AU/LC/GVOxmwqHKVm7n63IRtTWcvyKx68M4q8an0irNv0M7vWedEdHn+YnEkzw
gqgywJW9/WEVOemUJVm7D6O4OQ9aGuYRQokjSwKtnMG7R7qVr0qT7tkyWs/GlPShEVctTA2g1X30
Y04fP77W7yQyr1+JOSJqEh52msDvHq7SYDLumyXvWBJ/LUo4ev8ofpOYGi8dq09gbcuU8d2TBajN
dcGOCc9fBpFvL0EHsFgFedLsvci9quHUbXIDL0oRAE0xqZqRYQDOSuOHksTj1HQf6kgZqz4aLjuR
4DgfCGuBaPUJqHSZyv7xtXzhIFjiybPU60jkN3qm9MZyCt2w2WcksYMVoHiGOUkrx8xpqOCjRth9
oWmSPcm2LJfcRypandHSRTRg1SONKeo4QCIC+n2xJNwqeTVYQCDaOP6umoPTmuNmtilBWveIfvRG
UON0oS5XWdjFW6MNtxq529qdQ73G9rlJl6ljogCJCHMJGc5aROdyOVubpsBngWXAJKmQS0Mraxnb
vW5s8WzWx4+fkPfscB6RZZIM3Voi2YI/+25YCvNrbDkYkl4ZcFwAHROu3TbsUSRk9MXcJTxMy4jW
QYb3r0cnvPxMWquI+KuCgtClVRuw0834ds9KszO2DlqQbb/UzXNCVdrAn72kJYErxqMTGmafrmfW
nyMtF7UUtCDpKIbS5rv5Cr0M1vmaYpOitFnF5AVv6KnhH3LrZ8wDCN1VduEBkYCAhtbfSAk5HjCT
fXwp/3z4YVMA7YYriukaxt/bhz/DGFP2bljt0QyeiYELs6heQBWpTz7oPdl2uWcuM26fBCdYe0iH
334SU5CA1KGkJA+WrmBM3QN1d95Vbpv/Smf0Pa5LVypausvV2EG5TYhXEx2BakEGbnAo9TfBER5W
gLhwM857CUfAVxFOsZwZcw7v9LcvaslsXqa04YyAs8vHV+vvbhoDPAagjms6yNnejaZyTq7CmnW5
1w2UJpESUFPjcF9nDVXnmI2Epwzdj+W89Cqe6Sr9a8q8T1asPxdIF1kE80QggvafaoZUdI1bWla5
N+3ip/RhK3EZ6CCniKEIYfnk08SfEyzXxYvtM/eVlgnr6O2Nk4DOPCSNJfPLIdwlJXkny1gStwTG
Mit0aOBSUM8tQw50j+E1WVrPxVgklypDcWWb4bfSs6bL1K5mAK/CWyU2UH47W3gG4M0uAV5ef3yb
/txH+cbOMih2QVtRNL79xnjDoNWOvFquMUVElZftxiACZtuZnJ9oZaMgM9NPhpZ/U/DzaTwRpk+F
itry3ZuUUjpgfhDFniR4HmF87RzER3ERF/a4xLzTTw2hBVpJdyQbS52DF7h57RnSbze2+PJhmeW0
EAIGRQTk9CSiO9I6o7Vi7YCrbEvJEVOjatxIp30WM/XWa08ktzg4LREAu9ZdVrPIoV+7jF9s0UU3
CSeqdVZITe4pHIEwwVoRBfIhRXS1sgyGeqWlIDkwdNhpdynmg8HHc0NrEqHnDfZpBGbLbKNI4UAx
c8PGEv9SUcvHjZhnreCrNPAilmUzYBbkMfz4Vv7tsqGkjYBHAW9Hs/H2XpbeHOnaZtkIp1afkowx
psXxZSccHNQ0lgv2QA656Bu/0Tanm+1wo/Oh8jZDJ0jaVDXpphM9ote1PsOkeIymiIBZuykdCILi
y+toE54SYEamtbCEanmlY27Cx79keejeFrBoY6kuUDMJMInOu/W+Dm1GsPA990CgwOdA/1kyd3gl
bN1DOPWzte/N2RfbC9wNWtDkkz3T/rOE9YSNYRTNC1oj672+x/fGxAd8Ti52yhStEPV4shL6/V5K
J1yS3/WYl3hMI6mTY0eoyyax2SFHgz52tPwnJyERrDPhbIYzjyl7FxMllwGQmuyvptXh1S+ejYbm
6+v8gdYGceV0qkfSuQMccE65TAMcmuwxTcm9mS09vnFp585ldFNXg/1ops6mNP2LuhcRjq/Z2U2L
5iUL/V/8i6EHZsKf6JjTfQ4+YJ+4jBs/vkl/U1l4guqbyGMf5q2jlqv4W9XVM6vL40EX+4ohxeuA
ILOXkTBh2+sy4jWc23RYwSg7ErtpruaIioGEMYYHuMCXMcxsIqota7CJ7NY36bK+VeqetJaIuXgJ
3oUwqHBiFuGa2bT/+Nv/ue7Bhaai4L03Oaa+PyN1rVE2qGCLveHZC7CvIYyqJWGTduRrNyoNsk9W
vT+KZ5dnivqUQxnmRTb2dxuitppgqhNOgrS2MQiVLYrnZXL/OotpXm9vx1CoZ31ByYFohMA35pxt
5a1kMXbbuqqTrYOYZYVU47PF4/1G+frlHOpa3rdFNbT8+W83U01eHBsJDv5IoyNoa77DRBnRLVPW
dLkqH1/+v/m45RVHqSQtDhN/bDtJ6eDPLZL94CxPLRrWyaCgshueHc6On52IvfcnBIjFsF9cFJ0I
2SxOjm9/nq57po3YBPdaa4d80d5mLSQWbLT9HaMmH/9kQkUSLbpoSRl6iBxwWJZl5Fd2YbtPg535
p7gn/lh2143yxm2lWrWyB6gOA+/ohu5Kc56CPdoTKKRAFuTRRS4x7QVLiFU0tznoCf7yqCcIj9n1
TUQ7/Bh3uQUbHu+gUYhsEy9MdM4wtl4bRTTAcYLtY0rdw4YZgAQkFbz+itRKEcoztBwGE5XkuplM
e82xTeLClVxDBOUXqjLiTRAnoP45J+/m3gACkHvepiOrlcQ245u1qO2genc3E4XajsSumBxpTmoB
CaO0DeFsddTc0PGYU2/yJJNnCFQddGCJH29UVuW7vLQjECM1xrfMJhx4gE6/l27lHfyI72CUQUh/
965s7etQkz9g0B0+95Qx0/6Zra/d4MNhchPnkxdNvi/UXeFRhAlEtKxKJuf1tzfbX/wSRsouj4LC
O7yee2SKaiRvTCbb1FIx/rLrsqpysC8DkKd5sreiXG5gAUABH4RiftFR17u1C0os1d9TEcudh/QQ
mwUsfocHaDsZHgZcFki083W+Y4hgr5euxM6Ts3EPuNW+8Je/Pi7a61aLe8dFbTLgTt76Tie3XZ3l
mLAa75OG0/vNC9kfLxRvMHUMC4357lFn5QSUUCXeTtfzvsYgQIvok7f3/eL5+hEuCkNyQZT1h3uF
UxjUCrVkwQLM2RQ97dceDtAmKYHDNK2suDZAgj5eMt4XBXwoaye+Ijrsy7LxboUKcc7GStfurirc
asvwq16TAlgxdsM/4ElGeoZ0mmNRmwE0qKT5pK1lva/tXck+h86PAp5+Kh2Xt0/VBGW8jxe8QadK
coFHsJ+lkDOOyOUDA8c/ln7r7Vnt7mk7JPvUVv3Dx5fgVQH3e2H0+h1okUPN9hD9LgLx31dpXpva
FbWhdrFKjE0/Vc0hs2XNQdxsANP1kb8mkrh5Gc05uOJC2lfFiOo0bwWUwMSdN7p363VDItquy2bv
2WwEl7JqqO50ucsSXd8OBBgcHVg/R+Lm3YuqstWFWw7VoyDJG49DbsHh8duTdHG56t5IPym+HMFv
ePMbKWBtEhsIO6Nxzd789jdOUYv1ny101/FWXQyyHncwu6y13xf92euP8IkBOJnEuFyQr26tGTzC
Np/NeZOSc7+eKcE2pBdCKNKgM32goRsXngHvtdkcx1n8KtFiHIxeISHD0r6JQnmTLJTgso76s3nW
DUwEVaMAmL29Gt2eqXazBSoEyhmM2zZV7YzCB2c5ya/GLivFDAPIwTeribWtq+YKOg7eW9UjsdDh
7WQ4Bt6RIT1Nc/k411BAa92dOQP+qNk201UIj+9SRG77bBT5j48fGfnHTsvlpAmPptKlFYwv7+3l
BFkVRECQ/F2Y1PROOqNew6e+iMLhLsvsAMKdbe3m1sK7rybMLHS81jGUukPiEakOqQkTF/Plderz
msV5r8+rJDRfqiXU2AQofs7foi568kKZCNv5gUZSh8VGq31i9ksco3/OKc9cmy2SPadt7F0lqhxR
n6jXhioeu3Tqdv1o3Gc0pDfJXH9W2dh/rFbQzTht0jZyPF5g690DFWPXVLRTnB30su7aw6PwVYwD
QzC+OLa4zhPbrvDafTuMxo68GAMhTqXPrbj1DpMdlTCQgg4XWpE9kKKHvCPitUvmxgG/5MTk5g4l
D6YK4dsijtuYNc/I1BakyEZevO5Mz9pOJG+Pk4ZpLuy7oZfPtmGlq8l37wId/eCsA8iA+dR51hru
IUS0cRnmkXdqqSe3OvWqrd+nHMdzXZJcMbZ7RW9gbzPy2zGY5EHv+cjRT+UnPZy/e3aYXNg0vVn7
/igKpzHSzCh5dshR+YXbwDst7wosEYiDFhbFjx/V1zypd2++dCQKNTq5WEvfi5mzjl6V2bWssMip
NjFz6GeEZfq8nHNrbc7ZuJNmEF9p1epz4dUseDXllzVw0ce+ooL3wMkwTXzq/QD8tLoMZuLjLVQ+
ozojlaqAvMp73cdIXvln1yU14cbweS7rmO1DDLzNlO2/igZghigQ81nV3P+0CuJ2sIpZTA7H/CJu
TLVNQhnuNJL4hwFW1i0D/2BjCd3flFE0r22BTiOxLVpcCiBviGHrEjGXD95J3bT4Yw5+MrFyzH53
mamcQGrcFZeDybLclAmJTcvXYWK6ZMNm/QNkA2PT9GwzhibeYO0IN94VAG1eqtaIr4RZQN6oc/Or
DJbw4N5inK11Yez8OltYJ6Gxg3fNYuRaaqvpBVGB8kLMn2zQf/O08JDQi1n06Msu+XalaZRKkyxE
FethVGQN4frVpcPmVNjFxnV4IT5+Xv78PKaKKNIpsTioO+9P6SrJUQbPhbNLSbtnvs3bgGzOP6I5
8g56JiH248+z/iwsObbhlObEi0yddN3lG/12SPKQt1UiDO0dOia5jSaUoRYxbxdRxiAqn0k3GcHH
b8NGkUfd1Ye6YblQCQi8IuPldwGKrOEKBeuRk/Pa79iozJ5bbRY2SDXXavH581PA/da3WcNy7eTL
5u5A2yNXOT05efEyLctImGPohf/L326lL+gXK+ALqELjIjI2Ib3J+wLk5nFW3iUIuWTHlOFXVYDU
nAfnV+KmL0Lz3Q2zHXeTF8zn9LXE1upGGitFfd/MPOuWwcr/urUCaKnXNZ7QZxRlcguLcb6xEPmi
EeFt8n12Sc0jeF4QZ3s+tHa7L9Sym2bkUYcldUkSsc90GTnz5vKuQqKKkfV00zfY88icep7zueIR
T+q6OSDQZe8BK7dpkrJ6jKLE2HHdJOxkvlDpYrak4zJvfEMzBZiq8Z9/mvK8R4T47mqXXIxVgTJk
04mhWo9IC1bTsuvGWjRHO4IbWVPzoA4bqAfaceYijs1Rt6Z3aVUM8LuU/+q3IURrlzc01/wjZkgF
kQdEljUF4m8030AjwqYGG4yKiLBx0BjLzzQcK77qjXnelL3VkIpWqD0eJXy8WcS1Sx1vn87qQU3u
d8LjMb6mtjjydvYXeGpAJQ68NaEzefu+giDiRZTRr6+7r7h8KE35BINdoPSpdHTG9de+bDm0czte
n/b/alzCv/R9vsEn/L/BS7CUZdPYMykQ/rWpExv2S9tGTfhS699dnL/9n//h4/QI0TRNm+Ez0VXk
VS55mP+AJ3jmX2xhiK/p9FgI2pY/+aePU9h/Wbg3aWwu7kpXLfbL/4QnuH+5KCaY0dGgoB3vyn/H
x+m+uiB/200JJlwUAPQ6MNKwfb9HDLBTItyMe2T2cP3EbrSaej00sZDryc85p5FF0sRbShYotaQD
ICxnqtSReTIKIMmtajms+kpc5AMZC0VXlIxNgqy6cFw3vUuiwbh3rEAfwxEugcpyfV5nrhnuaseF
N0kDdetKmD1N3ugfvfRmkpAQHWkOGjTYg1GljxwnoC0HtCXOQyu3e9oSymOQHkw3aiwyiGzzXdjJ
aT3TpQdejeCsz5xtF9X1ufb8fD1iIxO7qYDvuQ5GDCWMfidj2Oe89ldRMTXLoGc27wInSp/lOIZ3
hITkG2UKxGcw7C+ndImOmox+/hYWvvMV+K0LT7KrXwaa30xskgVB5jO4YkoGpc1C4hMzvD0h3k6v
SaiPtznSpFUuSOIz2xIzg2YuR7r0zsL9twY2U27mQlnfiIkfswUgRowVyt8EBLdKvg3Kn7E8Isb/
ERZG+IAYX0LEd/1gIWkZwtqEos83rQOUwoedszJlRPAuWVpnMTdgDRAU0KSK+/OxqB+nKOes54oR
Me4MKYLU9Bzw6jxW+VYTTSYXdap72akhfolyO/tpigAXZt1PMCSqvGelNv2puZh9Rj/05wzUntlM
me73bTiuidlpV6EhCyJw1BBeMs33z0Y/L79o7JjYdKjkTQwNERA1xBNqXRuFfs7SzA5XdB31QTZ8
jjXJvGelHzxsA2Fb5Yyka4jUBYoVdhAOK4BZze5HWeeD3knAiocuMqBHdu7krEWoJjo1HSEF6G2S
cpvyWD+0thSnBBXwRaC65l7nunhhEwSepNq88s/bkEcRh+NYfq8yZ/rS+LqwNg796GTlx3X51eqW
5LHZWgRTcZzXd6h5/JNNgR1s5nKAsJwUzYngqqoiflpbKP7Qp954Kh8fG9tAlBlkpvGTutiBkmbh
KbDdJPtG6mSx98aJPy+EP9w3eU4MRNhmSPrRB+vpMAhXo4+AGnTexiCZGdgOe6MdQYTpYXhc0s1u
nbaYAUCTgof/pDq4njbAM5UKBohJhu6mCp2xgk0hkm8hL9fyfw1S0tzrNK0OZoRonzwBhVnSidQp
5SwKfdtOR/MprCbzWfHITVuTJCgy3DJuoNcVfGs5eXAdZYWAoTHrAQ4WyY2HudFAjgP1M0jF/AUe
BwmXBfK6QX6HRYxm1Uzi+pvjjlm6ti17/DL2RBRVnSY8wWiG+xFn14XGu3VI0G2d5UhT8WzBKV0T
WAJBdhqbp7lxbb0Jm5aWHFNCgCVtcUa0nWpXclJkY09lvksmyVhg9IID5dCe7z1vi8VF0A8jdGLE
ivsOHO1qFm7w6Is4W+do9HxKMV+tDatrxGpq67JaD2FG+NacM3+058i01pyuMmI1AvD9a6Ak0c+4
K/XD7Gp9biZ4zrdVK0VKEIwYng1eFOaN5Gt0q6SqwM3KWNe8Iq1hUfPMvNpz5lSncoqyCQdgjAED
Xuu4sYyyXbU016CRdqq7qqpkokTJi+LYZk3z3JiUiBERDQny1G6T16zTfZqqc+0n2tp6nUFzdvar
B7MVMQcLBpxE4Yz9kx2E9YUMtP5i9W4MsNDJ5m0HXLvhgcVXtqbRbkKUArbyvcm99BBm7Xezimw0
43lfnLGVONBo4rT6YUNyRg5ad9XMxRuGS9KIwhafEak+m8aK6X4ZHJ0Br5N14q34nco9EIygkT8T
ZCc38C+anxP4fVwHsGYKcmMRyKM2I++rOiMRI7/OuFKQnEtqW461adLuEVQ0+lAwAd7ZkWrNQzbn
frOOOW0RTpIqB1xrJ9OOX2/azYZHs/pFLqR3ZraF2FhN03Qrbx5ZnPyUuByD141iNhoxLFbVl8il
AbwqsbliE6rF4+QWCwe9SsSFqQvxAM61eqZV5J2BkQ0l56WW8ssrQ3mNqyi/VhxaHyqyArncseLx
ISAnlbsJ6wqMsai/nNxWcfob7fDRtzoz24yFa/0yK7Qe53xDLTcKHqpYaW/yvrSjZ6JOArJzyXvr
ZIcAuduiRHKAZUVufQGfNb4CSSZ2JI4yqggE/P7RqOd5lZLEoDH0pdbOqIroIp4C92mKzWFF+Fl2
ncS4RVNRYSsYiuiE1CBf69myTszXirVV6OqxC83kofRlubGm7ktpuvK+LXv7lDDs2XSgcw6Vk5n3
lVkYP7GGAbUWoUAaLwt5JHPONdaacvc+M0P35BbRfVGYxikAC79Jpnzhbeo4ORmx4KwC5aRDbJFD
UWS/m/V2idEC3MZlQ3HuxjZerBQmOk9CKsuXyMsDbDBd6Ox6N+mIvCmGg4YIeWxDSgdyJ+fvKY4T
Eh4qRKR5V+jrQqXNBYnd7rYcVPQ1ausvGeSA/dj54z6Iunztkq39EnTw0gpvSG5RxOZ7o3Lmg9Pr
fFcZg4ej0xOkxSzz8KnTEphe04j60oWX/jXVPdF5niVGbwuTFgBeXpv2MQ1LFhd4gvaR5I/2vpph
8eRGrS/9xKy3bQNEPkMYFq2SgmmN2dgSHagFaFNk/b3D1nJDgJuEsjQMSYBN01Pbwhyal5mYlkuv
IXNly4qgj30R6KsQ/uGdaXflyer8GAtRCLLIDHt1Jx2NtAXqqrUfGin2MaCcK4jdYYvsODAjlPAa
4HjMya/Eb/Olm5LktiUg9FddpdJlV6aUWBe6dOTWqpJ24H8hpmrthF2ewjZnurNyJLd4BYg24Fzb
wgkElzw9iZkDExy68pSUC9vGbtwqWsnGki+K+AcFOirUjwqrbr0bfK8waI7W+twO43kD6SYI9lKT
XkOAWTcNR0ADDZSJKVZP5MWIhzyL+lskV9W+TTLrehAaaGSLAwG6Bil1B3on4V4ByvwSTklxU9Mo
IfMk7BhLVXi1lCa0DjNdFgNCltMFnTk8xgawwBsK2KFaQZLVzxqhH7jioW8ZniVa3pvxWD1JEZcn
v4mT7Qjm/8rrFKI5ti173DhVzR2t64iQjSlzfxRYU7MVI57pygDrdOaXublH6oyzoh5a3M+Nq76T
RtESyFjb00ur23JaM342tvZU9t9ikcbEgUqQ5gNorEPczQNxmC1409dfWdmgiEu76r/4PSxGGGir
gYP8Ey+ntOET5uXJGzBI6Sp7ADV6m+osggAYNhd+pglOlMgzaUf1kAMzxw/XBrPnTc64xV0FgfKf
MFGxgzAKC5O1sjmoQr305CM4x+rCp/t1i41P3faZKi85vKQXTTilz4ZHhNdaZY33HVeh3s+JQa9n
ZDB1NXqqB4ydtuNXL5rM6awYZT8dErSIyZnOBa1PwqmnA6o+53uQAnJBZ0QTIDewitFGd0vsHLXn
X+F5mw8A9b2f+HrUzzAM6m7bx8kMq2k2vZoxJPd65fQyEntBWPBD7zcCjGUaP8+GMd+afhbIXT8V
PnubJsWYSe+tO4mUFL5uPs2RbGFgLpsvEP+lOz4X1BBhcDvpqfk2Fl5z6eZ5eQ/v/ByzdqjwrKFw
1UVUkSNve1puwTuBIscb0K36WQCzT9xhw3Ai1CsdTRX3OXX8DhOqnYCA7mLUEPQqWTQIy8Xjinzx
2QytCn9n1RKUZUb1sKpMs/xuYz7DRVRHl7SSChKThuqp9mf9o6FHcUgxWD72OPLn9TiN4RFTVNPu
rGEs8LnkbXg0fHs2jghRzINwo/E8Qe1nrZxJt18hGkMaHuu2u4i0zMp9orwWrZnVxBccCaKDqgdx
KEezSpCAxT4pQZo6dOqB9+qOgJ8NAbozyWuBM9OYdQnFzOkvnmVZDNatH6nlFpcigQipMRNMIJcL
LDuiK80mxqFMDAbweUvchjyZh8FS+TevmEm75ZTd8gkySzedLY07s6u7U5Za9RPD+QmjhMwoVdnw
10BViCS0Goc/6U1KDEMUOLSm8qLww5Q0e+I2g3WRFvFLVqR4/gSxT9eiyBb+cFICmEtsUKadn/2q
CRGVvC7ZHkF8fDLqiCiIKe0KiPuv/JERVjfnSvOeliYBKSLGQ+ORxAFjoFPJeVz1FCRFL5uzJnIg
+uOftqcVTcDy0LQVDgcnjwyOpjpeNmV6hYe6bbg1lPFm5k/nvTPUZy070kuUqFGt8yhooMMz0WlW
ueWmID7bNuhxONGum3EWowNqlO5XdYxxdWUmCiOyrc8bwUyjTvr5R0ZC+W4eR5xzlJGkI7idrr11
qpLoSGBW83MMk+IyrBNWEoP5+E0FE+ohc5YzRes5KUIEdvE1k4v62sbEcpGpNjgIs88PfeI2x7yb
dEWzNRsfbVQ25j6LVXEklCL42tZeVK1nNaeXuW9X4ijreg6fXLJ3KADdoZn+0XX+b+tTvaF8/n/E
J6OxxGBv8Ur9617W/6q7/OW7fkn/41S//PjZvG1o/Z+/4J9cMvcvG4IYjSIpiIxAMPmf/Szf+guo
DRkwjmW54Hmc/9vO8v9iOKT4p4UAZOYu6e7/bGcJBUHUhAbKX4esCFTXv9POYkpOb/23dhaCWh9Y
AvgzCUHbQcnztvdehRnnKCYsx+X9jA9gjJNrt3G6diODjpC9cezS+JClOXmLbllr4oW8vKs2havF
EZFXvFWWqMFA5466tExwL6xUEf/OkSP6Mkelz8mZw3q95TwfntG1gdri1MLcIk6T4VXhOFl0MNiw
vwAJJSm3sKK8XjGaYldIQvbBLbAy97EZmA9YrTtwlC77LYROgWfTs7+VM0XXNmCejvmAuIN0kwsC
6dbz4A83HBfi6EAXh8AKMZqTIDI3ruFizT02+h5qyEkK3i+QgSUck8mxwkvCje0bhpbkMidVz5JG
zVgS+0nAJBWYl5m/dGQWM94fMlk3tm3Yt7kObOBKQRY+V8CIMEh5wfRdKqM9lTS2Fvtw3q29uBy6
lazt/kXHDXHrnpMh0ipV9MWGQ3KoAzje2LpN82YcVL0ZMqGOltVi0c8ZwBJImQu1knTy7lslpme0
0GR40XMkP4thVXQQHrRyZDd1goRqimnqlY0rL0VmDZfDCCyUHQB/7WxH85WMss66EwxcCGO0pyrc
2X4p/aee1s5xqsib2aa+icFmzkOxJD5abP+rNGzr6Fg1jWNew8kfCHquZtn4uxioh3ffwDpZhmtY
FQJYY8+cOwGDASznYulj1+ocF0c5bPlr7HPJOkYCgEfstgURJ6Si1711HboeFaHhEiMSD3G1sQLC
y+zOHG/byPwVs/Vv84SG4UDT/khwPIVnSfevJs8H8AxY9n4K5ivmTHqVyciB42GTQ55YE1ZYWBrk
b6gBQ7nfuXeoBI9DaVg0sYzAPzPSLtvacXDHnBBYZdo/iVIypldI+nk+cKc6P6wsO+Z9fRzGkINO
amaLUFmsF0P+VqJGuwyFzM8Uj81tJkvjqEZyvEBqcumqyttDzlm4fuVZp3DOhIa9Vh7MrznwLml5
N5eeXeBx7GkHp5o0KmHa+ofdN+meo2b2FLUOCTwycQ4dkXoEZxZALH3yHwhNCq8Tr3S3HOKLW1KN
iitMAZhNEmfezsjFF3ekGTyE6XiXtAROTG0SHqdugPrpuiT7KhJEIr+gzzlKY2UXMQjCWN5VpEOy
IYWQ5UIR7FSQ2ls7J67Dsn1r1QfoYqy2u6wwO4Df1siG4snp7lNdnvqyxqZlzqRAAUthFKzb60Cn
JJbMNInWDvZEh0qtcAQzmXodTv0tkosUR7JxR234s+uiUzJYgNsDWCtpSxs6jxuX2E3estAzcJ3y
Jxg1kvyZzn/JYiTv7Z7nf8oInc6CH6ml91aX+yfGRuZPzhY86UV5Xiq3Q6FH48v0DVIMk/GXm7fn
HW6AdTUY3PlSZmSaJLOByz0kNKKjQRs4lNMyNYARMkknDrS5iDUBM3lDUw7VClk4rouxfHLmZ4Pv
vYvjYEZkYFd7qKwcOnUC3sAzhjvM8nfs+/FZ6mQugJGU9NuhJguCBsc2kWN+U0Pp3lKhkIymsvkK
E15nb6ZsdDivB9BKUR12G8XIwVzbdh5u6LcbPUBUMT1GcUsEiwyGK9+nj0uYG/h/zXmgrepfZSWJ
d+i86mxU1O/agtWKQgUCa9JnJ8dHYBm2jTgbsTl/YzBB3hpCDH78AOfXbokLIYEU5Z9YMm3pMTVb
Z6q8p8EX4Y8y6fHV/7arnv6xC/0HuVmnIsrb5n/+D9DY73cniJ6LPcnE0LDMwN+J7oqC8KhYm0Tj
iqZvN4E1ZBx9mUFcNwBTHsgHtFnjCjrzg6w4NuZ1n9/n8PiRAqXWjy6s/PgCyaBlbZOWrgTRTFA2
6uXuQ6Kw2KYGc3CxeRO1WW1xK2TmKvcsfXS6jFi8ERglTWZy+B4bkjZuJ5A6MkWrSL/pvIxm73Ke
u+SkPc0SVZVBAzdCEpLRirb5hsl/mTJq9ZQ0E+cfUjHwpxJL5axI5/OAmLhquPSDpDkOgzvtO9b3
c7jK4y7VNLNm2Y8HbCT+GYTeYeUJBpWS/BJe+6B99El02iiCO1Z1hyqUOpk0o5Y6BEeFE0MoYN9q
PTqIhT0Tmjv483TwFKMDvHEW2oo9jmyFPQ2O1KE2Jye7cO3I2/q1IsWy6wHmu+50RqNmacaQfrqu
bdO4TRJVbseida6zqZGnRuqQVJ9pO8uaYTgdx5WVzwvvLbaK68zPoOYDTLjG7+085UYpN0ysaDQQ
3rzTbU7P20T9X5qa/MjQu9OORxIzuLOY4t1vX8gJJm8G3Iagv3hVxt/6HkmIYXkXhcWw3kG1t0Fe
3dxqMwGCVHDhqDfoXC3kX2SixiE3u+iF2TNAghRZbucSBmHkt2Looisy7TX9G6lOfaQPLkrDI9tK
gqCKGVrNWTlYNQg+j7PbcYaeyqbfliGEF7gY+XNMS31jivIb+HRnXZNbtXJmeHIWz+Z15VbWHWHF
3118N7d0BetfWLK6q4YOS7gzCFsySEpygvm4oP7/N3nnsRw7coXpV9EDDDoAJBJmOVUob1isot8g
SN5LeO/x9POBLY26r9xoNxMToU2HummKQOY5v/X3WUdy8o9kNIoXxI0Ivth1HWNDZqM8F1PR6RzK
Ug7PkFq0Kjl0OLyPJD+/Nh6SgZv0FB22B8vhuDTR6L5qwg/OdtGIM1Xh5kcfedacV4M01qcn+APd
Qs0ua9JRmGmN3DiKSmNsQDGKzrpxE0JpPgVWokVMUfJNz4Y2WFF2Nm1kYtPUUrbyZA1BdWrzlh4W
D2n3m0xt/6pSFXoiJp2JoKSrqGl73zWNIVyZpmI/lMh2aDQS5jtTbWxxnQy+tu3VMtmHFK+SBUVE
jAq4ocTXPiv7HtSwEJSTVnGowubPRk+DgaNecdgV5ZryscL1ObGwAVdTWy4xAfhncq8dPk494tq3
yGTADlFexzxKn2dx5E8omHbL6MV6Rl8rAuWC8tgF4S90xtlttgXDmzj9ZlJxRbh39mRKAkjiMRbn
3Eg7Cn0c56WtkYGEqYH4p/L866TQYQQRV2U3foz4QZsm/rolNRNE3Sfq3rTBOILSkKQd2hSyBzEV
EsvKKWkD9fJ6pVf6K9RLuA+oRSJZZowjiqZD62X0+q+uaBV1qWldt9XUbE2jI1dXLyO5ieNxeAN6
oJrPG/D4QQjb6TtBbd1NKxLjxRssSB3QUJB4v9btEOKzw+ljp+JtignF41JSXimwiK6h5jnvRV0O
D1BL6LBQkMboUfWauSTT5NaIqIldIajU6dfL43ZNU6L52ZpGtC2UtkGMhfhzWMk2brlXcxSQQPXN
+AaQpJyxi6ZE53mRcBZ65sUHxYjKk9HOYM6kdz/UtCJEQ21q+xn5SdXgQtUVcchjHVY0pOXnRW/7
0cNDPITpslAqZP4Nl8UrYqj0JqnW3AF20p7qY8AlVMZA0WV4tF8CyOli0QNc7Tn0SC1Wx25ISNMv
03Ehh15/a6xijLeD0QcfY5SjAEm9pDsV0dQsSt2DXEzYyaeDzYytakXsH8aB42WNhcr6QbWFdvRC
s90HkV7Rzyj06YkMJB2uutHqrfQH5TGrZXBpzMz+yAetuXUaK9QwP5IsT/FAf5vj8xJSu4mSzi55
RpYVQqsj6S/aLiR4j/1nSHt/0TQ+dDoaTP9CDgZB5Wqo3I3RwGFvqQEY5DAlylfTGhnZSKnuJETJ
qfJM6xOKNBT63akktel1CoT4gC8cCZyK9PLn2PjxTitNL16Cu/kv2YAMcx1juCY82DC+9LBDO4Dy
rFylTUhqZBlaw8pTuniGSOLyiabEibLQbEhXuKLsfMElCqEe2yN9kApaBRcfc3Ooq8i5Q3nnXPl8
snPfaEydZg2VUPawbp7IMhdxuV4sB3J9X9MmbyjSs5ELLKkDkyvN74ddZSBAoD4x6l3IYA0dHM4r
fxEVQ34HTBzetaHub0tF1PaiN3yxrbIQei6xko6MvQhEZiZWEDllVeM8kYBE4ZTMrUeNMpcP9hgx
M6KhAexL0cHIoxBW52ocRlRjDYFCY9W/6Kp665SmfEi7kr6/FiPbHTGlan7p4gECZdLlOzl2Fv/X
mNB77uvDrqSMbFUMev3SlqL+GnzVTl3gWPuWq0QQTUbkP1FNyk0UdxT5pVUaYAmHi6bsUsviNYOw
ckJDoct1WyjZLkAuhf5VBI9VZ+r7MRNNtY8JVY02TqtQce1Xdn+mYLa6g5cHX6MAggDOdKA6zah3
ltnZr5amDreKcQvGlCy9HauS6a+1QSQ7AiXSak3NROpOLU/nUtfH3LorNSA5l0wM4vntbtyoZS/e
uzGrdtABlPtpdJD1jjWSmVMZvcM+WTCBBSjtKH8tlQHwr08XYSL7T0v4zQ+/SBT8h5GdVqRodfPE
yjnxzjrbEb+aNdaSgIrS7TJFB4CQvcVYFI1PtK9DwPMRQ/A6ThGxSxcBwbXUczL+lrzYdCh2k3AV
yy530dQ2D4ZMIo2A0wGZppqIzN/4RFMu8DOVJ5s6RUrNzTkMsR1eilx4MdxpavIMV/O5WYTqKFzO
c0EGKfrrS4HUu1tR35mHm6E0aJtXrRzW0GEqwtU1d2aHRc/DnDjToigb/3OqJnGobXruVmSmwFw7
qR/71BrbBF/BB6s0KnjjuO+TTvF3JDhXwYogNJoNHcY2tY3Sx4Hirp8y7u2dqjjZs5Rx8OQAs4+L
Tlf7Ta8q2i7XUAeadCJRxhrYCHuy9ivW+pGNGA8wSW5pltDqV9udO2o0QjWDVDZcSaWLYJY9TmUZ
S3WLNR++J8btaMlPg+CHOaSqkA8Q8thYdZZI3zH3Fiad9Zigiibfdrp1w6ieE9AZV1fmIiUaL8dl
OET5tTYd7xOCmvAHWZW3RB1G7my45HWbNwr7YiPC6wQohesjSJ5pVuzOSWwMD3lhZZgb0VExzebq
XWhhF0UR453qRJX7jhf+YWwY/SslGbe+NRCXHg7ZV25b2Z3UK/nAY88kHBl7DYkmTdZe8+I3nXFI
TW06WJOGHVqKdkfUBKGijcg2ekx9oyVvzOTVPRkE5YHUUMxsrci3MVWlr1Ae/ocnqOxgB4JCDY3K
9SYtPhZtFl5qa1wCUxkLTPmpv+h1cIba0/0v2wgePRysW0MWq7RKBJZRp1/m7JmrUcjq2BQN9BNh
u2Vc9xsncKoV+mciKE3Mc2hAnx0OLLSSRb+TdfipUeA3oxU0B1QoW6B6mAf0dq8HKHxMv0kOnh3p
LpL2cOlrQ/KGtT07TUaZLBzBisDtUG9xYzVbDAmWqzR2tOb3qddWaNA1Q3h8zuX579e4f7D4qNIg
cQFvCeIUOhvMX5wCCsdv1nOQ7PQu1Bk75ynNFrl/LmhM7peSR2hcYqvRFkUryJQeW2tHS4L3H+Ob
/sG18a0NNBAR0jaGSdL+JWilaj3S0TRr2I2VSaN93Xyg8+wJuu4Mp76z7UwzL7FK9uOKVN/+CsPF
/kd8aoPXoOP9DozuCS2MBCcb9cpf0/cKfiaQGZTvJt3NhmvUCgwikXIXHCJ88qZIXmyKnoElZkAu
7Tvtw8qGDBqcrfEZ+ENZD00jbnrXK59VQLklwXb+o6WKdqYe/fClCaEjOeKMk6OGgAJ2pz7blc+D
EgbDfZmbEZHE5NisYKbjAzmalSvGXDBICP8OpitfNnjvrpaVjgeM8uLUJj7XISVQazEkLzoE9H2j
+3ur12wYN0BLa4Yvqc0EySTmhBNSIbwgWAG5ymvxDXv63xCoRXPGFzV3wAG6UVo/6JiwL4OMqys9
v9qzKVSUXSWpysBf88A+NLIlLN+3w22IGvjRQbRIgPL3dK99T/rO99Q/fG8AYRePnxJBwIot1b6L
vvcErckFOkdutIbgLx1f5LxOgCaZ7/hxkoWMHXunePojat92VwyVT8QDH3xMU/aCnvh8Nt+ws2Cs
YX2x502G7kR5IjGSf5z3HC8YmmCF3CW9RflIEK3WsxHNu5E9b0m0S4VuVaRyo5cVGOWMiC45TZSP
5HvJGuZ9K5o3L2fewfR5Gxuhhl9LIlfHJVgO61rhBPp0o6Q4fpV6UrxLC9O2mxGuPTyTccOHJPNE
npuJ/XLTGyZYOEB68VJ5hZn9UAKzDVeBbP2vRpDBc/n376v+DxkjwC3Ub5B1pcNPaLYOG/JHQX6b
oX0kgLXdhcxap0IZfJKYQ5o4KxHvslS1d6Vdpf3Sa3NvNVT5nZ3k3jGAJKVBzOyHvdn4MHTlpPgu
CAAiwCyN+ytbDzpRA5z0Bf9F0VHaLcqb0ZNZWuh0e/tj2BMxN9zhmr3rCf5DKdlr3VGzUyq7azF4
n2gh6AoMC3Nn0jp7T23AAKRvRnthajcUavhyvQt9CyQNej7uIuEhGfVvvOPiTOTdicWMrEHFUDtO
PJXyU/A6ik+r0ja3QVhK1B8mAyp3h7rtCiu5IORTLwSQYEzNDek/4KPMNj4Z0it/aBUEliLvwd4I
eD9zuJQXu6pJF2aSaVwJtkxpmEEF7EoOSbyfSjWlcUsjnpQFvMh+WG2NBym2WwZJ2Vx0p6uR7/ae
m4sIMaKcEtchai1Fo2V5rwGswusgR2QdfZpXa6+Jg01I5iRyS8+w4CyiZh1Zo7/NbMkrZ5i9OctA
Ceoc06j7kXoOKoWkVb0Nm3CGlqF2xtm1jGN2YbWdszXVyrunczf4SAmx3jT0JK48L1OuA8gISEFI
9VYouz26ip5UxFA7Ay1OPJUMnUnkwIY7gfLmUGyw4ss1mB3s7IqCdK5ulQXCutHjDSAzbdH1DZgZ
TE6wNtuWK22S3XokNum107XwgQJR/amMcPISJqcGy7wrOZqGPrqf6sZ36TURB8kptTQsq1nlcA1E
m5DGawVa9JipNekuKD6IcCArzdiHQjUSlhjTO5L3o25oJlV5r51IHIs0vzlOT1ZzAkBhft9EOBWN
e1Op/FM/wV8D76itt4hE1tiXLJ6L3YqZRNK++SStGdpp6X3zTOpMOVWgunMr5sxEeXUCK+WEI3IX
M9M/tG/WyoG/0r+ZrFpIscZNYT0l30xXpiuKXGBRZ/skONPPXE634pVe2yTcCsPU/DMpe5q6mu+x
H0bbDxXbt26XDAKwbdHszlgUFXrQBZuBME9UMFS7KqHGoe+ltiv1smGuLg2W69aZgJoIWo+jbWSb
EMgjAIZ0K2riD6IVzBPlN6Y7zPBuLLWX0i7wqTf+A6n3L2E1vyB6BDNkhfvSm2YBhmOtCy1v55+a
zGKI1sMQQBHVSi63iJnq939/UEGQ/pm7tDQGCw4pQzUFLsyZ2/yDb4h+8TYGErV2jk8SqnNXxtWx
6O6/v8l/RYT/SzfGn1juhzzlf78Wdf3faNhgU7MERoh/w3G77z+q998ruN7xbPxl+979TMI/OTf+
91f5neim21IXGNSYrCxjDsfk1vhr66X+m6MZeLuExSTIdQLJ/DfjhvqbEHg6CBKSs6ODP/HfiG71
N1XomLINFVWUjrnqvyG6fzG1waajwbeIalP5SeC7fhn8IsRdg/ASb9WDJ0fRsDGNYK3VOv0kxuYP
n9M/YS1+rfridydObTaozdZgh3/882Ppp0pBZmDtUZ2So7XsrmNabuvYWmeY6tAXv6aqpP/52RGU
uU53fjqpy0C8MJQtdBRFQ1KsOSy2/+Gn+uVl+f2nEvr8wvDjfSsc/viyeEWYO8RLeKsiGFdNXO4S
s0fgo1trjVFyAi20lHRpUulnz0Jcn1XRmyWkfrGRzdLQi9/fq39ZQwo88ufXd/6JbB2NreRupoz0
VydNGliFQm2Ct6qnNtgwAOzw3xlXmEXvbghAgwupYAdJOgLeB3Mih4p4v2aSNH/FdI0jOXhTqkze
e42WcGLZ3sEwwh2747oYWmbgrH+zhs9kzNyO8cHMs5PZUS7ZA/Z2yMIl0W7gE6SHilpFlU7CLFJ7
FPtuCaZPvsdJLRUXnGFdGJkbJYzfgJ/oUfemcu31/Dp5KaJIRv6SaCJ7xPfXkvhEuYSq732TS7bM
j7Wpb9m+F2X1Ai25UwJEPN2Hkh0gIbmhe7EvxkWiG6j4nrq2e+7amC6YkYisYrB2RvNEDxF58gDv
He4BWlbSOmH09e8nrjUrOie2XGLRX9pyJJjY28uAIhYaFB0vOY6yv6VdthfCWg+12JrIKfALNusy
osJbAZJBC+XqJv01ASytUZ26wFxjaRxAZ22D75n0qyKnvLTM4UKeTdvZs8MsrQzcMJForMF7w27N
1oktNd9Wdb/0k5qPh2/jIJAs+2teSUQY3J6K2LaNmS6mvnMt9Nh6VLlaSXz/nZ6VxwzQNaTguodt
VFVnXxi8mR2aYGTASniLkf8q1RmSY81a/N4RMmsYH+WQv9X1J5wfChMU7NwAiHLxQ13CKtva1Hek
NoXPKTYIr27PqiOLW9h4b76VKicUD4ZrEfOiFFF/1SdYraXPo6U3nnOBWMk/fVF64aIo+NAYVqMA
TDz5WQOw3OuTn787IrSAV/F9EEJgLkDRg53VGzdLa/VHM9a7HZKV9pWyXdTowvE3kHxAs4hc/Ke0
iDNkbsJboG6AOddjWNiFB+l4QyHWrjWzttymAnlaZD3aGX4Kc3iX1Zhs8R60hMSXnX8KuiI8clPf
yao276ups66Nnpbr//7+++c3258uv/+zK/L/LSEYj/+MIPxrIdiZq3HupfzlWvzrf/dX/Zf8TQcQ
IBREpYLL5I7727XoCO4+srIIr+LZY6H/w7Vo/gamS1kXTkDuP2FAfP/tXpS/YT8ipITsBVPyJa3/
5l6kGPnPp7DNISwEezmdyWSfWL+GvFJYggARbGI3hjiWMusdz5DDy1il58AYvWOYtJI42vQxL2LT
lbQnbEp1SN4HQ1qnyK61xVDbm0iSuwdIdWHuDOg8sB99op3oAnSIn2rniLIRV0KPWvq+Y0IGIRMI
nIo2udUBCv7IqaqtHRivYDL4A8zTWHMi2JItl3h3AlS9+1ahyAbSf6XSeAuk7z0OgWevwcGThZXK
Y4qN6d0KtWTTYZKsc6RSse1MpySduDX6Jl0k+MyhpustnHS/7uuu4BSy15Nho/JA+yPcMmU6GDCF
EISvgIb192VgbPkL/uCeXPRFekQ0tRpr/Yrc9JBXhb9EM7AkPf5LauGwVwIvIj4htqeNHlS3kM/2
Lg9TpoBJKTYMyo+DGixMpT+2kg/TaQqBx4RfORTx2cjIdlbgDbOiPAnZ1kuMLOkmHJrPQh+ns/dU
c+Ys6pKOIeov94YWJCALDSzl6MLLrlC0kqZjlEvNzr4agwgWxyRrQWguynHy/qOH0vF3QZHqbmXB
zhJdv8BpC0AyRVtlbO8VXXa47OvhsQ0nuRNWuipafXDDOAffhtcfrNLfprkf3MgIuAaio3x3tCAY
jWQ9DKNNJlNq3EmgyUXC8roYPWRTmAcoTWwwcePSljsdKcKDSPOriEsjWDDWt26UBuNNTbwJHrNu
ig3xC/7dYJ5QEDxScUEadWRml75SlCVZuidfNe6CaHCRIzz7ycjqie6/aZnkor46+lW9UyieUdHH
9j7FDXDQoxxD/lT1uaqarzi7gUgVbofgZCutIlmO1I+hhFkZWAtUHOIYGISC95XiskIvz2OnHmPJ
mk9N38K2bUIixt1Qq49e+qTDTNLRRbrJYM7fO9qV2DmqpFAf6TcJl9zdEu0VGoZ1FmQ1V1KvbUpE
KJnU3g0IrsOEXYTl+STiaWGo6d7yyotobAQjkQsPeq2mQHvtYMhw8uThymgd++aYxIR5NAIt9NGS
WAUr5Q5+T17g1lC7OSifMhJBwPDK9kApT9gs61HiUyxFsRdePR4io7K5UUr8w23mH+jIsHeZVrU7
qiiT50hQkoB4ow6PgR6ouyDyq+1oVf5DbYHj8ajWO2DD8RXcgzTjss8vgSm6nWVlyVuMawpqi8CO
RI2xPhQZFjszdw64603utr5fN5oGy6hMwyntjPRhasLhgZKSdh/BFz+mDEDrsgNgXVSFU72j0rbc
Ugs6CjoceXKkURyZDvp71F3iLLWp3Te0drxqUdKiVUAIQi2LeUCVFu+qwJF3U5UHP4UxcHPWdHP+
IEMh7dHM8KmD/oSnqHD6o/SS5pB4+EyBGzr1YuOduvaiK890u2jHNM6DR0rBnFPpgNvzqFhHofTq
kVmhwdjL3sxwVVgbLcEHwX7gz/ry8T7Cd5v9h2FeqFwNf1h97dnQrht4Kzm4TTrIfg3fiWN6rkU9
wRn5fnIujCrvdlHd1edyplNbj1ztQuv7xagjGdH6eHJ7uH9gKHgHo2kfza5W1jgIQAOsaFZz1VpO
bUKormlNq5ewyj76kpYYWdJf5cXM1OjQqOmZrns81KUzXQpTyxZ0GCan0QeU5kl6lPBskH+O3BJ9
my4JapCLYJQPVRUEWDL79M5sfcLd+rH1Hoq+1xW6akfERbU1lZkbZHzhhd7T57g0IeeJ/iAhaFmH
Xjds1JSKK9rdjfwVpUgZukxA+QqjRPZIh4j9ShTwHmsMLV66fW0tPDlhky1HYbpFhsO5bKzMDdWE
1IiUIl3hG9sxRVzYtuJaDM0xKKqbV1k24TV4JbpBogYNB8SvXkg1H4ZmzE0TSSPRuNSC9FBPRnfw
qvxohbz+YTjCCKHt6bMQJ3tbMYvLNF+Uvel/Bp3s0aT0xlqBvCVb25TnHECIMwa7mxXE0bWYTN8t
Wj8941CyZh0xj9Jk8VRNqqkeUR9bx7GN6iPBus6plWrwGKi+fvRDszzHrL7XXDPVSxALfIGEMDYH
/tbDETY3PPUq9BGUDM+7TZTeD8vPOmMBOBD8JHoJs3/lDetqflNw85gHe3579Pk9auc3KqltJA7e
IM4xPP99UYbl0VAz7ueg7qBvuCqJt62JrUrhehn60RbMb7Azv8vq/FZ72DofCO4YTojj/V3RiX5d
zucAaSzOYZx681AYebzsymx+Dkr7BomXvIXzaTLN58o0nzDGfNbI+dRp5vNnmk+icD6THKVQd7Gt
kQrpmxxZA8k+z5U9tbsoTuestd4/JE0bLLvGtN+jRB8PhacUexXW4BKklLrOmbftgQHE/KT8N9gM
kdmsmazNC/+2cteWvom1kyTDMCSYYjm2I7ZHiiAwm9eTw4SC/4pf23ZiyGldWlEPskzkrEvXoZku
NV9UI2lyGJzOmRXZS1WWkmAWy6knV3cGPEfIMFGDZlPtF89YYSv2MhkXDalgIm62uV91/lFnbaBg
r4Z2XLSN3bUofTOK0KoyJLNU9RWCxuwgGH3XGYfSpxhO4uZCNga2UBlUk/AaRLjm8VnfCaXTT7Y/
yPtBsbR1gkNuVUWGdq2nCp+yYK9VN7QnJslKqTSQXi/KHVSQhfcxJ2KxGzpwFIvKmgJl1aYJE1AH
254sLY7NlymheWTJcq5xtoxR5PCIaaVGKnqjX2Pgx5JquHvLw2E1RVG/UuuxQDCZbWuy6oGvm8em
O5oTYYe+p57wLhUngwouFjPFg+YVSCWq0MMehalG8+BnaLgc3DQv+oUw8FZTjPlGtE6/HqP+E3t/
ubQrgXZ71C8ewoUzdZX6EvnJR2h9oJt19qNOn6CJew2YgGtA5KWxiCx1YwX5PVjENcqxuA+JfdE8
PJpBaplLP4WUavEPHhqcRVvID1KLQ7HHC35FIcWdF+LuUbj/V+pUfCZ1rsx/I/QqY0EZYNBfuM4f
J60IvyT6o13dTt2iT/LpAFUKPoGu9Umz1dGNtHL8cnK8EEtqegqxrKtGjQiNCy3/d7Htf4Vz/v+4
580xbHQjabo+23RAIecN6F+vfP8cF/3L/8x+/MV9T9+zb8gU1cofV8J/+i3+DprSbs1zBCtNsv3s
z/kraKr+ZpOxD2PNYQx3Pset/h00/e4KAVBV+bHBWv++HYKa4gXh6/HrzF/S/m+2w3+I5jLmFB5D
J8qUunUOL4cf4o+oYenhwfBx3q28/pHQpZPzoK1JaCNaGkWhh6VlGcq1Wl/FY4a4BbdI9FiXIaDL
szc0buihhSSdVY3TN8cjnyTg/aFkVVlbNu6AwqYULd0F9sc44MYrfPyn4XPbv+khZXZQ9MzwN1wU
bIvjHekTa6HsC/urIoJl65kPnX72fwTZnMdwxM8AVHLKq3bpmV9pRkMXpRmEgISaSdgM25+jaucu
zdyRgJckGDepGRNkMrTLgXg45DCqGVXrSGv8Zd4m5yF4yxDxmFn/QU/0Y92o92k5BYRa0j8lxVis
agtFavbZJHcmZN+ixVgMa0hank9aANxWNS56S78Q6XDzE5JGRLWe/UeKke5jXLlYfI+0IpEjVxR3
dUtvZulXLrnQq5lwTDSMpEUULciF+SlR9i2z0nhVIwXcmpKQ3F/hx1xEpBcbdbwejXFZNdRKYhqi
J/WEReECa8/cKj5jy7wQl0Cy4AgBXmj60xCOj7lCfH0Kh2kQ0RHZUF+BaaXwX3xVMoUvuMJaBpSa
emA7PJcAe9HwH2IJaRX+0wz7+0sB06xa2N8M6x8Q6bhTa1JtFGc1TOlj1dCQaBj1ZeiwOfTmCmlB
6SaWuW/ibJMUdzIdNlIzDsS8tO6oim6R1h32ajLAzDDZxoq6Dtt+jTIRE7snLqLL2UnlTRiSmsmo
dksRHsrsoLbGpiqygzauoSdX5J4g9JruZRJsbSorK805N/wJccV9GcgdZPyq8DF7FNMBiaz9CD+M
FsAJNm7Zo5hhKqNwxNWH3AUz2BaTeqlkte6EcRnJkTcN/zTgYXaGdJMGzUNUEEGimZvJYX9/M+Gb
uTn3pTmd1ZzQFiX3SzwC7IsOTyVm0XXRhUc7O1llsqHtDF+L/ZE24zZJ6CTt55lLAbyO2+k4UXwF
Qfw+FnKdU9KZ8gUXLUE19B+Oe46LZ133z1H2oFfVCavZttb6h2x4myI5HAAYcuYNzXotPdFS4oMR
nWS3oNA2ZsQj0puY70xnW4rqh0rv0qLDteUzxi9sL5cAGaI9lBj/C3N6+8Pp+k/YFP0XfOr7dGbR
ESrEkTqbIf98Ak25ahNrlHkrM49/+kr7TPPkxqu0t7IKwNKrvWZV19KLz1Pb3fl1tYv64RySo6DF
dYmW0WJ1J1k7qosd2QF3lNxxdjXXmqQrFrT4EgUdybXZf3i6je8quD8YK2d2w2I65wDnV5gDFf/8
c9cFEEOngVSXVoUgRGc6AAGb0IFDGCcgBJJ4jsDesNy6hW9ulZRDqtRaBPLrgbzzMkgoTFImyYzX
Y8pmtT5ovr7K9XCLzQ+uyAT+CbsbB+tGJMMljNobZrbHScwCQ/2HL4dbapC7L+zGzQO01V4Y843N
Jl8Nts3R2Olfaot9jIgv5ciGgPp6KppFUvTXoOsuvd0eCtPzSbDNAJtJ0DNN561EPrcQcfdgaskd
rPmEv6ugmDIKVlIUDwQzfCHrSZZ2aH6ZCvieGb3QH0geVp3ACX8VSbgJBnpbMn4Cv9xVtbGYSK0i
q+WpT7WNIP9qYVUffaAASWJgSfsVIKOv9kAzNIfEWEmQFPaYNtB1smg1J1VBgddwexSqjsfa2Spo
ZzG8t89R1TyWKj3ymfGC7P3RD4c79DeT27UNMslmK6JyWfrqlj7Imwz6repPpA5Gn55a3JKg2bc6
4TI673skcVzZFyqnd4yaF0IK6N6xb6mmo1nFlNSqzsrR8MORr+IH6po//RE726rHu0N41zOtYdvO
aleozpdyPKn5scEfBiizJlMHnTI5PJR4TzfPFMs4pGG8PThFvIsy7xl0H5odLQbJAAQjZenGjrGW
9XRUMlR/xUHA2mNeWtVwSdB4LVOgUxI2SEFna1hOwigXkWk1z1Fq3eesI9TvluigQQdQIlxCGX2W
iYHlUv8K7XTnKc6zUScLT8l/2ESckl2XLXLkPbQh8V90+aUp4y35JOsoL25pb15jPzoY+ti7EzxI
OclxqbAKeUrjOnlL6Grven6dcTO9RHq/JTBum7awbTT/Qi826aMIshe/lsehEk8JpiV6N17kVD4M
aUuLc9TuSs/6mnRx8NrAXPV1ay4SzUeOb1rsQuPoVr6d0IQ8HWMkP0Tx3NFEXG2sSn036ilZ4a67
5mJ8p3sVi3/bvKAEBngkW4HOlvFSGc1jN9n7zioCjBzhSol3sS6f0CNiY6FDUg+iB3IyqMRqD+ow
0EA3OVTjJi51oFulH9xBVS8pK3wsvaeU+d2u8DsaztVsEW/HrxPN47ndLh2yZuouvBekR4087UZU
fE0hXhQ+sWFwbsMonvWStqBm2rEyXT3MOrH95Uzq28Dyh558rbXOZwQ3FqYo0Xwpr57zkwqXheWs
DOVc2edCO0txl7XXqAsvlZK6rSCKSaBkJCAvsh+pol8S37/MJ+yUJjUY5Gbp0c84BG2hZzuuXyzn
oZckPQygBMmXEwaupr+2/s3y041pV/gQ7udkNr+G3Gt1HhflFKnEN4TElk9H1QONH/GecUeFprEj
V14a6Sr+joRDxGbeaf0nRBxmX/HStPbCHHmvY/3Fdi7p0BPncK/O2SOclc8llcrLNpSuH370lGCn
7Rey4mVaOB+DEMkatdSHUpjbsPK3caj96NA/QTwGKalADlB47C+k07v6iDzGye1dFBBRquAIcW0/
faJJxV8N+mj8UCpdW9gKjTQEUq57tjCi8x4Cv7TcKdIenFh5zcfxGRvgA9XGl8lDoN6B9y1FJuCs
mxhxdGJnK5Rhrdv12Sdl8ht7sraYIBbkI1VL1Wac8oPhphglUJmKWonErDTq3xv0QQjCdmbvgflg
9Z5M6yPtur3TBz/tsX1A9lwsy0jfRhHLfV4zmoAPYXifPb1zUm3UNQ+JQG+upSsG9SNb4heWpGWk
bfzG3BuEBGt5dYrRODE+nYJSnsex2RBCpyOMJ24Z9zeMTS8VtweYIRWxov/CcJpVEqPS/x/B5OmJ
1TKmFdK5xHqkYs5oH0I1fSGBAvl0HsQ8Dd5VBNqezwbFGIbFhf6/2Duz3bqRdEu/S9/TIIMz0H0u
9jxplmVZN4Rs2Zyn4BAMPn1/VDpP2VmV2SeBg0YB3ZdOpyxpb+6If1jrW02kVzXqLNbF+IJMbG8r
p/Qe/ruWk/+esptlM0gB8+ft5dVrlTaD/Ll7RCb148t+LBQdgKbIqaFfuQIB1LIb/K1lDNHZsGgM
Se98Z0X7aEB+bxndD0T8Ed5hORZNLqKpf7SM9ofAXgoVEyXOksHg/Z2WkcDKX8t6CNUu34ZkmJD2
04IN/2vh47YdphUcmYdMpuVBY85cxynlbj8jnOtjIttwRz3muF33DgD0dZzM08ey67F9W+knGYft
ldEG830cldPZF2q870aH5PGSFf9scXArB9TBVJs78AmUoomMwKUE5RXBLcdOou90MHScaYTuDWg+
aA+m5ItrsF1xwSauxVjcZkEWBKsiA6W86jwNXqsdmM+y+IQv7HrjY6hZZk0RPKxZ6eaK6diUwKfS
5ppAuZqxbJTt0yb3DwY0FvcQduH0wAYxeU6b5hvG8crfxL2NrX1Ks5cULioeafOAv4gC3MNymBT5
WaFq3XQ2vL3K0d9NoyJDd6haQF7INjtEy/cZ3itEJ+5BQwBcURxxraQuU2mpAHO3qck/lD6PTCxX
GaZ++ImULmzQKMSVax9NS2ZPGYRbiJYDn3PBWLnjEclXbEObe1Nlb8rtHPTREXkFicabb5mKtWNn
vpTWhDmf8OxxrwWmY2JL44dRTeveVsbDOHBOj4Vn7AvlRtWmcSLzDp9O0KycWCUFc3OLDGILwQLr
XMW0lKFdjnP9fReSLmuRCBou1blTYvBHwUHnWyCVKZokNqjTi+LcTEWf7aJZ5OnaIbw7Os9Z1I+7
JDDC81h3w6deyEgeu9brkn1IJXxqe7el6Q/n1tuMrmZGSYk+Rmtq/8Lh9HHMr15rT08V+vsRaWjn
2yvHb1Flj2XZo583dHhLcg74jBKNJBHyoU+HphRYRCB1GVL8zpNXM9YTfH51RkUWWxG7SJA91qaH
vbSSfbEA9yi2fUw6N64Dsu1O51Q16zDrCKM3Hb/wt8qxWK2EkhXNfSb9CAOyxsZ54gmDWkeIeAzG
zW8FUfEKX0uTlmdfDnG87XUjmz1T2I73HDvoqe9ylibKkq5aY/O+A0t/xG7kMUNWEcSLfNubfbkZ
MWgw9ffZ/tjXgek8F51/O2VLeHxqCnYs8pD0rGNdaV4VDdtTdM3347LgbZwH9OBbbTn6Ol0WpmV+
VaqhvWRxtLHzGiE2MYvs0qsliQ064LqXwLIcoUg/KXV5hIho36baNr7xOIMJRFzGdg1wFODvKbgz
TdzgtZpoWF1zF5ai2fCrfrfnu7IfN13A1xA0+VwaIrvrTPMIqiLdKClpZRLfQSyQeaxJjTcnLXLC
po2I/Xp3G3h602ndsYPBATC6UFbfN9KDnTyW9phgoPVpa2EEHlrczSvPK/Uq1PjprbLu1hpiBMSA
2nh1HMzkrb/H7Zfgc6enRha+KKxNRF21vfHxs4LsCu0aOkFVX5lp5r2EOn4QBbS4FNv+XkVFw0eG
ft4pgo1lcyciefa/zs7M4N3SWyuYuosQGU7FKDgy0YqgyvoPHH1XceaC+W21wOVH3iFGBp0Vxc7B
AL5vQ7kvm2DY04u+Fdi1UMnpb3EeMStTAAdmwl6cLng05tH6pvog/zLM8fefbqd/1Z6/p8j/o89d
NpGo98i/RaFJcpHv/2FCWDUTOIrUoumKiTRMSjrTcC6wi8ZT494ktcenxJjpEbcuFicanyl9JjOC
bfY0jgjy8NslnJNkQ3lo9BBfZYCIF3V9LoG8IQpjYG7lNcq9MddPtaysrxBe+DxbdDAIx5uC+heR
h/Q2GqKbYG4mx1NuJWgKkxgZN7W0y2GBfezMPmIkdub9NDHeT5b2/ZShSyjOeEpoOWkofMFKBpla
ImXFYM/E6g29I7vvMwOxA6Y9/yjblmNqWe+JaKHq9fGuwZRxKTDXKaACuyGFKI2I/wLBRZ1dszqL
LE/OgCezLX7zaY27PtngFYNxV+H0xZ5/Py8LyYzj7OJVkbtvW1FtYES7rJ9SXI4TTMeqEid8Qf03
K6grPKCsQFubfAAK95Y8tC63hglfU80k1pup6TskFenGMzOmkSHSXEZsjZXlD6lm+nPWKOyhWSu2
tC7Zw1MI9x7NY7nBJ1A9JcuWF2kbO3MWv2kts7OOLeeWaSRGxiCKq88cCnhsmQjs3FoRRlGTBccb
2mY3ONeDtxi7D9lv2Z0sanHyzBS6E9BI6wrVSX7N8o0lRv/bQqNnRHApA4FSgKXUDWZ2Y++PifM1
iOArEprQ38I5iKgo4/hr1KZ8WnELDy/a5fQag1HcoJ4z71LUQBCkrC9OEVkHc+pKlEAuNbco5W3B
VhsrotgXZa337KRO3HYS54MxsvcET+pNktg5fKtrhMEpq69V2+tL07vPSTxPW165T8AwCJTNUywa
0Ae2VLVLqWs9lmFfM4abDqB3SKguiKqd7LfYtNTOa42vrZ1VyapyrH3DUMEm/QyjwqUQ1rkro09R
bG8wgB+R739hOLiK6/DaHEf0M8Pg7qZ5eCuTybrOW/tb7cThVT40zga0nNwFkxEcaqt/hS3QnZJF
89h5efKm8TScRi/o7spa6GPXuTNeaaYpZZmTgTB2XykWEbm69tvooCeio/PWNEzBprTS9OzABpix
fu8hV1vgIsOrTM56beeD2FaVoTe2b9U7Qr+jdTuAgx9dOaPzGLAwjQVZF5xW8Iu3fYDIhuCSuun6
q7mx5EbPWu99p0EHM4kHGUfTVWFZ6VGUgq28pYHFdpZ3HU++dZe7VXfrVvEW/0x6xKlYrGO22Uwm
KhwHXugKRQNUON86fPtbMVjN93yM4S3mXr1zQE6ilcUib5eCv03deJPZebZv1bR4OAehsdL4Iw3a
pMUnXw8LR0+W5nPqpv1T2ztAhKs0y75jrMRoXkYkkGegmpfciKlr9iCcE6bwrSzP0XJHy+W2zt8v
7ub9EvfeL3TbL+L0ELxf9OP7pT+/FwALSoTUr/fCwHkvErylXkCG0P//vd63qidc6lE33/7X/3h9
Kzk20g6X3df+n9sm5/+wzPuTjd1vPdfyxT/WdIuDQfBf2VrQKjlLCM9Pa7qfbQ+0O7/3XOYH9KMw
XVltkB0YLFESv4s4sT14Nug9F6/AsnZ0/k7PFdK8/aQG4md639JxB3MVWwFd168tVyONVjmV5ZDT
nn4ffO/al+6+8cLHLCIrwsxguWl/AogfPYIluENv8hkFxX4IXxKFDN0y4nOUzE/54O0Jb2YvYmyz
C2nFp16BxvYLVvHjVaLMp1ZgYF4uu9ndZ7M8mA10Y8TYRXO25Nobgh1Mom3WVpcikwenLY65Z995
0r12PXuvWufOiSyiPxlex1+mOAHyHRL/2z4ERvMwT9F2GX86CUcpIKai/zIXDzoGKlaCn5k8IjfU
ld8E+LbLi9U415UzPTU28ZB9deu55rbhdClKKmO2M6z1H2eiMTZB5Dx2XnyQKrspIwerWxLCL3fl
YY7Q9NFk3ZFkcLCbbllmjqA2w0fYJc+Zw0uG1HBvR94Rk92Wfu0r9kMEDOXFyYrtX1dSfzRd/vYm
LsZLbMm0z3/sm4kzEF1iGs4WUtwmruhBiG+NVXvjan3jS2ZJSZKv89nfGiyjRt6Zv/4B3jcp/6jk
ft/HefTvi1iZWcCvTxHiqwDSRBptOZmwmbF3GuRuMpnljtrFQZuIGyfKvf0QzRDP56exSu0Lrh7j
WHoIU/3VNw2OYjfjIVmPuZ3ufCsqt1E9X6ZCHoDjoItgonw02dWWM2sr6AzlhrkjIo5cEo4RKObl
dsjVXnjLyNk9RKF9bifkpAC6UFx04quGl7ACZnjHams/d4ju+Ox9Yph1jvzpKsiGcwVK5VS3TXx+
f33+lkDiv6Zy/9P/6992KOX8pRdsnaBxT3GBJf/igOUrf5yR3ocgMBGY+9i5fggWfpyR3gf4pmzv
PMxHISaw/zwibY5IlmOcg/iSbIJVOT1/HJH8lYcAAoWjzcnpmdbfGktZSxvy88ONtgLzl4/Wg6Wc
Q4DPrw83mwMyGspM7z0l248lYafPrQ/tMxARTFPkX9NniHZfotyS3wJpVy9qYUl6Y5IMW6dT9dYf
a7n1EeA9S4tMhxEQ/sYK0uLNLeLh099/1P5f1OJY3F9LkhRv3p+PSD/2/at8zZdn8pfH8R9f+9vz
GFhIYURAh0ryHs/Pcp79eB79D6hq6Fj/yN21rQ8OFzZOCAc/aUiM+X8+jiL4wF8s4bC/qXF4iP/j
f/5idiOM65c//0I29Jfn7efn0SKG1bKYP3HWMjwz+Uz8LKxJIgY5GOPEng6/BMeHG29GG1gjiY18
97XTkbizNEVo2+TmGi4BwUNmrj1SKxyI5Mr11SXs7HSNjAKUYAYCLWk+squjBAd265P/vEk8LmCf
/IkvSTr0RzODksCkMDZScl1J0V6NgTsfDV0G+TrADn9PwI29q/p2vhFch7S6cEIyeHr1iqs9YYs4
TNgvFFPPRn5Dl4jqnigJ3GZlitcjtIJrsx/SS8yRvNUiI0vCH9pdKewE0XGZbjtWUOcMtNU6TGa5
bi0ELQlosLcMMAtAJsZfO+LcnX2tB/PBJ2LkJm+8ds87429Ke2J/4/RqPhkWsdcEoXQ7MfuVWNu0
ZekKI/trQW40oeNxke3LgOniKh51rtAzj/Bg3CG4U0UGl65toDYFTvPFJH7z2snNizN7L31oXs11
Sv/mFAdqB+JXQQ+5+i4x4Oq6znCL9e0KloPcTI4PtFByBXkxNNiAOJ1dbXgFPYpRNldNMKl+k+So
lHriylBuFmNkbnB5EYCZnWGOBqsmKJ1NRHwHPnjWg7uk1NQlfSjNcVUNon4lUEFfaSmjlxDYF0Cj
oLmdOwuC+gxZ8rFg8nSSme4Ok2eYVzgmixaSGtt/HfQ5gsklZ8srJ/8wdq1/4JQaP47c+lBWGAuC
vJvpfmzDunB0Gsda0KZ2dk+iYO6KYMWTxmaqUv4nxWD2XIFhgwuE8AsGOV5DrKHpW8pZujV5Kg8k
P2GNqN2k2pu1W72MrvBufMIS2dSa2RfZ1J/7QPufw3D29+RS5PclVqBbcjy8J+zuBRKcxLyg//Yv
aI9jxP5esoGkcIlq2BOjOVU72drGITRVvo9iR9z5wHchn2GuYeac80S7ebcIQodrkqTyq2Jy6EuL
XExryy+ti8YCAPfNyvyn3hekiXUs2I51m+oHsGfTsVSddSusYnCgJDbjq+0GCsGG5yCH7TIsRXP/
ospIXSKCcw4YjO3HzgyMhJqlVihqM/lSkOsg13k2d+2a4F23vQ7NHLNmpEpDbhwL7DyjZQPEq4I1
GqmgOZA1P6FyN/g24LPV7cgY8smpwWWxAOCtaPPJT7ZdLKB5VqNdw8ECIGF3Iy6RTFCopWZww3GB
+DdPRXqdJaSGBHAHb1U/95eRldDtZI1IlYXv6gcc/9bJyftuWXhY9VcTZ/+N2euE6DErE7tRtt02
nRgsQJn2jXMZ5QCglaVqi29aZTditquraJzz204qtAzRVG17tGpchM508H0FQqo3VHMXNCq6CWj0
L0lJmNHY9CTddH5A2LurmbmEXpFeRBaJnV9r72Il3XQ2ZZ/ssYT3l8ps1FVCxNmL2xBLQ1gCMQBr
oT82yP9B+5G88WjJEp6CmOt9xNpynetWPrgMIzepQ7RbSmT1HjMYny2tyvw6igt1B21zuqOSRecS
1LJfN5DPiNXxQO32B6M15cGvxwS5UGQSJAvmoveN9hbZU4lIwnefWsNTTwh96m/KZs69wjMqDtEc
GA+MD8TN2CEasKLWYGBH2uYZHAdhmL2fMf4LeaQr2/4OPoI1s6WaJ7c2rY0Bn+YpTYC55MxWUN6Q
M7u1GYPsMhSeWKLzBHFlopjlxt26dSTpNAZOhwfHL6NdkgQ9POJA6WOdV/YlLtN5r0vP3QMmD+gF
5byJrcw6ZjBin4nPIeO9E8M9c+Polj9Gizzef06VhTYtlskOFXZ7LTy8sozRqi/aZ93COrF8weQW
voRBWd4O3pjuWd0AD5mBcOeI5bflKG0GN4YvjjJfkoNbsqvXbpEnp5zAhxNwpRZjdCCPzmxBUcO3
u87y9KuQU0D8XXdqEskZz61WRvVLY8/thMzev49b9ivlpI9wd+LHNivGb1Vnqo0n7WnfowlDajCI
1tp6eiamxYQ6nWA/wV5k4PuI2UPYzaXxDZQ+DstyObDHKgLJJ9JEbu4SZ7sqAYQ79rPU8uSSh3dl
1eOhjFlR+Cm6PWiTB47qrbUgV8oMFz++BuKHJL0ubK2q2SIDTMHJma5dnHK77xiAB8i4kmyo4JUk
A8HlfVYckyFbfhcrrrZywonBZPmFopiTeah9BOrKnsjJM/Fry27Wm8ER81a0yt1VIdhR28AxuUX/
HR4mq9HbEh8nURoTa5/s3kfFxPh76G7NjvusGeycrgkybRvo8jQ1vDz4X9xHil+bJ7ZBAdAB4tVE
dG2srtJnS4l9b8/zAfjJTDMmimeiYd5yLq2ijF6Tye8OqmQEEFTGoYej1zvxunVrwIGWg5jNMex7
MrvxI2a1+eDgZgxW0simm8SHZ7QidABgipsgTiLWz0LEQdoAYHPj+xRJD10iCYt8PtoLy8PhYMO6
5poZ6jfUcOMhEA0bLtHMtCbEghMPcLsU6IuTc97GYxk98AaUvKasf+FM4WgLBERhp2uTayvGg8H/
aIOcm5i7mnN9CwHQvLBTKJ/VaELyS1hZrE1jHJudEhhDhddPJoeTGX4vDduGP2mEZAflDnJeGzly
GgcqZV1Tec4egE5yrBzgOOyP4OQkkzMeKuISTBLcKg+5ZljV99QXaXVVxKTLboyySBgC8+8mR7Oz
ZhRkbZupm3Ca5EmFsoBkYKffSk4cvUqg96wRjZH7ZnvpR5sQmC3Kn2Ad5JaFC2/EcYmQrefPvn0o
yTvf2ZlA31KnJhPTJY4uQClolikx7L5q7julbhb8c4UDgW/YHWWNZnWAT78KzIlEGkoL0nPyeC07
Nb2pdJq+q0a8dcD7XvxifPWa0SSuyonrm9BAsDgAWDzMfpquq9pWF9+W+CYbczzPjpCAVsno8ruE
QIOC66kzB/tkt8GjmBX2KQEWUwxIbiJZdZukA/1WNF28cQu32iXdkJ6zqlI3vRUZ+whY3gM5Vf0e
hI3HYhH7kUcy2xsSFggakkFWlcw2b8NQPqZuDfXGDuJbk5n5vpvHfmdkLL6xs3gPsR8T5Fdxda4z
MWcb1+kLTMConk/a8Mdd55PwI3G5frGycdoylIpu0e8MW1PV/lpyRGHBydzrAeI4IrcIpHIL4ioq
bDwwKqhCsonSyd3OBfYVF057vRap8rdJZCa7rPejmOpKMS8Ja+eMBH7cWnJyDuXkWQ9RHyZb2Zju
1cCi4+BqJ9/nWllgZeMaG2pnAyIc1TEtovrWVwXcxsGbBUos5I/Pbir7Q6ty1voAyDfIseIbJ638
VeDPzhMXHeZgTwZ0B6kntg7c3FNqlcHBj3qsXtCKvgdVHlx5nVt8HEkA33t9ZW5ZdYnDnDvuMWy1
s/OzyDxWYwNRM49CrhpdMftfElCJnpsundnfuWa3o07FL+sDHQoK+ckgwpnpZHI9auMzPjg0dnGN
rbdixoOeDAJoTdMClL9bN8KcTg0Ii62MMBivJgce2LBEHXpDCaqfBwOzd9kX6t7MifMzndnd6LiP
+A0mfyXJ9zn91Fn+q/XmPw3F/tin/WEoZgTBnCkTsSlQJQQWtptvkJD5JLQG6U64GfnUlTI+gqLD
wWpZ4bMOxuZGJHN8DrRoP0cpixBnpMBfES8Z75NBN4+THc4704UEDJ+fkEYZGrekSqAzbYNU5BS0
QNbWoUMpAcoufWYebRgUNRXAbdFX+2b0lxyGHDhxanyNvTre2AYkXCOD7sgq52loO4uVSeMSjBJa
z2IYsCpZcFyylrRybB58aHPXvXaKPN8Vri3dDZpJZIeJ779Qqcd7V4zswlGo1aN7O/TDg0OFstJ5
lbMdFHrjzom+G4cKCnI+X9jNAuHLAyKiUJ1AGcsZnHi7AjY3x3Ys3TfRt+Q/GZCnuNxLisLtaFj1
p1mUhdiwmYK/KRNvvERw548Jsbk2lBPh3dV1N950EKwWTKIVYTzMBY4IM31rohnltGOgpiAj7r6e
c+aIAFZI0/Bsc1vr0Ts7/WAcXJETwZLNdQtzEWf7VgPf/TZ203OXzO2uGtx058gSdfLUFrsxpnfy
SOxb2aCpryLlQk1tS9kjNnXJiBzqsds61pzezHnFDU3w2imif71Ngaex853G9J4PenicwkkdRe3g
YyQlEFKK7r6z/aMULJWaHpMSyd16oF6Add5Wg78OgJ1exFJnj+8ld/FefoulEucWpignPwZgeN+K
nUkvT1SGSpIbe6nkMQpyNgVLfW+9V/omNDbOB+p/ZQT9JVx6gnzpDoqlTxiKUTgrGcPmR55r7Zo6
7MAa02DI917DozLjMFpaEPu9GxmWxqRcWpTyvVsBPTftlUT5x/perINEk3tvD62xjRMG1eF7yxO8
tz/I86vmgA5/wojnWadJuihtnCbjDc95cImpIMrEtfxX4v3QDqALgxQ+9rcOc9+9DiBBcIjRbyGj
fWik420Ko7k3RJoeGoMXzIa2dA+WwYFiTaVs6G4yEI2n88kHI3keE5o0R0Ys7oZsIOkhoAzDKtmT
GMB6FsGt664HhpO3YQCHreU90GSQ0DKSBsCa/r2PJH43v0rynkkBTSacbew0750nAvclBXJpSBvL
zvft0qQOS7s6WF58aelgm6WVBaLB2760t/yQS6NLyyuX5hfe7XjrLQ0xrAp/7xpx8Lly2s9Tl+Vf
vKWBHpZWel6a6mppr4P3ThvQpz4kS/sdLo24fu/Ji6U9L5dGnaWrOMNc9T9NSxvfv3f0aMUjsEa0
+fPS8Gcc0mWEx7gHeFCCqFkmAwiox4/DMi7AbuMfRD+Em78+Ud+hbL8MvrCThQ4RW4zf0I28ywd/
grZ1IYnbI/KJve4D51QRndaLKCBJBIWpWBjDxK67t6QJoKayQryabjq4+1H41ucOhyvsfDQAb3oc
1IlQB302Agu5D9O8ZwqD+skOmsuQVh3+ZRDKFE/qXoIvxw9jNDnvaYZxSPuA382ephP9eYaH2YsN
/9QFcVUjsOKnskMxUllFc/VKuEABjrz3EpJgloMsfz/TsvfzbX4/65z3cy9ZjsBwOQz/+gX7J5vU
bzcQxbRYxly+y4j850lhCEVbO8A19oRzP8zP9nP7ajy39+q6u4MGUt0YxfVff0fnDwpOh+9omVDS
FmYbR6X/h++oGLCQTJdG6MyC6EuB67hHz57p63xKZ7Gmkm7OUrc9xug4T75Y7kyKB6uh77PlTvZK
6zTaVZmCtkLYQz9t58jmDhdgnc09uRfGJxgf3iNCVq46ryKdZZ07foBSLdfyMLV1ixlF5icPncmR
SobziXHKyvMx9k8z8gXKT4YNZbaD2djuNHrHc1C784tH1sWxQ251HFs32Pe6MD6WKUgQhNX5HQ7s
+CyKAQL0SEH8kITe/OqoNMuJMZ7gyk+pfAIdv5xfpSj+L4/0/x1XRz8m7jw+fz6tPyWv8k9n9Xzl
j1m9/yFEKYye8o+7o2CBJLGwcRAn/7I6EnCVAhRnULVRQkNNoDL7fbtufQj5rLBV8vGMu573t7br
PpumX2f1iKIhELLc4p9j//9Olf7pyDJLE62joec9VFTG1hBU64qzyWKs3Q3uEDK3j7xPfEzNYtNJ
D/Nq0+XghGMtY2uzhOgsMbDt+KAghJIB5Pa4fgqjvAqmod9ZKunva4KcV5VVY7QkXBxTu4b4mQDD
P/MDlRsYI+qgwoHAIM1kcrp4tSnPTVxX6Y07DHFI0wpKmX4385Oz9P1ObLOkLu4htbh6NYPGJ9zT
n21UXq1ZhXvi+5BjEz2B6ZBIaBwXJOkEB7yu7njI8Xrdj4PbHlraopyYgOoZluEUrgdAp2/8cnxi
A2Q35M3aw6PfeYhP8SIU0SJSjvbKbTCcGsojZx6Xkr1DUDEiQLZbv96ls8KS0E1Rep326I3RMDOn
38Q+1skTlRrhI5GaGAMQlhn5hwz2iXlwZvrBbSSdlDPWU960JtvGeKkHkLbM1nV6qSMySVumCxd4
Vg4ZT3Xtp+dJEHG/CQoNC6S0fTSCuZQdseljFDzHqh4+FyJXDuuNvv4m4K19TxwfyhClc3OJUNBd
TQqwx6p3w65dDfByGSI3U36wDKHIFTPGu8yW5Ve7TAyS4rIkLrbQcIznrnW0sYkQ89V7B7HuLWwl
Ji7CiQuW6x3zvDVDzeKxtouRegONrlyzgmhqcm0D67vXmLjCoDoUn+GAADEeDKgzJEbN6M7BCjBC
aFgMwCnIIQcMeLbOFtLzndVU40bIrr1ttNHcJiMTLLuv2/skC8zrFnivgccvK9WmcF3sPm7ZvJpd
PyE3y+wBkI8Wa47p/GTIXmw9J29IuG9IhE/palazrvS+d9p6V7vYZ5M4n1BORbjZ4iqE35B3T1NT
p5D8M7ZH9gw6IjCD4JkyY36w6mm6BdKBpbgHs5RbobrJLE79IneRCzdtfjVYSNEG/i3WYeQrRRZh
4vCgAgZilckYhx9JzVKg007nK4OB2KqOZHSyYIIfRJkQLGkDZwaPUj5Jy0GaEtgfPZslkOkJaB1h
s2rHM5UETz4bK00mPJHl4YhUPk34TdVgBih20+7cRtLcYGVh4hxXwGiGYTrZfbVE18/jujUXWq6n
Zbi2SGAivlpE8a0Fh+jOFiMp5xXTL551ew8f1282CcXb90A5/d0QNRgUB9d6gPI8Py2qu0PhB5oh
U9b6I81DUz0VdBSfUBE2T3ndD9+JmM2efMvFIhQMByfn385Musp1l2P60wD/Prei7O6q0rFeIYlg
MG2FHz6IlElUlSDvXmclLQ5mP10Q7JPZwIBtzWiY7eOrmjNCPhujcz4K0TIzGIt8I9VYos7J/Bs2
4d5LRkm/TUo3QkjtdcwjAz866CYlpYYQ4De/w/CzqrFZkkdguPom8ysMrqGJvU2krfW0PAiP9uzP
3xNfqWYTKLP4CAvbv9PltKTck94xJX0p12wyFL8nibebAorsZxt4urEfiCXCY1wU0TUoy+GkOSPu
I9Y238okhzi0UJs/5VCnYYRzNB9s6IuY4+0II5SswaDATVsSknLhPQ5hZQnk18Cp5sKNqQ3j6tVD
tPlN0Mw2+PSa4tZMvVGwHiCHFBHodKFv7611PKczztw+3IAjpkcH8rIVAW0ZGzEScSiIdvQB0IOc
yJEnprlts5EFLc+msob5UOjAbZnFJsNSrRbgp3I+JI3nkr8X9KK7j0XR7tN6SurVmA7dQ8bMeOt5
RJDRzHln2yui+7hwnM/MzPJTZc7Ri6G6B7MB9ZPFg8JdY+rsDpBNXh5qlaersaO9xv8bD0eqVrJU
LEOLo2Vp++LlQX9VtPhHVowbk5vcncJrkIR0YNlsDLwQOHvvlIff7ACNoX8gv7p4TMbYfRGZobbj
GPtnVq3mHeM0dUopJJGzspdK86EkCp3ctm2eT+FNWWl9GGuASjRRhuRDNuJbLUyVGlt6Vg9tddqm
7lp5+H74KIiPXtLVd3GbUaz1o3fS2N1eJ1j/rwZjNkTvJj+zAqfwZvUkMcKcF4+jRXbd7FSEKLZJ
AIVNNl/jKFav0FsZQMS2C08tN9hmreZRyYOnU1BMab9Ix63qe9TVMmdS7QegAeHLj3RxeiPczj2y
4qovmcptmG/LK6rtNFn5yq13PVLWY0LVf2f4xLeupRmUzS6dcu7boAnZ/iUcL6vWcon8TLABs88t
GBAkpYjuk15jcRhhed5Y+UAbXQcOsUqkzbNfS7H+V0Oq7yRYOm522cm7qvbLcN3Rp2NQyPA95AxJ
L8TAtFxeo5dfd90UQ5Mq61PidgVoWabBb36pIvz/tITmOrLhH4DbUuFOiNH86PlF+sSdjb1Gpg2y
Wj+sR3pMwz0XRYB+2XNDAhrQctHBgzwK8LtUyNYH41yk0Wwe07GrHu2KXCNk0l12nlvDdM5JhYu1
bkwPW6wrj2nnec3K7SoUM0ud3te+uJ/MQJycMMl3UWeSZxTEAJHqWd3OVccLEnLoLgGw/SeXwIDv
STDOn0xFYEfRt9WxmwOCtGfA8mHUOhdf2nQR2uu8xQ+Emb1XsOtWbuy4EYuvhmlwkqTXRdTmn2p0
RuCzeM32ERMXoim6sLiEegg+hzN6/Sn1niHFN3vt5dhiF1RHGjtgFGXjPMJDyI+JV7LRDRFHsJD1
O/8j+6+h2jYAefZsKIrPVWyqJ8HR2WD5l805TKxwm/SziVeLlDR8a0Vy8tJ6OGoNfYJhDjCDyABd
YTO5MrIsZYyhxhctEOcDK3a8dWH7+edAL14E4miCg4zM4NrWQyJYk5vjt8jtwu0wZWtJYbQ1m9QG
qtgtPsPggHUpxyOdu2erDx7Becq9CscHyx+bT5Jwy/3oyD5e+WPAiZWNrrmfjA6PS13ExUPKY/Kp
nUwAZ+x8D6kyxnILKSYFlxuO02kwACus6//N3pksx211W/pVHHdQo4ID7QEQVfdGVPYNk0xSJEVq
gkg2QnfQ93j6+kCL/kVZ8m9fqiI8KA0cphpkJhLA2Wfvtb7VYOpbppCn79yqHh5ym7nDbOCpXuOv
cXmqRwn43c1Y5V6A2Y9CR/Ul3V6+5nHWA9aoeGzn8j4sRMdJdFs26DrL59qLwJmNAQGb0ZBypxJ3
i+x+UJSjyMJrgFj20Q9NJK1qZCtzDEvGtjE7cHdRxrQ5VzPlObcS9bpm07+JJICnCJjWyiczbS7B
6193JvblKFqNAJNzxOKHKlFpiqiduYTAz5jEVdlzp0GyTYjfm2PR8o+VU+cLRWjndkL8gaBUnhWl
2l16RRaexaPUVogRlADjOGvsrPN0WNJ20dmL1sv0VZO40Tlpx5Aii4QZiFIRHbNJYr8+lLjWKrzB
lri1WmsKAK2zwMC9nCqgDCkQb4GSCmdh9KZ/W/CsYwUbrKvcZnK1mDwhxkorUtlivHdcAnAhid0w
AXbPAb8ER9+upzBSfyCDtCXIbsfwobirhCZuHCmGM0HABEKKtBUknWbWJQ87pjYJmSX33MDqyhg6
ImsYiqGcdWWKNqf3D3lslTxR60xf0Gtxdjof/LMrWnyNQefbdLepN7dpl/gE444IJ+aoZip1kyc1
MqbKqAKCxXMj5ak5aMqiqZi8z3zJVGw+Mr4x57XvIwduKjtcoh2w9Hk5mspJUczqQ+p7ozGvqdkX
eZImF6Mtm/vMFkRMFUSTHRrHZmDukPNaRQolzmC2RFZXQt5XdDFqknyiKCFFNlDJ/yoKaS2swMSU
7eKGJBit7fEWqWnA1KXPmXNyR7jJxmt196MHudubtbaHWicGG0bPjXZ7BjDQVCbM2qDiuB+1j1VF
t3tdC9XZuwMdX0ZOfgh5x0kGXBklmGcmpubnqmSits7pMA8rTyVyg+6j49cLZoZVcFEbJlsOKTMg
LE6gjSx60sX34AxX3DPdzDKSClNmMFJr8PTf1wF5rk2S7nu4Th95LFlXImM5CCPP3aftUEMZiCt6
+HL82I2+TZ5pEPaABjO882WgStQW0GjE/zch/DUTgtDoHFgTHObHLZLrZxjS/ik9fSNnfP2Xv8sZ
DV0XU6AAx8Nth6Lwdzkjlm4bnSNSWg3A9L/0tZqLb4FGGvpaRFtstv7VJNEsbN8kL0y2L8yfdEn+
jqCRI37bJLEsIGEUSbD8J2bY1FT8qkkSxmycjKjzV4wBrwRGhE1S9+wmaS6sXCXpniOHFodCRMOm
yRLyvnpZrQDOGxsx0iJws4iBYysmpYbUOuuyEh29kdFLt/hJkVTIuIc+6osDw12bhCeXEszxrKdS
97LVKPuIcTPV+QO4ULUCSUGe+qycVnRhacFtnafVoSALC8YW1lMPNQj3pU07cRt2Xc3a71uuBLKg
TiD5rmSLYLItsdLu0QvHcjmkzt6Ju/ZOkKk6t7JcJ41ZE+HI09Q2NzyYwxUpX3k8T0oTQWCVkUOT
IIAC3IWyc6bL3gW8YjoKKC/XTy4YLKCegLqYgyFSXKa+nhOm654e1A2RV+29qzojSng7rLe5G3nX
E00TnRZE3QEAqyBUKi7pr4DFRgxSB0Z4UUvZ3papFcZLEInqngQ9xrPdcK4NWrsJtap7zNQk+UQd
SjOjklV1wRgHYQJKmnY+SM269dTOOKsNQ7kOYlu9U7I0hldt2O12KNrussX0tywN339yBjpNc1/0
0xuXxgqg/Zqk4JRQTafcAAbJzlQZggLna04fRJNbW8wNwCtb7Ma8SZhZM9UIsnWMO+UCFJlHbWnD
cqGNQzXoKKRo+5ZAayRwOs4GEBkmuO8FReQusysV9YCOWRezOT3hEEJc5LeQyAk6PUsIwAayBUr1
5AdFtOsGuztwQTUR1mAnB6EGc3hJCWLj8HQXbV9li1jVWtYwtuO2koS3OTPnxdgrxZ5xkLxSFJsM
AKcvLpic+usM+yAdos64CFyCHaUT+RsG1Oqeb9Tb6grYqWSM1U/FOI67wPS9Y8Ym6TBEXKhl1tkP
EM36lWr01TbOdNbAlHzkopsjAclgbTbBkZ0TDTXKzhuCSb2V3zjmKdSaYc+MkZgso8xWgkk4Da3q
o6rm90lAN0OzeyqnogUT3hJskdL0NpfAIsIPgFU2JeSSnHqqCaydyFe+PdJ5S1lBmn7SzjSIb+Cr
whqBOIjMFjFGeM19YB8qLRFXyOFEysikJ7U+ULy7ylYpJ+soixeZoRnOmr8UEpbQG6QfhqUcPuiF
WmxAolrnKqcPa3INTAGPVIj4wQDpl2TCvE1Bz52DNDM2WllIm5gqUrc9uws/Ezmcr8ouoegdeq96
UCUKNW5Kx722Uy2fRzVV38wnsKrD5C6GI97O4NIsoKpPKgVIrCMakBwUqr4g6Da8gngFZ7QbggR1
jGjv8zDKJ0xYtxvU1DqPfYMUdWjPI0fCck7oiHbl6gzCnLEgu9jLrfbacXv9pknsbiO6fnhwZZiQ
Q4mCCeFQZD5wfYefmWEbBuR6DeVOOujBScOrLOcFmSM0gRmvX0RmkS4HNdEtDMKJQZZ1FhXrzi+g
v9BkCdZ5E6cXGI6N6zaBauyVlv4hTirjDJsXeg9Oijgi6NZIHxHIu9BN+ua6AfFwMXaRdtmWPtmG
XVif1UGePEZcwnyrnqHfVllVn8HFMJaeNhYbB2HRHma2c56mCeh1WQ5szW3DU/fCy7WNWwDPtbQ2
IoAtjrHnEAZH00xBf6QwCq6WtpAKER2afW7HdXJJJqF6Zeo9fSCGnkawy8fOvvFlohrzJh/Kx45N
3pxuejW3Vea/89Iq6K05u6gYQOI6UVYArurbkpDhLAbU3CFHxfYe7Ay0fbS/03OMzEgeNQVYTW70
2ILcWtv0jpZciog5usWNu6zQPK1L/jPTujH9ULXGAN46BG4RuhdthLAv7hPnMTbc8ND5XrzS9Gzc
FWXd7n2R6Bu7ttSHeKQf2bbANiBw1Wu6X/aeiHG+Q90XZ55LQqdknjznWZTuaXFE4zyzmm5pJ8mD
VslsKTWF1quZio9IElbCaT5Ggp0lt36w1WKxDAodRRhBNk9mFj5DqLCXolKGeYBydd5mChWzUexC
gEFrq7FM2OzhBTtSe8GoQbnUIIxsBvA7W1/xdpPAAsOU6FXUuMpwN+WJBzOPXJ9L3WOwQuKiglYR
btSYymu0kv0qsVow9kF+J4FSbmVea8iDwodIaTu50xlF0k1ym3hBrmvngg8Z+1Xtme0VOXjRAcd/
TkpQXp+Xuo6OyfrU9PnGTBMgEBUbzqqvmnkyYFl2Mv1Mg/wCxi1wVHiaJbt+soIzc5EBsdvrRgqI
pcpHEEQ9APZ1GKj8b5OZyRrP9K4kbi2aEzJQDIsxUBERak49JEDJu3zTlvKUDDLZCSmaewMBmTv3
ggGc+1C3aMI0IghTQymuipqdLjBph6G7yb7Abvtmn9C+ToBggoeoBjrCY6MYzwTIt+GSJR5uhpnX
AcWM4st53jVhO1fyinUg1KuMQD10GhUtxEg8prBILphzdhdhHNDRgwW1sHEgkFHcDOze9UOWORd8
LJqGvkUKg1GpBdpCtwbSAFO4v/W84Mnlcr8fLbGg7DlYAX4ALP3RiQdicYVkK5xltZWAXe0p91MY
xbg6cXJC+RrvFb9Qlz4t8x2zCDYHFPEYAboaw7ZbYph0YuuhYrLyyeeFZ77GRNZxcYIkiWIzlMnL
m8xu040v5BIqCPk9ZdIc88jzb6f5wDoZO+szU2KJaNLMV7TPLVIQZJqEG1n75aZL4XlBxSjBuTJ+
UJEImumRNaBbNzJuzx3LGXdgo8zbcGSy0FdKvyt0B8lSUYDzAODHgmRbxJWmGVISPQSBQQ9zZrn1
+KgXlrphO1QtDGv0VlUC9h2PurVGzLJGLHpDq4YtixUubKsr5jmpInplLWyV7ZuD/oNk9QSBW1eC
/8fsaWVcinEvlroKhocH8QJeG9wdoUD5Gy4VFIW7LKMvEOeDtQnRI58gI+TwsCgprCoB6Oyk6iqv
CbrURx3jWOk4l0RST3mTRbdK8so7pJ1G6wYDzypHI8zGv5zySYHVts1e14fPmlbRwiTESO0xlQjr
qZEoinBV0IOk1Dp348xcpTg/9/XoB2tlzGZqRcdz4sW017VX1jeDCW67D/t21WkMb/wAjAF2mIUa
iGgBLj+dVZ1vLGOPTT9aG3dFr7EP5obR3/OP2jP4ceMDmHTy3CM1WpkQbM7UPJ74c9YE8RFNGs+x
gJLnF8Tm0kJjuElDMyCcwrYv85a13GtydR8A3ryAGwyJ0hu9SxxPDv2TND5DdhOD4qFDcOQORYuU
I/I+Yx+SXKa+bj2PUETnZu2lF0avw6xrdLFrYGI+uyTgHgQZF7OwC8IPBqQN9PPC7CBjpCHs/6Q+
8NiU22KMuwVKlUckK+7GTiO58M2oOa9Nzbk3zbpepswMmdOy0FMXGRGunKFIqPxDI9xmiQ/cNrDy
gadHHc7gO6QrON3Nxi1tsVUse7iC1QGjPS6bXRbaHhk4LllaPRCSDjPERQ/tKRO2d1TxWN93qlNs
DDsPF0NsrDEGxcvBjwpQ8EJbJmWPKSfQsvPSjljpcs8nV8tAmY1Yc9G4AstRAtdSZSvDaXaSi6Lh
gUf9mN0F5NhPiZrxDvU4F3BZmWeOVuc2apSGPn0V+sElowOFLoRolmil+0ePQQ8IctY9z9F55aGa
pK2s4z0AoH1mFzeibv2PDmDbuZ4IddFQEKGj3Y5+vIZkkW+1hICfNmuPrKgoog1K3oVqNdUsVpWF
qtJkYZuF4CzvHkMyJq9jhPG7qCRavY3admtYmob8qoG9WMXqok9ib9MRTO6q08ijkNHWlk9IsN0n
n7zfbZRxKEpYFUWbLB8HJRj2shU+o0KgPiu9wxXnJR05wBm7vnTsOH1mZ14oljOsxyAuj11Dd4qM
kfxB5YI5b2KNOAwdFCPsLXvG1odyonDRr9tDfUgYIcx7Pxw+eF5YUS9E8sQ4cuSj5MSEkjrxyGZM
h8FTaovIU8wZWabFjaKM3VXcjrR28XJo96mdKZ8S221WkLjyjdUPkLVCV+bunOxgNj21ox1LTONz
r2WC6sQZkRiuG68cbOqMsbtMjOzk2nCeV3xfwLfjuyHtO66sTqwzJe1mqdccDJqJAjiJTVQ0c2qg
lW3owGXkVNfuWZ8Ss+oRFtC3UE0nuRTlqbqLBYB6/OPP4C42ne9eO/j35kIDChmyJAIoSYdN5dg+
7Oiy2KL8q7cxn5KQ4qw9wQtCWEbUxy2SVfcswyzwqFAzTUCStJm3KPiQBvnmEneCfTBGmZ+J2kzu
CWRtqI0sa5uplLSNoSisgkOvLMlECTHVjFZfonJQ+rMiTXnEw3Fx17gDAdB0eLEo9TNn5ZWRgzVp
ADzjVQxTBunZn1yhCMTtsIBvc0qkZe4OcJq7Ud6Rjxuuh5f4c93oT4J2LWtHnGpH2UytOGg1l76i
gASyxv5Sqaqumlld3M7xX+hLD53ydqRTceUmJM34gxeuRdnldznrG4940uPBWUJWjLvywJhOBTCK
eGnZIF1Y6DR9L2uLIdakCi2fSRxqr5VUdPasas3qIBCjL7tmMCC+DbpzLytj8rnAWY1Td2cGAWxd
xFLGEU2iik7eCG95cNCHU6smWOSK1Rx6e9R3pafreFqG5I7YKCpXep3HlNt9FtQyO/fK1jqXJdA0
hAW4R7KAjiu0M706xpg/Lyiuo3wSXQ+bMtJ51BQsolc+6BJivgJLQtRKnHWsjeWHKKeGnVHC0ZPG
6L1w2cWc6Qgm54VMqxuhIsIGkmnPhyr24Zc6ISRm+MIQn9po26VCZ9SDPzOhPNsVxdjdtaMBTY8q
9HKKuYUbERm3id6HOxdA7oNvN6xFXjeeW6OFLyHOVf8MpZl2SKsWsh+M1pkVSWur5m2PsLcY9Wye
RcI6taYS5DM3NtQT1tG4oHkw9h+Zodn0WiK3ovFQmyoZEiBo9wrWhqWROex2Cw/y+WDH+YF1PL8P
ei+/be0CyX4OqZuhaDUbHD27QHLkMCKLbRrlpBVqTWstOkVPzvGoUmJFE3ZtRjRZe4d5jFg0NQou
PLPX1yXGDnuGv0Hcj7gXKBoY/dS5I/dKbFF1hpFNRnZjFksbuP4xgkzBV+ucMMzxBMMPO9K0WpEn
zUEiV5vrBXAoeszCw+c1wzwQV/N06j1oZBhttNrVFqUikxtDqlAPmAq2S1wh4kEx2V/0zHQmha0Q
4BmUAtaeoeVEJIZM8vjUlLeK6D+EXiQPoYkaGbRNOrd6E5rDS0Pzb7ET3mNo/weq32xkkir5tK4O
yYWmCNKDP2vynp2e8Kx/3eH97gG+9HrBw+A1Nxi/oG6jS4sC80uvV/+VNqs66WZN/uerVq9h/6pC
X7NUAyupCzqBBu0XPZyho6GzkddRTiCetTA5fONV/zPvOvX5m1avomumbQIq+RbFbso6i7W4Djay
s5NJ4Qy4DE06DDMn55kyM9x03NtK6vDoL6udivV5l+kOQ9lW1NF5l09etdQZrGRBWxDfl4Jdt3Kd
4TaPEhcPbOikdH3iBLZfiKvzKsmj6tKOVbOf21GCGNqw8WeDmWdDW87zViM71lA90kmjQvcf4IAp
+bbNMvOAF9PYEQPfnVpvSB+oYi1YexCX6d6lJOyMVjhlobeVUDfdIMSncojRExmZ2w/rAT0W/mna
qcW2yhTu4mJgXrRoIIAVO8Kyw8ueHYs/B4FTXFt2k3xg3NQvRNxAm+wJrrjXhzg59r02KKzMOqtN
GcGYWzHVDabQ0EC9LyIqRUbJCiBhN67tqz4NW9jXCJQfI4s9khsl5k4D+njFTD5dTs6QDxhOmo/g
NK1jogTJlZ2AY1Fq090wtR7Xk0+a3glF6VmLjBGTH4oTgyYtjSJsAKu2YWc38/UmeHSR2AUbRVaB
u5S6aNFHx924zxVhfO7YQHxQC398Jog8YaDo58U9tDzzgg0tLKGgitjSJGbk39imbPEZNEl9DHJX
PSfvpwdQ3MMHQlY4tOtY4q6GsdN2N+gulVsIw3ghWCHVG+y4wYBusRjiZYiOHmZjoD9EWlesy9Eh
xVCvITj3ql8d6XhNKw9rsr1MciZZzOLrM5BqJTN8o0w3NlqZamsmWFtnsZbWnxI84SX+rqZ69hOv
v7baDN55xY4D1HOtOHPba5xDlpeimqOilHJRu6a+jouoci8sF803SvAI5gLzaLCYgyIzukWj3cO3
G4rMXEZtqhgr5F/2c4rUiPgSWVjePI/SfFyKQpfaXHGTKGNvWuafsF8Ed6oOKhAedJ9eJFZvQSDN
EwiVopNJR/PVBknPiSWRJETTz/lrMcjNYQimmJqtIbiyyD0rOfvCv6Mb6H1mY2MPu1Lq3jOggXrj
REWjPZKXzNSaHbTWro3EY/PIa9XZCqFEAPQA5txZ4wYpGzhkHls0KtVjI4KeqKe8SRdqmPBzpVfK
maaEWbxsGyhRZjaO0ZHZomhmZu/BIuiG5Kag7/g0WGN43wOdxPUJuSLHYJbIuQYFYBWpSmzOTS3t
tnlAmhK2WBK0ZqGCYHeB1VgShpXFKKvw3zWrwWVbAUJ8cJ7dthTk/1autnRsacGp6Gv7Um28agsx
smonvyssbelWD25pVR+jKFDPzX4EQ9hUNdy3oBf0Ikq3vZxmxR+70iJFwerwz48IxlsJlYMIhCjH
0dl67ZJahy2gkgUm+6dUci7IuAxnLJ75R4LN4n2qxVZAMIuoDEJXzGyb1n4PUMKDu21xVZL4gkMw
YD9J2GMb2YJeXtY+wsGkatGixibeYBgRXMVyuBLuGNB787LcW0pr6NeFr1hrLZfq1s5j9Lg6X+N9
6cbjEwBxn15FrSKxTGrl0NiBf3ARWuKgzUz7qkvy8EPbKkRhsV/Stmonxo1ZeeVV6HTYpjBQ4cDt
UmXhZ016l2WBvWzHjnUf5O913fDImdOxH1dR3JE2Ybk59PtaRe1DKGr0CZtKdhHJ0lpWBZoaLEX9
tvHK8WkqaZ35EASZto5jKkI0SAPfPeHVAUjdzs/vc+Ji723N17udy4Qgo6ywS8jhan3Dt8OkQgUm
eUHoRDVv0fUMO8Xqqcw7pzJQJ9MLXnihQpKWioMj51qNsgd8auK6Ntnmzgq1cXWmP0X0ScvM/M4q
OtqURVFmjMgaE321iTcymGdxRJh5bePkWuu5mt9WEfjLK93J2JbVg8FDB8JXgXsO79E+iAbs5S2n
f1wyd5sCZ/OhRbQjO0DvpTpUxkVe5OUBKSDR0DS+hnhh+7p7Xha2fOgDP/gcKGW2yCuV6Qk6XLY/
En3wzJZgFyMKvmAOqsReeoPGqMUHZEjblM79QsmKfme2RY89ErrprulaMc6tViYANrM6o/Ots4vU
fEyyreP1xy4vjHGhDEq8bpNA3WqkNS4ImJDmvKc/1q8Kw4jOjJJeOc6L2gDVZgTrtr8o8VD4syCr
AGeUCJHPhijPl02SEIiuFia07kIk0YNdxOmSoIR917PBn0HlmKDAvMPLnJ73R0PCx8CiQ2vfH2ry
AtjnYxjMsEpCvrazHbeNlX1M4DJECH6rjS0wZODjox+FqBkbvruvxYRqA19szoLUlbvA6LBmgS2g
uR5WnqXOeOykPIdIZyo1ZKf9pa6RROeo7fgkWQ1YqMP6WtJw3ftjNvkKPYdMpqq+YuPcfjZZfNaG
X2M8dokGBte6GAFpb0YUYhu9rqobo7eMDe1Rm1tXopJgx24+k6jntXOALe6x0eDhxLJrYG7jT99p
xFVAGwgbLPZMUGYGWmxijMOoPxuNAnCFn6kgWz34IxYP8mXUpUU+03r2XnNShhXUaULz4nmA93Fd
RYMbzcawiLdjWGVXemTKXc+lduY4NXI6NzT3pLM4BTzpprpzuc4WlZU6j4LWYjpFmhQXZiKdK7yi
6OTrOtWQUXtM2XpFf3K5YBZepaWXRURfopBjaC4RGpkb1arzGzUFn4YWczzL3CK4Q0hrT6HM8Qiy
Qvgqw8TIPk9jVzxqIfOQJX3lbC7KOp/weETO10V9Xeikr/e+lh9FLfpDCouGBPc48s8rq7LZcNkB
VoCXBCJUPjU1l25/SkYjGuZEbPU3wgwZCFvIg569oAiA8ynEITc5TXaZcBfOOsYSLKBZ09y35mCD
4CIeUjENesyF6vn3top3YOaHbf9JEYHyKW5M+LNRHUEFdCOxDpzcvnBVYeywYsafeb/lEUwyk7ux
oYE75kNFeca4ckJ/OjXU9w7IfFR1FooqH3bzTMDeu3T80lnZg9XdjhjaVjYJLCdXF5QaOCE6hu+V
B1KEtmxasl0z/DVfVXem+SRDLIiCLC/D0oBFnuVT4lg9Sp5UetbXcpmj7Q4huShNtm5q9Pxb8J+q
T75iL+RKaoF2XuU5wU121/ozvcL0twrbZBp0l45v0NwqnT2JZARcZyDSa8In3DKYO6OKNAoyhmAe
MnTlfVeHZbQoma2QeDJK78BAAV41jYtgyxXiMrtC48u03GZRw++q0eayOf+Ef9J3hdjboFtM5K1p
BsUV7bsqnpXsh66iwWR+rrXofXXV3oeV5VxofaM+h/QN5IyrINWXrLvTVFFv2H3HbKY/gAQJg2U4
UBLMurIK0qUfjjRONYUtzNGxktZbda1lbmypZ4zmY5PBgmxTh7Qtlor2oIdICenBJb4/793MXgvE
jVdS6nmxGN3OIW3FlebnKEFWsUhdRbtxLWU4hY6iPjmObBrU0TR2YA6W9ZTMRZuYAXjR57CQo5wZ
SB0AjJL+Zx2q1FU94k8d3FxD4BFWI50VJ1yOdlZeNg7sghJ765mWVo5YDVRt0cLsNX3pBoy1HLWJ
CTgRlXdyu0K/UlNKjCVVr6vMy8S15LLPBeQF4DTKZ9IDRmq0ptziA53Ufy02C8VL+2VpG9wmJuvy
giub/PEiUrOT4Ra5fmR7L5deC6uDn/pjpkqSsNM86/SZmpdeMOOq0udeUgRHlL7m1ogd/yJGBFJO
kllbYwekk05TGh12JZtD+jdRaPKeNOZCt3lnO+SmuZ78nOEbvioNyYyCUGc8uF7RML5UxoXdgI4u
y57mqlHWS+HBxpkzgQcaNvjYKPyUVnwzqlyLeRhbM0v181MglXIf9yM6/V6DPaLUhGAPJqmga09h
PnlAP6RcAxbnKE6ADttnisWWjD3nRCtpvB0xnnSKpUvRPJJhfsXKnUNK10N3TyRZCtpGjXNAF5mx
VhXGkW1hRyubNWTpl3qxJNMp7mdpRPfPjAJy9lSymdwMyU8zVM2BN23uTFRYd9QBxdLFXbAiBthQ
uGlkhgCcaQcY+4KYFXKZFn0UN1eZSRbbLDHwS868AtNoWqjhJf4judRyF/uo5bjWfpr7L6ngvKUu
vAfqVHetck8us6ZmCOS6/ie9TOqHQYUpM1NCzVv4gx4zusvsS3/UsKyyO0DUkilyPSpJQrx63V/3
vXccglq715iUXwKD4L7Ue5BcnrD6nYN2Z2Pm0t+j5Yw57yLcOYF06YLbobXOYlX/WJQjEtsszMRU
oSPIYtqKYd82zRwomR9Rzcah+mDxiNmElKXE3vZRdUA61HARGWyOS9IVZ7oSRjXWklFus6yhiGYO
n12TGO+sKOHEUYje/GCOSHVtxt3HrLKMZScy/DR+JNrrQskJuOHJq2+F7zhLJC3BNbeedx8IfeTR
xtSJx6OP+Z1Ol8uQPIVNToYfGgEvEMfW1EU5K9B6hDNDqPHBUoxmE4SBcR7qI9A1D+/2RSkLH4KB
Smh7oDb21kv8AbtRE9UfBl2GN41s2iMmU+uRe1c7asiEnosqqFYlQixSEvWBYEmlM7WPep1R1Wtx
tLUKER1sFYnMTG3pZSQ1z6uwQWw2a5wk2sqUlm6TJsnacwqEo67Sb/Vc5MBDzH6vSD5sbHMQ5Ltp
Qcnq0zq2MDx8LFnqAl4NNIGqahNqo5YfiORxruugUZC+NzkW75zIxFURRxjcDb1n4oxKYz5VLhaa
2yC91hKN+DazjY6ZqX+22QziC4DHXy16LA9nGIxt8L9muWzjGGk9+LTuVrAo812OBU35ps3qpxgb
8vx/sjmXuZcacmMMFhWNLPt+oYooQwpMrNUFzVZykKQbofP4f9JFXD9n56fkufrfb7qG//X2Rzpe
X7qXi1N9evPD8gUvfdk8l8PVc9XI+s//9Pfe2XSgYxam9XX2h0P8pb/02pT7/oF+eX55X79hrx/Z
r9XT+/PDLP26q0hF+k0b8uUtvXyaPzuCPMHUbp4gaut0Cy0dlI7G5Tr9QmhKErj/5Y9td0JXC1qA
k3iUX0hK0bZ+dTJ/dA7+/OO9nurfGJp/4RT8kPyt2/ofeLY/OAnfHOOrkyB+xes7yVjFd08CmUk8
jF2Mx7/98W8n/R90ElACQwswSZ18Izz+2+fB+VXQgaZI/v55sH8FYoo539JeroV/4MUA4+Qv3hE/
vBhAETsQgy1Xp8X/9a1g/QrIwlHhCv/26f95V4HQtW/HEn/3EtDIGwMHoZuYF19+ffM8EL9OCnMN
Ufo/9CQg+NB/e0h982z540Pxh5cAQnoU9OqkmP/RSVARTenTQ2H6xfDln/VQNAgF/xar/HevBF38
yrQLDoz22zn4ZmVw1F9xEbB2OH//SvgLT87fl9B5AFX7ZYUNn6uvlul/+xdeF6A/HuDLyrh9+s//
mBbQN39xWnB/O/S/FuD/enOhvCx+X/3h62L48jpf/vmXD/jHl37zWq+f6vU3N+FzeSofg+HlD4Yv
b3Oqbv7zP4icD8rTL8fy9PRcvZks4gGZyBpflQtv3u5XS8KfHr+qTsnrYaYzM839Xn/+bvjG7yvN
nx0WTcGpfD3MdFhgOuRZvPfdbk7l8K2FxrAmv8u7jxwmp8fgJL97pslJYIl970vsTknS/PI/Tkn+
v37Zn4Aihm/OEM9Wl6Xlva+yP5UpJWr8jc/oZYV497G5TuU3BzansfV7D3x2iqvg9NQ9P+evB3u5
S6cR9+tv/PcvxsPpKRi+fw9NI/T3v8DFU8jbfz3Oy11E3fwTvsxj89Q8Bs9gBd4cXBhTrsh7T/qx
SaPTw+txXt71b2XUew98dYpOtM9Ob7YsX+r19x77QxjH4ZsHlqE61k/4Dq9PSSh/OT89NV+fEYNU
AVb5977rlzSD7z1avizY7z3+x+eq/mX2jL9Qvr7Zl4cui/hPePeHEw9zHlh1+eYa/1Jxvfe9r5uI
o9dfv2+bal43fsJ6sc7evOPpuBDpXl/qv/9EYVU+vYZKnYeP2cOp/GVbYfB8ql4PPp1/CmZNm3ap
7z1H/wf2wo+XJ9qskPZ+xoMyHLPybTnAocG/Tju+936GawATzdsr6MvBf8Lduzg9USVx/rmDibD5
ZXNqn2X4+qan7+LltQz7J3wZ0ytMX/U3R2cjbvyE0/Tn2dDvrPYOzz41zml4c1dwZqb3/hOKycWz
DL496V/6E++9eha/32/0U/945l9C3N55cv5tANK7jx+c6jqs/hCx9IWw9xNug7+QmvPOD/FvSX/v
PP6/tcm/8/h/VaH5zpf5/vPoF9aNX354JU+9VlU43IymZrEDJ4rw9UL/0Ur1vf3m713aP+5CX7uv
3/tnb7fY0994lM+n8r/+LwAAAP//</cx:binary>
              </cx:geoCache>
            </cx:geography>
          </cx:layoutPr>
        </cx:series>
      </cx:plotAreaRegion>
    </cx:plotArea>
  </cx:chart>
  <cx:spPr>
    <a:solidFill>
      <a:schemeClr val="bg1"/>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9C5F7A7B-CCB4-4F21-BE66-B2EDEC614AFD}">
          <cx:tx>
            <cx:txData>
              <cx:f>_xlchart.v1.12</cx:f>
              <cx:v>Sum of TotalAmount</cx:v>
            </cx:txData>
          </cx:tx>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hyperlink" Target="#KPI!A1"/><Relationship Id="rId10" Type="http://schemas.openxmlformats.org/officeDocument/2006/relationships/chart" Target="../charts/chart7.xml"/><Relationship Id="rId4" Type="http://schemas.openxmlformats.org/officeDocument/2006/relationships/image" Target="../media/image4.svg"/><Relationship Id="rId9" Type="http://schemas.microsoft.com/office/2014/relationships/chartEx" Target="../charts/chartEx4.xml"/><Relationship Id="rId14" Type="http://schemas.openxmlformats.org/officeDocument/2006/relationships/hyperlink" Target="#Data!A1"/></Relationships>
</file>

<file path=xl/drawings/drawing1.xml><?xml version="1.0" encoding="utf-8"?>
<xdr:wsDr xmlns:xdr="http://schemas.openxmlformats.org/drawingml/2006/spreadsheetDrawing" xmlns:a="http://schemas.openxmlformats.org/drawingml/2006/main">
  <xdr:twoCellAnchor editAs="oneCell">
    <xdr:from>
      <xdr:col>9</xdr:col>
      <xdr:colOff>649129</xdr:colOff>
      <xdr:row>40</xdr:row>
      <xdr:rowOff>54769</xdr:rowOff>
    </xdr:from>
    <xdr:to>
      <xdr:col>13</xdr:col>
      <xdr:colOff>487777</xdr:colOff>
      <xdr:row>47</xdr:row>
      <xdr:rowOff>176213</xdr:rowOff>
    </xdr:to>
    <mc:AlternateContent xmlns:mc="http://schemas.openxmlformats.org/markup-compatibility/2006" xmlns:tsle="http://schemas.microsoft.com/office/drawing/2012/timeslicer">
      <mc:Choice Requires="tsle">
        <xdr:graphicFrame macro="">
          <xdr:nvGraphicFramePr>
            <xdr:cNvPr id="6" name="OrderDate">
              <a:extLst>
                <a:ext uri="{FF2B5EF4-FFF2-40B4-BE49-F238E27FC236}">
                  <a16:creationId xmlns:a16="http://schemas.microsoft.com/office/drawing/2014/main" id="{6A56C931-4C0E-B40E-DCF2-2DDD203E5E9D}"/>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8396129" y="7479384"/>
              <a:ext cx="3336033" cy="14207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89297</xdr:colOff>
      <xdr:row>18</xdr:row>
      <xdr:rowOff>21431</xdr:rowOff>
    </xdr:from>
    <xdr:to>
      <xdr:col>2</xdr:col>
      <xdr:colOff>547687</xdr:colOff>
      <xdr:row>33</xdr:row>
      <xdr:rowOff>85725</xdr:rowOff>
    </xdr:to>
    <xdr:graphicFrame macro="">
      <xdr:nvGraphicFramePr>
        <xdr:cNvPr id="7" name="month">
          <a:extLst>
            <a:ext uri="{FF2B5EF4-FFF2-40B4-BE49-F238E27FC236}">
              <a16:creationId xmlns:a16="http://schemas.microsoft.com/office/drawing/2014/main" id="{1B3A2361-A092-ADA9-D6D8-28DB266F1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706755</xdr:colOff>
      <xdr:row>40</xdr:row>
      <xdr:rowOff>74772</xdr:rowOff>
    </xdr:from>
    <xdr:to>
      <xdr:col>2</xdr:col>
      <xdr:colOff>344310</xdr:colOff>
      <xdr:row>47</xdr:row>
      <xdr:rowOff>154782</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AFFF8660-1ADB-AD04-063D-E53904E0988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06755" y="7499387"/>
              <a:ext cx="1835632" cy="1379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317658</xdr:colOff>
      <xdr:row>40</xdr:row>
      <xdr:rowOff>117635</xdr:rowOff>
    </xdr:from>
    <xdr:to>
      <xdr:col>5</xdr:col>
      <xdr:colOff>8058</xdr:colOff>
      <xdr:row>47</xdr:row>
      <xdr:rowOff>142877</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504A7839-D598-CB01-4A06-FD542E91752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515735" y="7542250"/>
              <a:ext cx="1829861" cy="132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119063</xdr:colOff>
      <xdr:row>40</xdr:row>
      <xdr:rowOff>96680</xdr:rowOff>
    </xdr:from>
    <xdr:to>
      <xdr:col>7</xdr:col>
      <xdr:colOff>55273</xdr:colOff>
      <xdr:row>47</xdr:row>
      <xdr:rowOff>130970</xdr:rowOff>
    </xdr:to>
    <mc:AlternateContent xmlns:mc="http://schemas.openxmlformats.org/markup-compatibility/2006" xmlns:a14="http://schemas.microsoft.com/office/drawing/2010/main">
      <mc:Choice Requires="a14">
        <xdr:graphicFrame macro="">
          <xdr:nvGraphicFramePr>
            <xdr:cNvPr id="18" name="OrderChannel 1">
              <a:extLst>
                <a:ext uri="{FF2B5EF4-FFF2-40B4-BE49-F238E27FC236}">
                  <a16:creationId xmlns:a16="http://schemas.microsoft.com/office/drawing/2014/main" id="{5AE91984-8D0D-162C-B13C-DA2B1C9782CD}"/>
                </a:ext>
              </a:extLst>
            </xdr:cNvPr>
            <xdr:cNvGraphicFramePr/>
          </xdr:nvGraphicFramePr>
          <xdr:xfrm>
            <a:off x="0" y="0"/>
            <a:ext cx="0" cy="0"/>
          </xdr:xfrm>
          <a:graphic>
            <a:graphicData uri="http://schemas.microsoft.com/office/drawing/2010/slicer">
              <sle:slicer xmlns:sle="http://schemas.microsoft.com/office/drawing/2010/slicer" name="OrderChannel 1"/>
            </a:graphicData>
          </a:graphic>
        </xdr:graphicFrame>
      </mc:Choice>
      <mc:Fallback xmlns="">
        <xdr:sp macro="" textlink="">
          <xdr:nvSpPr>
            <xdr:cNvPr id="0" name=""/>
            <xdr:cNvSpPr>
              <a:spLocks noTextEdit="1"/>
            </xdr:cNvSpPr>
          </xdr:nvSpPr>
          <xdr:spPr>
            <a:xfrm>
              <a:off x="4456601" y="7521295"/>
              <a:ext cx="1831441" cy="1333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230505</xdr:colOff>
      <xdr:row>40</xdr:row>
      <xdr:rowOff>92394</xdr:rowOff>
    </xdr:from>
    <xdr:to>
      <xdr:col>9</xdr:col>
      <xdr:colOff>542508</xdr:colOff>
      <xdr:row>47</xdr:row>
      <xdr:rowOff>130970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F4053991-6160-0346-211A-C0314EA6E00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463274" y="7517009"/>
              <a:ext cx="1826234" cy="1337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30</xdr:row>
      <xdr:rowOff>114300</xdr:rowOff>
    </xdr:from>
    <xdr:to>
      <xdr:col>7</xdr:col>
      <xdr:colOff>514351</xdr:colOff>
      <xdr:row>40</xdr:row>
      <xdr:rowOff>119062</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F0F9B09D-59B2-E25B-8F16-5900C2F9CA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137535" y="5600700"/>
              <a:ext cx="3617596" cy="18335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142876</xdr:colOff>
      <xdr:row>14</xdr:row>
      <xdr:rowOff>114300</xdr:rowOff>
    </xdr:from>
    <xdr:to>
      <xdr:col>9</xdr:col>
      <xdr:colOff>1152526</xdr:colOff>
      <xdr:row>29</xdr:row>
      <xdr:rowOff>142875</xdr:rowOff>
    </xdr:to>
    <xdr:graphicFrame macro="">
      <xdr:nvGraphicFramePr>
        <xdr:cNvPr id="21" name="Chart 20">
          <a:extLst>
            <a:ext uri="{FF2B5EF4-FFF2-40B4-BE49-F238E27FC236}">
              <a16:creationId xmlns:a16="http://schemas.microsoft.com/office/drawing/2014/main" id="{31157756-E88D-F958-53DB-06571000C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323850</xdr:colOff>
      <xdr:row>8</xdr:row>
      <xdr:rowOff>152400</xdr:rowOff>
    </xdr:from>
    <xdr:to>
      <xdr:col>14</xdr:col>
      <xdr:colOff>409575</xdr:colOff>
      <xdr:row>24</xdr:row>
      <xdr:rowOff>0</xdr:rowOff>
    </xdr:to>
    <xdr:graphicFrame macro="">
      <xdr:nvGraphicFramePr>
        <xdr:cNvPr id="22" name="Chart 21">
          <a:extLst>
            <a:ext uri="{FF2B5EF4-FFF2-40B4-BE49-F238E27FC236}">
              <a16:creationId xmlns:a16="http://schemas.microsoft.com/office/drawing/2014/main" id="{6E8FD495-C006-D8D6-23C2-439FAA348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9525</xdr:colOff>
      <xdr:row>6</xdr:row>
      <xdr:rowOff>152400</xdr:rowOff>
    </xdr:from>
    <xdr:to>
      <xdr:col>19</xdr:col>
      <xdr:colOff>38100</xdr:colOff>
      <xdr:row>22</xdr:row>
      <xdr:rowOff>0</xdr:rowOff>
    </xdr:to>
    <xdr:graphicFrame macro="">
      <xdr:nvGraphicFramePr>
        <xdr:cNvPr id="23" name="Chart 22">
          <a:extLst>
            <a:ext uri="{FF2B5EF4-FFF2-40B4-BE49-F238E27FC236}">
              <a16:creationId xmlns:a16="http://schemas.microsoft.com/office/drawing/2014/main" id="{762C1C34-F099-E0D3-AB85-7E59121B2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638175</xdr:colOff>
      <xdr:row>19</xdr:row>
      <xdr:rowOff>48846</xdr:rowOff>
    </xdr:from>
    <xdr:to>
      <xdr:col>23</xdr:col>
      <xdr:colOff>429847</xdr:colOff>
      <xdr:row>33</xdr:row>
      <xdr:rowOff>48846</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352915E4-D195-5353-D2DE-E02AAE3096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821275" y="3523566"/>
              <a:ext cx="2595832" cy="2560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419100</xdr:colOff>
      <xdr:row>7</xdr:row>
      <xdr:rowOff>9525</xdr:rowOff>
    </xdr:from>
    <xdr:to>
      <xdr:col>26</xdr:col>
      <xdr:colOff>571500</xdr:colOff>
      <xdr:row>19</xdr:row>
      <xdr:rowOff>133350</xdr:rowOff>
    </xdr:to>
    <xdr:graphicFrame macro="">
      <xdr:nvGraphicFramePr>
        <xdr:cNvPr id="25" name="Chart 24">
          <a:extLst>
            <a:ext uri="{FF2B5EF4-FFF2-40B4-BE49-F238E27FC236}">
              <a16:creationId xmlns:a16="http://schemas.microsoft.com/office/drawing/2014/main" id="{E36D9FE7-E26C-B4C7-EBCE-05E0D44BF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28575</xdr:colOff>
      <xdr:row>4</xdr:row>
      <xdr:rowOff>161924</xdr:rowOff>
    </xdr:from>
    <xdr:to>
      <xdr:col>28</xdr:col>
      <xdr:colOff>933450</xdr:colOff>
      <xdr:row>6</xdr:row>
      <xdr:rowOff>95249</xdr:rowOff>
    </xdr:to>
    <xdr:sp macro="" textlink="$AC$2">
      <xdr:nvSpPr>
        <xdr:cNvPr id="27" name="TextBox 26">
          <a:extLst>
            <a:ext uri="{FF2B5EF4-FFF2-40B4-BE49-F238E27FC236}">
              <a16:creationId xmlns:a16="http://schemas.microsoft.com/office/drawing/2014/main" id="{4858ADE3-5450-C7DE-72C6-37422B66D5BB}"/>
            </a:ext>
          </a:extLst>
        </xdr:cNvPr>
        <xdr:cNvSpPr txBox="1"/>
      </xdr:nvSpPr>
      <xdr:spPr>
        <a:xfrm>
          <a:off x="24193500" y="885824"/>
          <a:ext cx="90487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75817C-09B6-4AD2-86C3-D0CD589375DB}" type="TxLink">
            <a:rPr lang="en-US" sz="1100" b="0" i="0" u="none" strike="noStrike">
              <a:solidFill>
                <a:srgbClr val="000000"/>
              </a:solidFill>
              <a:latin typeface="Calibri"/>
              <a:ea typeface="Calibri"/>
              <a:cs typeface="Calibri"/>
            </a:rPr>
            <a:pPr/>
            <a:t> 8,06,59,661 </a:t>
          </a:fld>
          <a:endParaRPr lang="en-IN" sz="1100"/>
        </a:p>
      </xdr:txBody>
    </xdr:sp>
    <xdr:clientData/>
  </xdr:twoCellAnchor>
  <xdr:twoCellAnchor>
    <xdr:from>
      <xdr:col>31</xdr:col>
      <xdr:colOff>114300</xdr:colOff>
      <xdr:row>4</xdr:row>
      <xdr:rowOff>171449</xdr:rowOff>
    </xdr:from>
    <xdr:to>
      <xdr:col>31</xdr:col>
      <xdr:colOff>1057275</xdr:colOff>
      <xdr:row>6</xdr:row>
      <xdr:rowOff>104774</xdr:rowOff>
    </xdr:to>
    <xdr:sp macro="" textlink="$AF$2">
      <xdr:nvSpPr>
        <xdr:cNvPr id="28" name="TextBox 27">
          <a:extLst>
            <a:ext uri="{FF2B5EF4-FFF2-40B4-BE49-F238E27FC236}">
              <a16:creationId xmlns:a16="http://schemas.microsoft.com/office/drawing/2014/main" id="{68CE1A46-6082-4432-B569-6C69ADBFBC92}"/>
            </a:ext>
          </a:extLst>
        </xdr:cNvPr>
        <xdr:cNvSpPr txBox="1"/>
      </xdr:nvSpPr>
      <xdr:spPr>
        <a:xfrm>
          <a:off x="26793825" y="895349"/>
          <a:ext cx="94297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502809-1F08-42F3-B815-5D0CEC3A9004}" type="TxLink">
            <a:rPr lang="en-US" sz="1100" b="0" i="0" u="none" strike="noStrike">
              <a:solidFill>
                <a:srgbClr val="000000"/>
              </a:solidFill>
              <a:latin typeface="Calibri"/>
              <a:ea typeface="Calibri"/>
              <a:cs typeface="Calibri"/>
            </a:rPr>
            <a:pPr/>
            <a:t>5.5</a:t>
          </a:fld>
          <a:endParaRPr lang="en-IN" sz="1100"/>
        </a:p>
      </xdr:txBody>
    </xdr:sp>
    <xdr:clientData/>
  </xdr:twoCellAnchor>
  <xdr:twoCellAnchor>
    <xdr:from>
      <xdr:col>34</xdr:col>
      <xdr:colOff>533401</xdr:colOff>
      <xdr:row>4</xdr:row>
      <xdr:rowOff>142875</xdr:rowOff>
    </xdr:from>
    <xdr:to>
      <xdr:col>35</xdr:col>
      <xdr:colOff>742951</xdr:colOff>
      <xdr:row>6</xdr:row>
      <xdr:rowOff>57150</xdr:rowOff>
    </xdr:to>
    <xdr:sp macro="" textlink="$AJ$2">
      <xdr:nvSpPr>
        <xdr:cNvPr id="29" name="TextBox 28">
          <a:extLst>
            <a:ext uri="{FF2B5EF4-FFF2-40B4-BE49-F238E27FC236}">
              <a16:creationId xmlns:a16="http://schemas.microsoft.com/office/drawing/2014/main" id="{A8FE66CA-BF2E-4F3C-A09E-E3998B6329CE}"/>
            </a:ext>
          </a:extLst>
        </xdr:cNvPr>
        <xdr:cNvSpPr txBox="1"/>
      </xdr:nvSpPr>
      <xdr:spPr>
        <a:xfrm>
          <a:off x="30641926" y="866775"/>
          <a:ext cx="81915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CEE82A-27C8-4626-B310-2984A218C9BB}" type="TxLink">
            <a:rPr lang="en-US" sz="1100" b="0" i="0" u="none" strike="noStrike">
              <a:solidFill>
                <a:srgbClr val="000000"/>
              </a:solidFill>
              <a:latin typeface="Calibri"/>
              <a:ea typeface="Calibri"/>
              <a:cs typeface="Calibri"/>
            </a:rPr>
            <a:pPr/>
            <a:t>3</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27</xdr:col>
      <xdr:colOff>334536</xdr:colOff>
      <xdr:row>47</xdr:row>
      <xdr:rowOff>9292</xdr:rowOff>
    </xdr:to>
    <xdr:sp macro="" textlink="">
      <xdr:nvSpPr>
        <xdr:cNvPr id="2" name="Rectangle 1">
          <a:extLst>
            <a:ext uri="{FF2B5EF4-FFF2-40B4-BE49-F238E27FC236}">
              <a16:creationId xmlns:a16="http://schemas.microsoft.com/office/drawing/2014/main" id="{19C9DC1F-6DE1-848C-72CB-49213B815F8C}"/>
            </a:ext>
          </a:extLst>
        </xdr:cNvPr>
        <xdr:cNvSpPr/>
      </xdr:nvSpPr>
      <xdr:spPr>
        <a:xfrm>
          <a:off x="0" y="0"/>
          <a:ext cx="16280780" cy="8372707"/>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220579</xdr:colOff>
      <xdr:row>2</xdr:row>
      <xdr:rowOff>7621</xdr:rowOff>
    </xdr:from>
    <xdr:to>
      <xdr:col>27</xdr:col>
      <xdr:colOff>240631</xdr:colOff>
      <xdr:row>7</xdr:row>
      <xdr:rowOff>157977</xdr:rowOff>
    </xdr:to>
    <xdr:sp macro="" textlink="">
      <xdr:nvSpPr>
        <xdr:cNvPr id="3" name="Rectangle 2">
          <a:extLst>
            <a:ext uri="{FF2B5EF4-FFF2-40B4-BE49-F238E27FC236}">
              <a16:creationId xmlns:a16="http://schemas.microsoft.com/office/drawing/2014/main" id="{7A3332D3-FD64-B0F8-4DEB-7888F6B2C419}"/>
            </a:ext>
          </a:extLst>
        </xdr:cNvPr>
        <xdr:cNvSpPr/>
      </xdr:nvSpPr>
      <xdr:spPr>
        <a:xfrm>
          <a:off x="6967067" y="7621"/>
          <a:ext cx="9219808" cy="1079624"/>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50000" t="50000" r="50000" b="50000"/>
          </a:path>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15585</xdr:colOff>
      <xdr:row>3</xdr:row>
      <xdr:rowOff>61889</xdr:rowOff>
    </xdr:from>
    <xdr:to>
      <xdr:col>17</xdr:col>
      <xdr:colOff>184124</xdr:colOff>
      <xdr:row>6</xdr:row>
      <xdr:rowOff>100129</xdr:rowOff>
    </xdr:to>
    <xdr:sp macro="" textlink="KPI!AC2">
      <xdr:nvSpPr>
        <xdr:cNvPr id="29" name="TextBox 28">
          <a:extLst>
            <a:ext uri="{FF2B5EF4-FFF2-40B4-BE49-F238E27FC236}">
              <a16:creationId xmlns:a16="http://schemas.microsoft.com/office/drawing/2014/main" id="{D483FAC9-BFF0-463D-BF4F-CD9E0F71D848}"/>
            </a:ext>
          </a:extLst>
        </xdr:cNvPr>
        <xdr:cNvSpPr txBox="1"/>
      </xdr:nvSpPr>
      <xdr:spPr>
        <a:xfrm>
          <a:off x="7988707" y="247743"/>
          <a:ext cx="2008490" cy="5958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314D45-CA6A-46C0-ACC1-0E7D02EDC9C6}" type="TxLink">
            <a:rPr lang="en-US" sz="18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 8,06,59,661 </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266130</xdr:colOff>
      <xdr:row>3</xdr:row>
      <xdr:rowOff>107610</xdr:rowOff>
    </xdr:from>
    <xdr:to>
      <xdr:col>21</xdr:col>
      <xdr:colOff>587918</xdr:colOff>
      <xdr:row>6</xdr:row>
      <xdr:rowOff>71203</xdr:rowOff>
    </xdr:to>
    <xdr:sp macro="" textlink="KPI!AF2">
      <xdr:nvSpPr>
        <xdr:cNvPr id="30" name="TextBox 29">
          <a:extLst>
            <a:ext uri="{FF2B5EF4-FFF2-40B4-BE49-F238E27FC236}">
              <a16:creationId xmlns:a16="http://schemas.microsoft.com/office/drawing/2014/main" id="{60127446-037A-4359-B55C-67339FF09A6C}"/>
            </a:ext>
          </a:extLst>
        </xdr:cNvPr>
        <xdr:cNvSpPr txBox="1"/>
      </xdr:nvSpPr>
      <xdr:spPr>
        <a:xfrm>
          <a:off x="10692520" y="293464"/>
          <a:ext cx="2161739" cy="521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3FB634-2E58-4F26-89C4-FC5D212AFD57}"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5.5</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22</xdr:col>
      <xdr:colOff>490100</xdr:colOff>
      <xdr:row>3</xdr:row>
      <xdr:rowOff>92370</xdr:rowOff>
    </xdr:from>
    <xdr:to>
      <xdr:col>26</xdr:col>
      <xdr:colOff>167268</xdr:colOff>
      <xdr:row>6</xdr:row>
      <xdr:rowOff>65049</xdr:rowOff>
    </xdr:to>
    <xdr:sp macro="" textlink="KPI!AJ2">
      <xdr:nvSpPr>
        <xdr:cNvPr id="31" name="TextBox 30">
          <a:extLst>
            <a:ext uri="{FF2B5EF4-FFF2-40B4-BE49-F238E27FC236}">
              <a16:creationId xmlns:a16="http://schemas.microsoft.com/office/drawing/2014/main" id="{CDC68F80-A11A-442E-B362-D30598306DD4}"/>
            </a:ext>
          </a:extLst>
        </xdr:cNvPr>
        <xdr:cNvSpPr txBox="1"/>
      </xdr:nvSpPr>
      <xdr:spPr>
        <a:xfrm>
          <a:off x="13369759" y="278224"/>
          <a:ext cx="2130436" cy="530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0316E7-B793-462B-8E4D-F2260A34545A}"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3</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515250</xdr:colOff>
      <xdr:row>3</xdr:row>
      <xdr:rowOff>8548</xdr:rowOff>
    </xdr:from>
    <xdr:to>
      <xdr:col>17</xdr:col>
      <xdr:colOff>328058</xdr:colOff>
      <xdr:row>4</xdr:row>
      <xdr:rowOff>38906</xdr:rowOff>
    </xdr:to>
    <xdr:sp macro="" textlink="">
      <xdr:nvSpPr>
        <xdr:cNvPr id="32" name="TextBox 31">
          <a:extLst>
            <a:ext uri="{FF2B5EF4-FFF2-40B4-BE49-F238E27FC236}">
              <a16:creationId xmlns:a16="http://schemas.microsoft.com/office/drawing/2014/main" id="{EDED6B75-DE0B-1DC6-1A45-29E1C8773222}"/>
            </a:ext>
          </a:extLst>
        </xdr:cNvPr>
        <xdr:cNvSpPr txBox="1"/>
      </xdr:nvSpPr>
      <xdr:spPr>
        <a:xfrm>
          <a:off x="7875055" y="194402"/>
          <a:ext cx="2266076" cy="216211"/>
        </a:xfrm>
        <a:prstGeom prst="rect">
          <a:avLst/>
        </a:prstGeom>
        <a:solidFill>
          <a:schemeClr val="accent1">
            <a:lumMod val="75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a:t>
          </a:r>
          <a:r>
            <a:rPr lang="en-IN" sz="1100" b="1" baseline="0">
              <a:solidFill>
                <a:schemeClr val="bg1"/>
              </a:solidFill>
            </a:rPr>
            <a:t> Sales</a:t>
          </a:r>
        </a:p>
        <a:p>
          <a:pPr algn="ctr"/>
          <a:endParaRPr lang="en-IN" sz="1100" b="1">
            <a:solidFill>
              <a:schemeClr val="bg1"/>
            </a:solidFill>
          </a:endParaRPr>
        </a:p>
      </xdr:txBody>
    </xdr:sp>
    <xdr:clientData/>
  </xdr:twoCellAnchor>
  <xdr:twoCellAnchor>
    <xdr:from>
      <xdr:col>18</xdr:col>
      <xdr:colOff>218070</xdr:colOff>
      <xdr:row>3</xdr:row>
      <xdr:rowOff>16168</xdr:rowOff>
    </xdr:from>
    <xdr:to>
      <xdr:col>22</xdr:col>
      <xdr:colOff>30879</xdr:colOff>
      <xdr:row>4</xdr:row>
      <xdr:rowOff>51527</xdr:rowOff>
    </xdr:to>
    <xdr:sp macro="" textlink="">
      <xdr:nvSpPr>
        <xdr:cNvPr id="41" name="TextBox 40">
          <a:extLst>
            <a:ext uri="{FF2B5EF4-FFF2-40B4-BE49-F238E27FC236}">
              <a16:creationId xmlns:a16="http://schemas.microsoft.com/office/drawing/2014/main" id="{40BDD362-442B-47B7-A11F-102E0C274439}"/>
            </a:ext>
          </a:extLst>
        </xdr:cNvPr>
        <xdr:cNvSpPr txBox="1"/>
      </xdr:nvSpPr>
      <xdr:spPr>
        <a:xfrm>
          <a:off x="10644460" y="202022"/>
          <a:ext cx="2266078" cy="221212"/>
        </a:xfrm>
        <a:prstGeom prst="rect">
          <a:avLst/>
        </a:prstGeom>
        <a:solidFill>
          <a:schemeClr val="accent1">
            <a:lumMod val="75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bg1"/>
              </a:solidFill>
            </a:rPr>
            <a:t>Average delivery (Days)</a:t>
          </a:r>
        </a:p>
        <a:p>
          <a:pPr algn="ctr"/>
          <a:endParaRPr lang="en-IN" sz="1100" b="1" baseline="0">
            <a:solidFill>
              <a:schemeClr val="bg1"/>
            </a:solidFill>
          </a:endParaRPr>
        </a:p>
        <a:p>
          <a:pPr algn="ctr"/>
          <a:endParaRPr lang="en-IN" sz="1100" b="1">
            <a:solidFill>
              <a:schemeClr val="bg1"/>
            </a:solidFill>
          </a:endParaRPr>
        </a:p>
      </xdr:txBody>
    </xdr:sp>
    <xdr:clientData/>
  </xdr:twoCellAnchor>
  <xdr:twoCellAnchor>
    <xdr:from>
      <xdr:col>22</xdr:col>
      <xdr:colOff>431430</xdr:colOff>
      <xdr:row>3</xdr:row>
      <xdr:rowOff>16168</xdr:rowOff>
    </xdr:from>
    <xdr:to>
      <xdr:col>26</xdr:col>
      <xdr:colOff>244238</xdr:colOff>
      <xdr:row>4</xdr:row>
      <xdr:rowOff>51527</xdr:rowOff>
    </xdr:to>
    <xdr:sp macro="" textlink="">
      <xdr:nvSpPr>
        <xdr:cNvPr id="42" name="TextBox 41">
          <a:extLst>
            <a:ext uri="{FF2B5EF4-FFF2-40B4-BE49-F238E27FC236}">
              <a16:creationId xmlns:a16="http://schemas.microsoft.com/office/drawing/2014/main" id="{111240A5-C6FB-2490-2A70-731082FB9FCE}"/>
            </a:ext>
          </a:extLst>
        </xdr:cNvPr>
        <xdr:cNvSpPr txBox="1"/>
      </xdr:nvSpPr>
      <xdr:spPr>
        <a:xfrm>
          <a:off x="13311089" y="202022"/>
          <a:ext cx="2266076" cy="221212"/>
        </a:xfrm>
        <a:prstGeom prst="rect">
          <a:avLst/>
        </a:prstGeom>
        <a:solidFill>
          <a:schemeClr val="accent1">
            <a:lumMod val="75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bg1"/>
              </a:solidFill>
            </a:rPr>
            <a:t>Average Rating</a:t>
          </a:r>
        </a:p>
        <a:p>
          <a:pPr algn="ctr"/>
          <a:endParaRPr lang="en-IN" sz="1100" b="1" baseline="0">
            <a:solidFill>
              <a:schemeClr val="bg1"/>
            </a:solidFill>
          </a:endParaRPr>
        </a:p>
      </xdr:txBody>
    </xdr:sp>
    <xdr:clientData/>
  </xdr:twoCellAnchor>
  <xdr:twoCellAnchor editAs="oneCell">
    <xdr:from>
      <xdr:col>13</xdr:col>
      <xdr:colOff>55756</xdr:colOff>
      <xdr:row>3</xdr:row>
      <xdr:rowOff>167729</xdr:rowOff>
    </xdr:from>
    <xdr:to>
      <xdr:col>14</xdr:col>
      <xdr:colOff>6115</xdr:colOff>
      <xdr:row>6</xdr:row>
      <xdr:rowOff>180457</xdr:rowOff>
    </xdr:to>
    <xdr:pic>
      <xdr:nvPicPr>
        <xdr:cNvPr id="44" name="Graphic 43" descr="Bar graph with upward trend with solid fill">
          <a:extLst>
            <a:ext uri="{FF2B5EF4-FFF2-40B4-BE49-F238E27FC236}">
              <a16:creationId xmlns:a16="http://schemas.microsoft.com/office/drawing/2014/main" id="{55227BF6-BCCF-946C-13F8-0EB904CF1B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15561" y="353583"/>
          <a:ext cx="563676" cy="570289"/>
        </a:xfrm>
        <a:prstGeom prst="rect">
          <a:avLst/>
        </a:prstGeom>
      </xdr:spPr>
    </xdr:pic>
    <xdr:clientData/>
  </xdr:twoCellAnchor>
  <xdr:twoCellAnchor editAs="oneCell">
    <xdr:from>
      <xdr:col>17</xdr:col>
      <xdr:colOff>306133</xdr:colOff>
      <xdr:row>4</xdr:row>
      <xdr:rowOff>58369</xdr:rowOff>
    </xdr:from>
    <xdr:to>
      <xdr:col>18</xdr:col>
      <xdr:colOff>257036</xdr:colOff>
      <xdr:row>7</xdr:row>
      <xdr:rowOff>65049</xdr:rowOff>
    </xdr:to>
    <xdr:pic>
      <xdr:nvPicPr>
        <xdr:cNvPr id="46" name="Graphic 45" descr="Truck with solid fill">
          <a:extLst>
            <a:ext uri="{FF2B5EF4-FFF2-40B4-BE49-F238E27FC236}">
              <a16:creationId xmlns:a16="http://schemas.microsoft.com/office/drawing/2014/main" id="{1A8AED59-6BEC-3C40-C68D-948D1E451F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119206" y="430076"/>
          <a:ext cx="564220" cy="564241"/>
        </a:xfrm>
        <a:prstGeom prst="rect">
          <a:avLst/>
        </a:prstGeom>
      </xdr:spPr>
    </xdr:pic>
    <xdr:clientData/>
  </xdr:twoCellAnchor>
  <xdr:twoCellAnchor editAs="oneCell">
    <xdr:from>
      <xdr:col>22</xdr:col>
      <xdr:colOff>37169</xdr:colOff>
      <xdr:row>4</xdr:row>
      <xdr:rowOff>29741</xdr:rowOff>
    </xdr:from>
    <xdr:to>
      <xdr:col>22</xdr:col>
      <xdr:colOff>527068</xdr:colOff>
      <xdr:row>6</xdr:row>
      <xdr:rowOff>148838</xdr:rowOff>
    </xdr:to>
    <xdr:pic>
      <xdr:nvPicPr>
        <xdr:cNvPr id="48" name="Graphic 47" descr="Stars with solid fill">
          <a:extLst>
            <a:ext uri="{FF2B5EF4-FFF2-40B4-BE49-F238E27FC236}">
              <a16:creationId xmlns:a16="http://schemas.microsoft.com/office/drawing/2014/main" id="{400D667A-974D-0710-7732-8AAD142A3D2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V="1">
          <a:off x="12916828" y="401448"/>
          <a:ext cx="489899" cy="490805"/>
        </a:xfrm>
        <a:prstGeom prst="rect">
          <a:avLst/>
        </a:prstGeom>
      </xdr:spPr>
    </xdr:pic>
    <xdr:clientData/>
  </xdr:twoCellAnchor>
  <xdr:twoCellAnchor editAs="oneCell">
    <xdr:from>
      <xdr:col>14</xdr:col>
      <xdr:colOff>126171</xdr:colOff>
      <xdr:row>8</xdr:row>
      <xdr:rowOff>54307</xdr:rowOff>
    </xdr:from>
    <xdr:to>
      <xdr:col>16</xdr:col>
      <xdr:colOff>217137</xdr:colOff>
      <xdr:row>15</xdr:row>
      <xdr:rowOff>1</xdr:rowOff>
    </xdr:to>
    <mc:AlternateContent xmlns:mc="http://schemas.openxmlformats.org/markup-compatibility/2006" xmlns:a14="http://schemas.microsoft.com/office/drawing/2010/main">
      <mc:Choice Requires="a14">
        <xdr:graphicFrame macro="">
          <xdr:nvGraphicFramePr>
            <xdr:cNvPr id="49" name="Category 2">
              <a:extLst>
                <a:ext uri="{FF2B5EF4-FFF2-40B4-BE49-F238E27FC236}">
                  <a16:creationId xmlns:a16="http://schemas.microsoft.com/office/drawing/2014/main" id="{992835D3-2918-499C-80CD-EF8831CCBD0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017391" y="1139188"/>
              <a:ext cx="1305000" cy="1211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372498</xdr:colOff>
      <xdr:row>8</xdr:row>
      <xdr:rowOff>55652</xdr:rowOff>
    </xdr:from>
    <xdr:to>
      <xdr:col>20</xdr:col>
      <xdr:colOff>463464</xdr:colOff>
      <xdr:row>14</xdr:row>
      <xdr:rowOff>176561</xdr:rowOff>
    </xdr:to>
    <mc:AlternateContent xmlns:mc="http://schemas.openxmlformats.org/markup-compatibility/2006" xmlns:a14="http://schemas.microsoft.com/office/drawing/2010/main">
      <mc:Choice Requires="a14">
        <xdr:graphicFrame macro="">
          <xdr:nvGraphicFramePr>
            <xdr:cNvPr id="50" name="Gender 2">
              <a:extLst>
                <a:ext uri="{FF2B5EF4-FFF2-40B4-BE49-F238E27FC236}">
                  <a16:creationId xmlns:a16="http://schemas.microsoft.com/office/drawing/2014/main" id="{22955A58-7708-45D2-A882-256C041F943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691786" y="1140533"/>
              <a:ext cx="1305000" cy="1205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251481</xdr:colOff>
      <xdr:row>8</xdr:row>
      <xdr:rowOff>47393</xdr:rowOff>
    </xdr:from>
    <xdr:to>
      <xdr:col>18</xdr:col>
      <xdr:colOff>342447</xdr:colOff>
      <xdr:row>15</xdr:row>
      <xdr:rowOff>0</xdr:rowOff>
    </xdr:to>
    <mc:AlternateContent xmlns:mc="http://schemas.openxmlformats.org/markup-compatibility/2006" xmlns:a14="http://schemas.microsoft.com/office/drawing/2010/main">
      <mc:Choice Requires="a14">
        <xdr:graphicFrame macro="">
          <xdr:nvGraphicFramePr>
            <xdr:cNvPr id="51" name="OrderChannel 2">
              <a:extLst>
                <a:ext uri="{FF2B5EF4-FFF2-40B4-BE49-F238E27FC236}">
                  <a16:creationId xmlns:a16="http://schemas.microsoft.com/office/drawing/2014/main" id="{5276C1E5-4D0D-4974-A7A8-ADD95764340A}"/>
                </a:ext>
              </a:extLst>
            </xdr:cNvPr>
            <xdr:cNvGraphicFramePr/>
          </xdr:nvGraphicFramePr>
          <xdr:xfrm>
            <a:off x="0" y="0"/>
            <a:ext cx="0" cy="0"/>
          </xdr:xfrm>
          <a:graphic>
            <a:graphicData uri="http://schemas.microsoft.com/office/drawing/2010/slicer">
              <sle:slicer xmlns:sle="http://schemas.microsoft.com/office/drawing/2010/slicer" name="OrderChannel 2"/>
            </a:graphicData>
          </a:graphic>
        </xdr:graphicFrame>
      </mc:Choice>
      <mc:Fallback xmlns="">
        <xdr:sp macro="" textlink="">
          <xdr:nvSpPr>
            <xdr:cNvPr id="0" name=""/>
            <xdr:cNvSpPr>
              <a:spLocks noTextEdit="1"/>
            </xdr:cNvSpPr>
          </xdr:nvSpPr>
          <xdr:spPr>
            <a:xfrm>
              <a:off x="9356735" y="1132274"/>
              <a:ext cx="1305000" cy="1218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501515</xdr:colOff>
      <xdr:row>8</xdr:row>
      <xdr:rowOff>37299</xdr:rowOff>
    </xdr:from>
    <xdr:to>
      <xdr:col>22</xdr:col>
      <xdr:colOff>592480</xdr:colOff>
      <xdr:row>14</xdr:row>
      <xdr:rowOff>176561</xdr:rowOff>
    </xdr:to>
    <mc:AlternateContent xmlns:mc="http://schemas.openxmlformats.org/markup-compatibility/2006" xmlns:a14="http://schemas.microsoft.com/office/drawing/2010/main">
      <mc:Choice Requires="a14">
        <xdr:graphicFrame macro="">
          <xdr:nvGraphicFramePr>
            <xdr:cNvPr id="52" name="Region 2">
              <a:extLst>
                <a:ext uri="{FF2B5EF4-FFF2-40B4-BE49-F238E27FC236}">
                  <a16:creationId xmlns:a16="http://schemas.microsoft.com/office/drawing/2014/main" id="{43EA7686-CA25-44BE-93B5-088CF07A47C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034837" y="1122180"/>
              <a:ext cx="1304999" cy="1224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9292</xdr:colOff>
      <xdr:row>8</xdr:row>
      <xdr:rowOff>24975</xdr:rowOff>
    </xdr:from>
    <xdr:to>
      <xdr:col>27</xdr:col>
      <xdr:colOff>241609</xdr:colOff>
      <xdr:row>15</xdr:row>
      <xdr:rowOff>9293</xdr:rowOff>
    </xdr:to>
    <mc:AlternateContent xmlns:mc="http://schemas.openxmlformats.org/markup-compatibility/2006" xmlns:tsle="http://schemas.microsoft.com/office/drawing/2012/timeslicer">
      <mc:Choice Requires="tsle">
        <xdr:graphicFrame macro="">
          <xdr:nvGraphicFramePr>
            <xdr:cNvPr id="53" name="OrderDate 1">
              <a:extLst>
                <a:ext uri="{FF2B5EF4-FFF2-40B4-BE49-F238E27FC236}">
                  <a16:creationId xmlns:a16="http://schemas.microsoft.com/office/drawing/2014/main" id="{C1F347EA-668F-44E3-93D8-2E0925112A62}"/>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3363665" y="1109856"/>
              <a:ext cx="2660385" cy="12500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59607</xdr:colOff>
      <xdr:row>8</xdr:row>
      <xdr:rowOff>22636</xdr:rowOff>
    </xdr:from>
    <xdr:to>
      <xdr:col>6</xdr:col>
      <xdr:colOff>558930</xdr:colOff>
      <xdr:row>33</xdr:row>
      <xdr:rowOff>109567</xdr:rowOff>
    </xdr:to>
    <xdr:graphicFrame macro="">
      <xdr:nvGraphicFramePr>
        <xdr:cNvPr id="67" name="Chart 66">
          <a:extLst>
            <a:ext uri="{FF2B5EF4-FFF2-40B4-BE49-F238E27FC236}">
              <a16:creationId xmlns:a16="http://schemas.microsoft.com/office/drawing/2014/main" id="{CAAD084F-01AD-4AE8-B364-30EF39EBE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9293</xdr:colOff>
      <xdr:row>8</xdr:row>
      <xdr:rowOff>37172</xdr:rowOff>
    </xdr:from>
    <xdr:to>
      <xdr:col>14</xdr:col>
      <xdr:colOff>59531</xdr:colOff>
      <xdr:row>33</xdr:row>
      <xdr:rowOff>139391</xdr:rowOff>
    </xdr:to>
    <mc:AlternateContent xmlns:mc="http://schemas.openxmlformats.org/markup-compatibility/2006">
      <mc:Choice xmlns:cx4="http://schemas.microsoft.com/office/drawing/2016/5/10/chartex" Requires="cx4">
        <xdr:graphicFrame macro="">
          <xdr:nvGraphicFramePr>
            <xdr:cNvPr id="69" name="Chart 68">
              <a:extLst>
                <a:ext uri="{FF2B5EF4-FFF2-40B4-BE49-F238E27FC236}">
                  <a16:creationId xmlns:a16="http://schemas.microsoft.com/office/drawing/2014/main" id="{32AD72A3-102F-43E1-91A2-5958346023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276493" y="1500212"/>
              <a:ext cx="4317438" cy="46742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117093</xdr:colOff>
      <xdr:row>15</xdr:row>
      <xdr:rowOff>51400</xdr:rowOff>
    </xdr:from>
    <xdr:to>
      <xdr:col>21</xdr:col>
      <xdr:colOff>260486</xdr:colOff>
      <xdr:row>25</xdr:row>
      <xdr:rowOff>142003</xdr:rowOff>
    </xdr:to>
    <mc:AlternateContent xmlns:mc="http://schemas.openxmlformats.org/markup-compatibility/2006">
      <mc:Choice xmlns:cx1="http://schemas.microsoft.com/office/drawing/2015/9/8/chartex" Requires="cx1">
        <xdr:graphicFrame macro="">
          <xdr:nvGraphicFramePr>
            <xdr:cNvPr id="70" name="Chart 69">
              <a:extLst>
                <a:ext uri="{FF2B5EF4-FFF2-40B4-BE49-F238E27FC236}">
                  <a16:creationId xmlns:a16="http://schemas.microsoft.com/office/drawing/2014/main" id="{BB9F5F39-B338-451E-B070-24B9796245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651493" y="2794600"/>
              <a:ext cx="4410593" cy="191940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297052</xdr:colOff>
      <xdr:row>28</xdr:row>
      <xdr:rowOff>70940</xdr:rowOff>
    </xdr:from>
    <xdr:to>
      <xdr:col>27</xdr:col>
      <xdr:colOff>295318</xdr:colOff>
      <xdr:row>46</xdr:row>
      <xdr:rowOff>85593</xdr:rowOff>
    </xdr:to>
    <xdr:graphicFrame macro="">
      <xdr:nvGraphicFramePr>
        <xdr:cNvPr id="71" name="Chart 70">
          <a:extLst>
            <a:ext uri="{FF2B5EF4-FFF2-40B4-BE49-F238E27FC236}">
              <a16:creationId xmlns:a16="http://schemas.microsoft.com/office/drawing/2014/main" id="{8CD8F91E-41AB-4710-895F-4A3D1E566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54947</xdr:colOff>
      <xdr:row>33</xdr:row>
      <xdr:rowOff>180466</xdr:rowOff>
    </xdr:from>
    <xdr:to>
      <xdr:col>6</xdr:col>
      <xdr:colOff>563396</xdr:colOff>
      <xdr:row>46</xdr:row>
      <xdr:rowOff>102219</xdr:rowOff>
    </xdr:to>
    <xdr:graphicFrame macro="">
      <xdr:nvGraphicFramePr>
        <xdr:cNvPr id="73" name="Chart 72">
          <a:extLst>
            <a:ext uri="{FF2B5EF4-FFF2-40B4-BE49-F238E27FC236}">
              <a16:creationId xmlns:a16="http://schemas.microsoft.com/office/drawing/2014/main" id="{0AD82BC0-8DB9-4D9E-9E2C-E5902AAB0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115401</xdr:colOff>
      <xdr:row>26</xdr:row>
      <xdr:rowOff>22359</xdr:rowOff>
    </xdr:from>
    <xdr:to>
      <xdr:col>21</xdr:col>
      <xdr:colOff>284136</xdr:colOff>
      <xdr:row>46</xdr:row>
      <xdr:rowOff>98375</xdr:rowOff>
    </xdr:to>
    <xdr:graphicFrame macro="">
      <xdr:nvGraphicFramePr>
        <xdr:cNvPr id="74" name="month">
          <a:extLst>
            <a:ext uri="{FF2B5EF4-FFF2-40B4-BE49-F238E27FC236}">
              <a16:creationId xmlns:a16="http://schemas.microsoft.com/office/drawing/2014/main" id="{D42E5904-6D86-480E-AFA0-C1C66E78E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40105</xdr:colOff>
      <xdr:row>2</xdr:row>
      <xdr:rowOff>35718</xdr:rowOff>
    </xdr:from>
    <xdr:to>
      <xdr:col>12</xdr:col>
      <xdr:colOff>200527</xdr:colOff>
      <xdr:row>7</xdr:row>
      <xdr:rowOff>140369</xdr:rowOff>
    </xdr:to>
    <xdr:sp macro="" textlink="">
      <xdr:nvSpPr>
        <xdr:cNvPr id="80" name="TextBox 79">
          <a:extLst>
            <a:ext uri="{FF2B5EF4-FFF2-40B4-BE49-F238E27FC236}">
              <a16:creationId xmlns:a16="http://schemas.microsoft.com/office/drawing/2014/main" id="{CF3B9615-C5C1-65AE-8ACC-4A6C2A07B4DD}"/>
            </a:ext>
          </a:extLst>
        </xdr:cNvPr>
        <xdr:cNvSpPr txBox="1"/>
      </xdr:nvSpPr>
      <xdr:spPr>
        <a:xfrm>
          <a:off x="40105" y="35718"/>
          <a:ext cx="6777790" cy="1007019"/>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soft" dir="t">
              <a:rot lat="0" lon="0" rev="15600000"/>
            </a:lightRig>
          </a:scene3d>
          <a:sp3d extrusionH="57150" prstMaterial="softEdge">
            <a:bevelT w="25400" h="38100"/>
          </a:sp3d>
        </a:bodyPr>
        <a:lstStyle/>
        <a:p>
          <a:pPr algn="ctr"/>
          <a:r>
            <a:rPr lang="en-IN" sz="4400" b="1" cap="none" spc="0">
              <a:ln>
                <a:solidFill>
                  <a:schemeClr val="accent4">
                    <a:lumMod val="50000"/>
                  </a:schemeClr>
                </a:solidFill>
              </a:ln>
              <a:solidFill>
                <a:schemeClr val="accent4"/>
              </a:solidFill>
              <a:effectLst>
                <a:outerShdw blurRad="50800" dist="38100" dir="10800000" algn="r" rotWithShape="0">
                  <a:prstClr val="black">
                    <a:alpha val="40000"/>
                  </a:prstClr>
                </a:outerShdw>
              </a:effectLst>
            </a:rPr>
            <a:t>SALES DASHBOARD</a:t>
          </a:r>
        </a:p>
      </xdr:txBody>
    </xdr:sp>
    <xdr:clientData/>
  </xdr:twoCellAnchor>
  <xdr:twoCellAnchor>
    <xdr:from>
      <xdr:col>21</xdr:col>
      <xdr:colOff>310724</xdr:colOff>
      <xdr:row>15</xdr:row>
      <xdr:rowOff>52852</xdr:rowOff>
    </xdr:from>
    <xdr:to>
      <xdr:col>27</xdr:col>
      <xdr:colOff>278780</xdr:colOff>
      <xdr:row>28</xdr:row>
      <xdr:rowOff>80634</xdr:rowOff>
    </xdr:to>
    <xdr:graphicFrame macro="">
      <xdr:nvGraphicFramePr>
        <xdr:cNvPr id="72" name="Chart 71">
          <a:extLst>
            <a:ext uri="{FF2B5EF4-FFF2-40B4-BE49-F238E27FC236}">
              <a16:creationId xmlns:a16="http://schemas.microsoft.com/office/drawing/2014/main" id="{047FFA98-E057-4290-A17E-044D777E4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595453</xdr:colOff>
      <xdr:row>36</xdr:row>
      <xdr:rowOff>121203</xdr:rowOff>
    </xdr:from>
    <xdr:to>
      <xdr:col>13</xdr:col>
      <xdr:colOff>108961</xdr:colOff>
      <xdr:row>40</xdr:row>
      <xdr:rowOff>87979</xdr:rowOff>
    </xdr:to>
    <xdr:sp macro="" textlink="">
      <xdr:nvSpPr>
        <xdr:cNvPr id="98" name="Rectangle: Beveled 97">
          <a:hlinkClick xmlns:r="http://schemas.openxmlformats.org/officeDocument/2006/relationships" r:id="rId14"/>
          <a:extLst>
            <a:ext uri="{FF2B5EF4-FFF2-40B4-BE49-F238E27FC236}">
              <a16:creationId xmlns:a16="http://schemas.microsoft.com/office/drawing/2014/main" id="{C14CAEAC-FE72-256D-E6AD-0423E598C64E}"/>
            </a:ext>
          </a:extLst>
        </xdr:cNvPr>
        <xdr:cNvSpPr/>
      </xdr:nvSpPr>
      <xdr:spPr>
        <a:xfrm>
          <a:off x="4237555" y="6268864"/>
          <a:ext cx="3155609" cy="690030"/>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DATA</a:t>
          </a:r>
        </a:p>
      </xdr:txBody>
    </xdr:sp>
    <xdr:clientData/>
  </xdr:twoCellAnchor>
  <xdr:twoCellAnchor>
    <xdr:from>
      <xdr:col>7</xdr:col>
      <xdr:colOff>595453</xdr:colOff>
      <xdr:row>41</xdr:row>
      <xdr:rowOff>1389</xdr:rowOff>
    </xdr:from>
    <xdr:to>
      <xdr:col>13</xdr:col>
      <xdr:colOff>108961</xdr:colOff>
      <xdr:row>44</xdr:row>
      <xdr:rowOff>158098</xdr:rowOff>
    </xdr:to>
    <xdr:sp macro="" textlink="">
      <xdr:nvSpPr>
        <xdr:cNvPr id="99" name="Rectangle: Beveled 98">
          <a:hlinkClick xmlns:r="http://schemas.openxmlformats.org/officeDocument/2006/relationships" r:id="rId15"/>
          <a:extLst>
            <a:ext uri="{FF2B5EF4-FFF2-40B4-BE49-F238E27FC236}">
              <a16:creationId xmlns:a16="http://schemas.microsoft.com/office/drawing/2014/main" id="{45A66468-3D39-7ABA-D0BA-23DE219C487F}"/>
            </a:ext>
          </a:extLst>
        </xdr:cNvPr>
        <xdr:cNvSpPr/>
      </xdr:nvSpPr>
      <xdr:spPr>
        <a:xfrm>
          <a:off x="4237555" y="7053118"/>
          <a:ext cx="3155609" cy="699149"/>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KPIs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Anand" refreshedDate="46163.717818055557" createdVersion="8" refreshedVersion="8" minRefreshableVersion="3" recordCount="1000" xr:uid="{89EAEDB5-0D31-4B09-87AF-4F07E4ABD21F}">
  <cacheSource type="worksheet">
    <worksheetSource ref="A1:Z1001" sheet="Data"/>
  </cacheSource>
  <cacheFields count="29">
    <cacheField name="OrderID" numFmtId="0">
      <sharedItems/>
    </cacheField>
    <cacheField name="OrderDate" numFmtId="15">
      <sharedItems containsSemiMixedTypes="0" containsNonDate="0" containsDate="1" containsString="0" minDate="2025-04-10T00:00:00" maxDate="2026-04-10T00:00:00" count="339">
        <d v="2025-07-16T00:00:00"/>
        <d v="2025-05-14T00:00:00"/>
        <d v="2025-08-28T00:00:00"/>
        <d v="2025-07-12T00:00:00"/>
        <d v="2025-09-29T00:00:00"/>
        <d v="2026-02-05T00:00:00"/>
        <d v="2025-12-18T00:00:00"/>
        <d v="2025-05-04T00:00:00"/>
        <d v="2025-05-01T00:00:00"/>
        <d v="2025-07-25T00:00:00"/>
        <d v="2025-06-24T00:00:00"/>
        <d v="2026-01-11T00:00:00"/>
        <d v="2025-11-09T00:00:00"/>
        <d v="2025-10-30T00:00:00"/>
        <d v="2026-03-13T00:00:00"/>
        <d v="2025-12-10T00:00:00"/>
        <d v="2025-05-31T00:00:00"/>
        <d v="2025-05-07T00:00:00"/>
        <d v="2025-11-26T00:00:00"/>
        <d v="2025-08-26T00:00:00"/>
        <d v="2025-12-28T00:00:00"/>
        <d v="2025-12-23T00:00:00"/>
        <d v="2026-02-26T00:00:00"/>
        <d v="2025-09-30T00:00:00"/>
        <d v="2026-03-26T00:00:00"/>
        <d v="2026-01-27T00:00:00"/>
        <d v="2026-04-04T00:00:00"/>
        <d v="2025-08-12T00:00:00"/>
        <d v="2025-06-14T00:00:00"/>
        <d v="2025-12-13T00:00:00"/>
        <d v="2025-10-10T00:00:00"/>
        <d v="2026-02-15T00:00:00"/>
        <d v="2025-05-30T00:00:00"/>
        <d v="2025-08-05T00:00:00"/>
        <d v="2025-11-21T00:00:00"/>
        <d v="2026-01-04T00:00:00"/>
        <d v="2025-06-13T00:00:00"/>
        <d v="2025-09-11T00:00:00"/>
        <d v="2025-09-13T00:00:00"/>
        <d v="2026-04-08T00:00:00"/>
        <d v="2025-04-29T00:00:00"/>
        <d v="2026-02-08T00:00:00"/>
        <d v="2025-11-19T00:00:00"/>
        <d v="2025-06-18T00:00:00"/>
        <d v="2025-09-04T00:00:00"/>
        <d v="2025-09-20T00:00:00"/>
        <d v="2025-06-22T00:00:00"/>
        <d v="2025-08-31T00:00:00"/>
        <d v="2025-09-22T00:00:00"/>
        <d v="2026-03-06T00:00:00"/>
        <d v="2025-06-11T00:00:00"/>
        <d v="2025-07-22T00:00:00"/>
        <d v="2025-06-09T00:00:00"/>
        <d v="2026-01-15T00:00:00"/>
        <d v="2026-01-10T00:00:00"/>
        <d v="2025-12-06T00:00:00"/>
        <d v="2025-09-27T00:00:00"/>
        <d v="2025-05-24T00:00:00"/>
        <d v="2025-08-17T00:00:00"/>
        <d v="2025-09-18T00:00:00"/>
        <d v="2025-09-09T00:00:00"/>
        <d v="2025-09-05T00:00:00"/>
        <d v="2025-07-08T00:00:00"/>
        <d v="2025-11-14T00:00:00"/>
        <d v="2025-10-23T00:00:00"/>
        <d v="2026-01-12T00:00:00"/>
        <d v="2025-08-04T00:00:00"/>
        <d v="2025-10-13T00:00:00"/>
        <d v="2025-08-10T00:00:00"/>
        <d v="2025-07-09T00:00:00"/>
        <d v="2025-05-27T00:00:00"/>
        <d v="2025-11-04T00:00:00"/>
        <d v="2025-07-19T00:00:00"/>
        <d v="2026-04-02T00:00:00"/>
        <d v="2025-09-08T00:00:00"/>
        <d v="2025-06-01T00:00:00"/>
        <d v="2025-04-14T00:00:00"/>
        <d v="2026-01-31T00:00:00"/>
        <d v="2025-11-07T00:00:00"/>
        <d v="2025-07-29T00:00:00"/>
        <d v="2025-07-27T00:00:00"/>
        <d v="2026-01-09T00:00:00"/>
        <d v="2025-04-15T00:00:00"/>
        <d v="2025-06-04T00:00:00"/>
        <d v="2025-08-22T00:00:00"/>
        <d v="2026-03-27T00:00:00"/>
        <d v="2025-05-16T00:00:00"/>
        <d v="2026-01-01T00:00:00"/>
        <d v="2025-04-18T00:00:00"/>
        <d v="2025-07-18T00:00:00"/>
        <d v="2025-10-18T00:00:00"/>
        <d v="2025-10-20T00:00:00"/>
        <d v="2025-10-05T00:00:00"/>
        <d v="2026-01-17T00:00:00"/>
        <d v="2025-07-07T00:00:00"/>
        <d v="2025-12-02T00:00:00"/>
        <d v="2025-11-22T00:00:00"/>
        <d v="2026-03-14T00:00:00"/>
        <d v="2025-06-26T00:00:00"/>
        <d v="2026-02-27T00:00:00"/>
        <d v="2025-11-24T00:00:00"/>
        <d v="2025-12-11T00:00:00"/>
        <d v="2025-08-29T00:00:00"/>
        <d v="2025-09-07T00:00:00"/>
        <d v="2025-08-01T00:00:00"/>
        <d v="2025-12-26T00:00:00"/>
        <d v="2025-08-30T00:00:00"/>
        <d v="2026-03-31T00:00:00"/>
        <d v="2025-05-23T00:00:00"/>
        <d v="2025-07-14T00:00:00"/>
        <d v="2025-04-24T00:00:00"/>
        <d v="2025-09-10T00:00:00"/>
        <d v="2025-07-06T00:00:00"/>
        <d v="2025-12-30T00:00:00"/>
        <d v="2025-07-31T00:00:00"/>
        <d v="2025-10-11T00:00:00"/>
        <d v="2025-06-23T00:00:00"/>
        <d v="2025-05-09T00:00:00"/>
        <d v="2025-10-09T00:00:00"/>
        <d v="2025-10-17T00:00:00"/>
        <d v="2025-06-02T00:00:00"/>
        <d v="2025-09-03T00:00:00"/>
        <d v="2025-08-21T00:00:00"/>
        <d v="2025-04-25T00:00:00"/>
        <d v="2025-06-20T00:00:00"/>
        <d v="2025-11-13T00:00:00"/>
        <d v="2026-02-11T00:00:00"/>
        <d v="2025-07-15T00:00:00"/>
        <d v="2026-01-21T00:00:00"/>
        <d v="2025-10-19T00:00:00"/>
        <d v="2025-09-23T00:00:00"/>
        <d v="2026-02-06T00:00:00"/>
        <d v="2025-06-29T00:00:00"/>
        <d v="2026-03-04T00:00:00"/>
        <d v="2025-10-26T00:00:00"/>
        <d v="2025-10-01T00:00:00"/>
        <d v="2025-10-08T00:00:00"/>
        <d v="2025-07-30T00:00:00"/>
        <d v="2025-09-25T00:00:00"/>
        <d v="2025-07-04T00:00:00"/>
        <d v="2025-12-20T00:00:00"/>
        <d v="2026-03-20T00:00:00"/>
        <d v="2026-01-06T00:00:00"/>
        <d v="2025-10-24T00:00:00"/>
        <d v="2025-11-29T00:00:00"/>
        <d v="2026-02-22T00:00:00"/>
        <d v="2025-07-11T00:00:00"/>
        <d v="2025-07-02T00:00:00"/>
        <d v="2025-12-03T00:00:00"/>
        <d v="2025-06-06T00:00:00"/>
        <d v="2025-05-25T00:00:00"/>
        <d v="2025-12-16T00:00:00"/>
        <d v="2025-12-14T00:00:00"/>
        <d v="2026-03-18T00:00:00"/>
        <d v="2025-07-24T00:00:00"/>
        <d v="2026-02-19T00:00:00"/>
        <d v="2025-05-29T00:00:00"/>
        <d v="2025-09-26T00:00:00"/>
        <d v="2025-05-20T00:00:00"/>
        <d v="2025-09-12T00:00:00"/>
        <d v="2025-12-29T00:00:00"/>
        <d v="2025-06-28T00:00:00"/>
        <d v="2025-12-22T00:00:00"/>
        <d v="2026-03-05T00:00:00"/>
        <d v="2026-02-03T00:00:00"/>
        <d v="2025-12-15T00:00:00"/>
        <d v="2025-05-03T00:00:00"/>
        <d v="2025-11-12T00:00:00"/>
        <d v="2025-12-12T00:00:00"/>
        <d v="2025-10-15T00:00:00"/>
        <d v="2026-04-05T00:00:00"/>
        <d v="2026-01-05T00:00:00"/>
        <d v="2026-03-11T00:00:00"/>
        <d v="2026-02-17T00:00:00"/>
        <d v="2026-03-03T00:00:00"/>
        <d v="2025-08-16T00:00:00"/>
        <d v="2026-02-12T00:00:00"/>
        <d v="2025-05-13T00:00:00"/>
        <d v="2026-04-09T00:00:00"/>
        <d v="2025-08-07T00:00:00"/>
        <d v="2025-10-04T00:00:00"/>
        <d v="2025-10-07T00:00:00"/>
        <d v="2025-12-24T00:00:00"/>
        <d v="2025-08-02T00:00:00"/>
        <d v="2025-08-08T00:00:00"/>
        <d v="2025-11-17T00:00:00"/>
        <d v="2025-08-03T00:00:00"/>
        <d v="2025-04-26T00:00:00"/>
        <d v="2026-01-20T00:00:00"/>
        <d v="2026-04-03T00:00:00"/>
        <d v="2026-03-12T00:00:00"/>
        <d v="2026-03-10T00:00:00"/>
        <d v="2025-06-08T00:00:00"/>
        <d v="2026-03-22T00:00:00"/>
        <d v="2025-05-10T00:00:00"/>
        <d v="2025-04-12T00:00:00"/>
        <d v="2026-01-14T00:00:00"/>
        <d v="2025-12-31T00:00:00"/>
        <d v="2026-01-02T00:00:00"/>
        <d v="2025-06-16T00:00:00"/>
        <d v="2026-03-23T00:00:00"/>
        <d v="2025-06-03T00:00:00"/>
        <d v="2025-06-27T00:00:00"/>
        <d v="2025-08-27T00:00:00"/>
        <d v="2025-11-02T00:00:00"/>
        <d v="2025-05-17T00:00:00"/>
        <d v="2025-08-23T00:00:00"/>
        <d v="2025-05-19T00:00:00"/>
        <d v="2025-12-27T00:00:00"/>
        <d v="2026-01-22T00:00:00"/>
        <d v="2025-04-16T00:00:00"/>
        <d v="2026-03-30T00:00:00"/>
        <d v="2025-07-10T00:00:00"/>
        <d v="2025-06-12T00:00:00"/>
        <d v="2026-04-06T00:00:00"/>
        <d v="2026-01-16T00:00:00"/>
        <d v="2026-01-23T00:00:00"/>
        <d v="2025-04-19T00:00:00"/>
        <d v="2026-01-03T00:00:00"/>
        <d v="2025-11-25T00:00:00"/>
        <d v="2025-12-19T00:00:00"/>
        <d v="2026-01-29T00:00:00"/>
        <d v="2026-02-28T00:00:00"/>
        <d v="2026-01-07T00:00:00"/>
        <d v="2025-10-27T00:00:00"/>
        <d v="2025-05-12T00:00:00"/>
        <d v="2025-08-11T00:00:00"/>
        <d v="2025-08-09T00:00:00"/>
        <d v="2025-09-17T00:00:00"/>
        <d v="2025-10-29T00:00:00"/>
        <d v="2025-05-28T00:00:00"/>
        <d v="2026-02-04T00:00:00"/>
        <d v="2025-12-17T00:00:00"/>
        <d v="2025-05-26T00:00:00"/>
        <d v="2025-09-16T00:00:00"/>
        <d v="2025-05-22T00:00:00"/>
        <d v="2025-05-15T00:00:00"/>
        <d v="2026-03-07T00:00:00"/>
        <d v="2026-03-01T00:00:00"/>
        <d v="2025-08-24T00:00:00"/>
        <d v="2026-02-18T00:00:00"/>
        <d v="2025-12-08T00:00:00"/>
        <d v="2025-09-14T00:00:00"/>
        <d v="2025-05-21T00:00:00"/>
        <d v="2025-11-08T00:00:00"/>
        <d v="2025-11-01T00:00:00"/>
        <d v="2025-10-06T00:00:00"/>
        <d v="2025-04-22T00:00:00"/>
        <d v="2025-07-05T00:00:00"/>
        <d v="2025-04-21T00:00:00"/>
        <d v="2025-10-25T00:00:00"/>
        <d v="2025-08-20T00:00:00"/>
        <d v="2025-12-21T00:00:00"/>
        <d v="2025-04-11T00:00:00"/>
        <d v="2025-09-28T00:00:00"/>
        <d v="2025-11-27T00:00:00"/>
        <d v="2026-02-14T00:00:00"/>
        <d v="2026-03-02T00:00:00"/>
        <d v="2025-12-04T00:00:00"/>
        <d v="2025-11-03T00:00:00"/>
        <d v="2025-10-31T00:00:00"/>
        <d v="2025-12-07T00:00:00"/>
        <d v="2026-01-25T00:00:00"/>
        <d v="2025-09-24T00:00:00"/>
        <d v="2025-05-18T00:00:00"/>
        <d v="2025-07-26T00:00:00"/>
        <d v="2026-03-28T00:00:00"/>
        <d v="2025-12-09T00:00:00"/>
        <d v="2026-02-09T00:00:00"/>
        <d v="2026-03-08T00:00:00"/>
        <d v="2025-09-21T00:00:00"/>
        <d v="2025-04-23T00:00:00"/>
        <d v="2026-03-25T00:00:00"/>
        <d v="2025-12-25T00:00:00"/>
        <d v="2025-11-05T00:00:00"/>
        <d v="2026-02-21T00:00:00"/>
        <d v="2025-10-22T00:00:00"/>
        <d v="2025-08-13T00:00:00"/>
        <d v="2026-03-15T00:00:00"/>
        <d v="2025-11-28T00:00:00"/>
        <d v="2026-04-01T00:00:00"/>
        <d v="2025-06-05T00:00:00"/>
        <d v="2025-06-21T00:00:00"/>
        <d v="2025-09-01T00:00:00"/>
        <d v="2025-10-21T00:00:00"/>
        <d v="2026-02-13T00:00:00"/>
        <d v="2025-09-02T00:00:00"/>
        <d v="2026-01-19T00:00:00"/>
        <d v="2025-04-17T00:00:00"/>
        <d v="2025-08-06T00:00:00"/>
        <d v="2026-03-24T00:00:00"/>
        <d v="2025-08-18T00:00:00"/>
        <d v="2025-07-03T00:00:00"/>
        <d v="2025-06-19T00:00:00"/>
        <d v="2026-02-10T00:00:00"/>
        <d v="2025-11-06T00:00:00"/>
        <d v="2025-11-11T00:00:00"/>
        <d v="2025-08-15T00:00:00"/>
        <d v="2025-09-06T00:00:00"/>
        <d v="2025-04-20T00:00:00"/>
        <d v="2025-12-05T00:00:00"/>
        <d v="2026-03-09T00:00:00"/>
        <d v="2025-06-30T00:00:00"/>
        <d v="2025-10-03T00:00:00"/>
        <d v="2026-04-07T00:00:00"/>
        <d v="2025-07-01T00:00:00"/>
        <d v="2025-07-20T00:00:00"/>
        <d v="2025-05-06T00:00:00"/>
        <d v="2025-11-20T00:00:00"/>
        <d v="2025-07-21T00:00:00"/>
        <d v="2025-04-27T00:00:00"/>
        <d v="2025-04-30T00:00:00"/>
        <d v="2026-01-24T00:00:00"/>
        <d v="2025-06-10T00:00:00"/>
        <d v="2025-05-11T00:00:00"/>
        <d v="2026-01-08T00:00:00"/>
        <d v="2026-02-24T00:00:00"/>
        <d v="2026-02-25T00:00:00"/>
        <d v="2025-04-28T00:00:00"/>
        <d v="2025-05-05T00:00:00"/>
        <d v="2025-07-28T00:00:00"/>
        <d v="2026-02-01T00:00:00"/>
        <d v="2025-04-10T00:00:00"/>
        <d v="2026-01-30T00:00:00"/>
        <d v="2025-08-19T00:00:00"/>
        <d v="2026-01-13T00:00:00"/>
        <d v="2025-11-16T00:00:00"/>
        <d v="2025-06-17T00:00:00"/>
        <d v="2025-10-12T00:00:00"/>
        <d v="2025-08-25T00:00:00"/>
        <d v="2025-10-28T00:00:00"/>
        <d v="2026-02-02T00:00:00"/>
        <d v="2025-11-23T00:00:00"/>
        <d v="2025-06-15T00:00:00"/>
        <d v="2025-10-16T00:00:00"/>
        <d v="2026-02-20T00:00:00"/>
        <d v="2025-11-15T00:00:00"/>
        <d v="2025-11-10T00:00:00"/>
        <d v="2025-07-17T00:00:00"/>
      </sharedItems>
      <fieldGroup par="28"/>
    </cacheField>
    <cacheField name="CustomerID" numFmtId="0">
      <sharedItems/>
    </cacheField>
    <cacheField name="CustomerName" numFmtId="0">
      <sharedItems/>
    </cacheField>
    <cacheField name="Gender" numFmtId="0">
      <sharedItems count="2">
        <s v="Female"/>
        <s v="Male"/>
      </sharedItems>
    </cacheField>
    <cacheField name="Age" numFmtId="0">
      <sharedItems containsSemiMixedTypes="0" containsString="0" containsNumber="1" containsInteger="1" minValue="18" maxValue="60"/>
    </cacheField>
    <cacheField name="Product" numFmtId="0">
      <sharedItems count="10">
        <s v="Headphones"/>
        <s v="Keyboard"/>
        <s v="Shoes"/>
        <s v="Backpack"/>
        <s v="Laptop"/>
        <s v="Camera"/>
        <s v="Phone"/>
        <s v="Watch"/>
        <s v="Tablet"/>
        <s v="Mouse"/>
      </sharedItems>
    </cacheField>
    <cacheField name="Category" numFmtId="0">
      <sharedItems count="3">
        <s v="Electronics"/>
        <s v="Fashion"/>
        <s v="Accessories"/>
      </sharedItems>
    </cacheField>
    <cacheField name="SubCategory" numFmtId="0">
      <sharedItems count="10">
        <s v="Headphones"/>
        <s v="Keyboard"/>
        <s v="Shoes"/>
        <s v="Backpack"/>
        <s v="Laptop"/>
        <s v="Camera"/>
        <s v="Phone"/>
        <s v="Watch"/>
        <s v="Tablet"/>
        <s v="Mouse"/>
      </sharedItems>
    </cacheField>
    <cacheField name="Brand" numFmtId="0">
      <sharedItems count="10">
        <s v="Sony"/>
        <s v="Boat"/>
        <s v="Dell"/>
        <s v="HP"/>
        <s v="Lenovo"/>
        <s v="Samsung"/>
        <s v="Nike"/>
        <s v="Apple"/>
        <s v="Noise"/>
        <s v="Adidas"/>
      </sharedItems>
    </cacheField>
    <cacheField name="Quantity" numFmtId="0">
      <sharedItems containsSemiMixedTypes="0" containsString="0" containsNumber="1" containsInteger="1" minValue="1" maxValue="5"/>
    </cacheField>
    <cacheField name="UnitPrice" numFmtId="0">
      <sharedItems containsSemiMixedTypes="0" containsString="0" containsNumber="1" containsInteger="1" minValue="528" maxValue="49982"/>
    </cacheField>
    <cacheField name="Discount" numFmtId="0">
      <sharedItems containsSemiMixedTypes="0" containsString="0" containsNumber="1" containsInteger="1" minValue="0" maxValue="20"/>
    </cacheField>
    <cacheField name="DiscountAmount" numFmtId="0">
      <sharedItems containsSemiMixedTypes="0" containsString="0" containsNumber="1" minValue="0" maxValue="49241"/>
    </cacheField>
    <cacheField name="Tax" numFmtId="0">
      <sharedItems containsSemiMixedTypes="0" containsString="0" containsNumber="1" minValue="104.58" maxValue="44473.5"/>
    </cacheField>
    <cacheField name="ShippingCost" numFmtId="0">
      <sharedItems containsSemiMixedTypes="0" containsString="0" containsNumber="1" containsInteger="1" minValue="0" maxValue="499"/>
    </cacheField>
    <cacheField name="TotalAmount" numFmtId="0">
      <sharedItems containsSemiMixedTypes="0" containsString="0" containsNumber="1" minValue="704.58" maxValue="291645.5"/>
    </cacheField>
    <cacheField name="PaymentMethod" numFmtId="0">
      <sharedItems count="4">
        <s v="Net Banking"/>
        <s v="Cash on Delivery"/>
        <s v="UPI"/>
        <s v="Card"/>
      </sharedItems>
    </cacheField>
    <cacheField name="OrderChannel" numFmtId="0">
      <sharedItems count="2">
        <s v="Website"/>
        <s v="Mobile App"/>
      </sharedItems>
    </cacheField>
    <cacheField name="City" numFmtId="0">
      <sharedItems/>
    </cacheField>
    <cacheField name="State" numFmtId="0">
      <sharedItems count="6">
        <s v="Maharashtra"/>
        <s v="Punjab"/>
        <s v="Rajasthan"/>
        <s v="Karnataka"/>
        <s v="Uttar Pradesh"/>
        <s v="Delhi"/>
      </sharedItems>
    </cacheField>
    <cacheField name="Region" numFmtId="0">
      <sharedItems count="3">
        <s v="West"/>
        <s v="North"/>
        <s v="South"/>
      </sharedItems>
    </cacheField>
    <cacheField name="DeliveryDays" numFmtId="0">
      <sharedItems containsSemiMixedTypes="0" containsString="0" containsNumber="1" containsInteger="1" minValue="1" maxValue="10" count="10">
        <n v="1"/>
        <n v="4"/>
        <n v="3"/>
        <n v="10"/>
        <n v="6"/>
        <n v="7"/>
        <n v="8"/>
        <n v="9"/>
        <n v="5"/>
        <n v="2"/>
      </sharedItems>
    </cacheField>
    <cacheField name="ReturnStatus" numFmtId="0">
      <sharedItems count="2">
        <s v="No Return"/>
        <s v="Returned"/>
      </sharedItems>
    </cacheField>
    <cacheField name="Rating" numFmtId="0">
      <sharedItems containsSemiMixedTypes="0" containsString="0" containsNumber="1" containsInteger="1" minValue="1" maxValue="5" count="5">
        <n v="1"/>
        <n v="4"/>
        <n v="2"/>
        <n v="3"/>
        <n v="5"/>
      </sharedItems>
    </cacheField>
    <cacheField name="Status" numFmtId="0">
      <sharedItems/>
    </cacheField>
    <cacheField name="Months (OrderDate)" numFmtId="0" databaseField="0">
      <fieldGroup base="1">
        <rangePr groupBy="months" startDate="2025-04-10T00:00:00" endDate="2026-04-10T00:00:00"/>
        <groupItems count="14">
          <s v="&lt;10-04-2025"/>
          <s v="Jan"/>
          <s v="Feb"/>
          <s v="Mar"/>
          <s v="Apr"/>
          <s v="May"/>
          <s v="Jun"/>
          <s v="Jul"/>
          <s v="Aug"/>
          <s v="Sep"/>
          <s v="Oct"/>
          <s v="Nov"/>
          <s v="Dec"/>
          <s v="&gt;10-04-2026"/>
        </groupItems>
      </fieldGroup>
    </cacheField>
    <cacheField name="Quarters (OrderDate)" numFmtId="0" databaseField="0">
      <fieldGroup base="1">
        <rangePr groupBy="quarters" startDate="2025-04-10T00:00:00" endDate="2026-04-10T00:00:00"/>
        <groupItems count="6">
          <s v="&lt;10-04-2025"/>
          <s v="Qtr1"/>
          <s v="Qtr2"/>
          <s v="Qtr3"/>
          <s v="Qtr4"/>
          <s v="&gt;10-04-2026"/>
        </groupItems>
      </fieldGroup>
    </cacheField>
    <cacheField name="Years (OrderDate)" numFmtId="0" databaseField="0">
      <fieldGroup base="1">
        <rangePr groupBy="years" startDate="2025-04-10T00:00:00" endDate="2026-04-10T00:00:00"/>
        <groupItems count="4">
          <s v="&lt;10-04-2025"/>
          <s v="2025"/>
          <s v="2026"/>
          <s v="&gt;10-04-2026"/>
        </groupItems>
      </fieldGroup>
    </cacheField>
  </cacheFields>
  <extLst>
    <ext xmlns:x14="http://schemas.microsoft.com/office/spreadsheetml/2009/9/main" uri="{725AE2AE-9491-48be-B2B4-4EB974FC3084}">
      <x14:pivotCacheDefinition pivotCacheId="1951942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x v="0"/>
    <s v="CUST883"/>
    <s v="Rahul"/>
    <x v="0"/>
    <n v="35"/>
    <x v="0"/>
    <x v="0"/>
    <x v="0"/>
    <x v="0"/>
    <n v="2"/>
    <n v="24446"/>
    <n v="5"/>
    <n v="2444.6"/>
    <n v="8360.5300000000007"/>
    <n v="310"/>
    <n v="55117.93"/>
    <x v="0"/>
    <x v="0"/>
    <s v="Mumbai"/>
    <x v="0"/>
    <x v="0"/>
    <x v="0"/>
    <x v="0"/>
    <x v="0"/>
    <s v="Delivered"/>
  </r>
  <r>
    <s v="ORD00002"/>
    <x v="1"/>
    <s v="CUST657"/>
    <s v="Neha"/>
    <x v="1"/>
    <n v="45"/>
    <x v="1"/>
    <x v="0"/>
    <x v="1"/>
    <x v="0"/>
    <n v="2"/>
    <n v="18047"/>
    <n v="20"/>
    <n v="7218.8"/>
    <n v="5197.54"/>
    <n v="363"/>
    <n v="34435.74"/>
    <x v="1"/>
    <x v="0"/>
    <s v="Pune"/>
    <x v="0"/>
    <x v="0"/>
    <x v="1"/>
    <x v="0"/>
    <x v="0"/>
    <s v="Returned"/>
  </r>
  <r>
    <s v="ORD00003"/>
    <x v="2"/>
    <s v="CUST546"/>
    <s v="Arjun"/>
    <x v="0"/>
    <n v="29"/>
    <x v="2"/>
    <x v="1"/>
    <x v="2"/>
    <x v="1"/>
    <n v="2"/>
    <n v="15876"/>
    <n v="5"/>
    <n v="1587.6"/>
    <n v="5429.59"/>
    <n v="156"/>
    <n v="35749.99"/>
    <x v="2"/>
    <x v="0"/>
    <s v="Chandigarh"/>
    <x v="1"/>
    <x v="1"/>
    <x v="2"/>
    <x v="0"/>
    <x v="1"/>
    <s v="Cancelled"/>
  </r>
  <r>
    <s v="ORD00004"/>
    <x v="3"/>
    <s v="CUST355"/>
    <s v="Priya"/>
    <x v="0"/>
    <n v="18"/>
    <x v="1"/>
    <x v="0"/>
    <x v="1"/>
    <x v="2"/>
    <n v="4"/>
    <n v="22930"/>
    <n v="15"/>
    <n v="13758"/>
    <n v="14033.16"/>
    <n v="264"/>
    <n v="92259.16"/>
    <x v="1"/>
    <x v="1"/>
    <s v="Chandigarh"/>
    <x v="1"/>
    <x v="1"/>
    <x v="3"/>
    <x v="0"/>
    <x v="2"/>
    <s v="Delivered"/>
  </r>
  <r>
    <s v="ORD00005"/>
    <x v="4"/>
    <s v="CUST595"/>
    <s v="Vikas"/>
    <x v="1"/>
    <n v="22"/>
    <x v="3"/>
    <x v="2"/>
    <x v="3"/>
    <x v="3"/>
    <n v="3"/>
    <n v="28947"/>
    <n v="10"/>
    <n v="8684.1"/>
    <n v="14068.24"/>
    <n v="398"/>
    <n v="92623.14"/>
    <x v="0"/>
    <x v="1"/>
    <s v="Patiala"/>
    <x v="1"/>
    <x v="1"/>
    <x v="4"/>
    <x v="0"/>
    <x v="2"/>
    <s v="Delivered"/>
  </r>
  <r>
    <s v="ORD00006"/>
    <x v="5"/>
    <s v="CUST587"/>
    <s v="Sneha"/>
    <x v="1"/>
    <n v="45"/>
    <x v="4"/>
    <x v="0"/>
    <x v="4"/>
    <x v="4"/>
    <n v="5"/>
    <n v="5222"/>
    <n v="10"/>
    <n v="2611"/>
    <n v="4229.82"/>
    <n v="392"/>
    <n v="28120.82"/>
    <x v="0"/>
    <x v="1"/>
    <s v="Jaipur"/>
    <x v="2"/>
    <x v="1"/>
    <x v="4"/>
    <x v="0"/>
    <x v="3"/>
    <s v="Delivered"/>
  </r>
  <r>
    <s v="ORD00007"/>
    <x v="6"/>
    <s v="CUST842"/>
    <s v="Amit"/>
    <x v="0"/>
    <n v="42"/>
    <x v="0"/>
    <x v="0"/>
    <x v="0"/>
    <x v="2"/>
    <n v="3"/>
    <n v="47976"/>
    <n v="10"/>
    <n v="14392.8"/>
    <n v="23316.34"/>
    <n v="272"/>
    <n v="153123.54"/>
    <x v="1"/>
    <x v="1"/>
    <s v="Mumbai"/>
    <x v="0"/>
    <x v="0"/>
    <x v="5"/>
    <x v="1"/>
    <x v="0"/>
    <s v="Returned"/>
  </r>
  <r>
    <s v="ORD00008"/>
    <x v="7"/>
    <s v="CUST666"/>
    <s v="Arjun"/>
    <x v="1"/>
    <n v="28"/>
    <x v="1"/>
    <x v="0"/>
    <x v="1"/>
    <x v="3"/>
    <n v="1"/>
    <n v="15216"/>
    <n v="10"/>
    <n v="1521.6"/>
    <n v="2464.9899999999998"/>
    <n v="366"/>
    <n v="16525.39"/>
    <x v="3"/>
    <x v="0"/>
    <s v="Bangalore"/>
    <x v="3"/>
    <x v="2"/>
    <x v="2"/>
    <x v="0"/>
    <x v="1"/>
    <s v="Returned"/>
  </r>
  <r>
    <s v="ORD00009"/>
    <x v="8"/>
    <s v="CUST794"/>
    <s v="Karan"/>
    <x v="1"/>
    <n v="52"/>
    <x v="5"/>
    <x v="0"/>
    <x v="5"/>
    <x v="4"/>
    <n v="3"/>
    <n v="39902"/>
    <n v="0"/>
    <n v="0"/>
    <n v="21547.08"/>
    <n v="82"/>
    <n v="141335.07999999999"/>
    <x v="2"/>
    <x v="0"/>
    <s v="Bangalore"/>
    <x v="3"/>
    <x v="2"/>
    <x v="6"/>
    <x v="0"/>
    <x v="1"/>
    <s v="Shipped"/>
  </r>
  <r>
    <s v="ORD00010"/>
    <x v="9"/>
    <s v="CUST126"/>
    <s v="Karan"/>
    <x v="0"/>
    <n v="32"/>
    <x v="6"/>
    <x v="0"/>
    <x v="6"/>
    <x v="0"/>
    <n v="5"/>
    <n v="20474"/>
    <n v="5"/>
    <n v="5118.5"/>
    <n v="17505.27"/>
    <n v="217"/>
    <n v="114973.77"/>
    <x v="3"/>
    <x v="1"/>
    <s v="Lucknow"/>
    <x v="4"/>
    <x v="1"/>
    <x v="5"/>
    <x v="0"/>
    <x v="4"/>
    <s v="Shipped"/>
  </r>
  <r>
    <s v="ORD00011"/>
    <x v="10"/>
    <s v="CUST244"/>
    <s v="Amit"/>
    <x v="1"/>
    <n v="22"/>
    <x v="7"/>
    <x v="1"/>
    <x v="7"/>
    <x v="2"/>
    <n v="5"/>
    <n v="33495"/>
    <n v="0"/>
    <n v="0"/>
    <n v="30145.5"/>
    <n v="336"/>
    <n v="197956.5"/>
    <x v="3"/>
    <x v="0"/>
    <s v="Bangalore"/>
    <x v="3"/>
    <x v="2"/>
    <x v="3"/>
    <x v="0"/>
    <x v="1"/>
    <s v="Returned"/>
  </r>
  <r>
    <s v="ORD00012"/>
    <x v="11"/>
    <s v="CUST221"/>
    <s v="Arjun"/>
    <x v="0"/>
    <n v="58"/>
    <x v="0"/>
    <x v="0"/>
    <x v="0"/>
    <x v="5"/>
    <n v="5"/>
    <n v="28508"/>
    <n v="0"/>
    <n v="0"/>
    <n v="25657.200000000001"/>
    <n v="8"/>
    <n v="168205.2"/>
    <x v="0"/>
    <x v="0"/>
    <s v="Delhi"/>
    <x v="5"/>
    <x v="1"/>
    <x v="1"/>
    <x v="1"/>
    <x v="0"/>
    <s v="Returned"/>
  </r>
  <r>
    <s v="ORD00013"/>
    <x v="12"/>
    <s v="CUST100"/>
    <s v="Vikas"/>
    <x v="0"/>
    <n v="25"/>
    <x v="6"/>
    <x v="0"/>
    <x v="6"/>
    <x v="3"/>
    <n v="3"/>
    <n v="25199"/>
    <n v="10"/>
    <n v="7559.7"/>
    <n v="12246.71"/>
    <n v="373"/>
    <n v="80657.009999999995"/>
    <x v="2"/>
    <x v="1"/>
    <s v="Lucknow"/>
    <x v="4"/>
    <x v="1"/>
    <x v="4"/>
    <x v="0"/>
    <x v="1"/>
    <s v="Returned"/>
  </r>
  <r>
    <s v="ORD00014"/>
    <x v="13"/>
    <s v="CUST256"/>
    <s v="Anjali"/>
    <x v="0"/>
    <n v="22"/>
    <x v="2"/>
    <x v="1"/>
    <x v="2"/>
    <x v="2"/>
    <n v="3"/>
    <n v="528"/>
    <n v="5"/>
    <n v="79.2"/>
    <n v="270.86"/>
    <n v="489"/>
    <n v="2264.66"/>
    <x v="3"/>
    <x v="1"/>
    <s v="Jaipur"/>
    <x v="2"/>
    <x v="1"/>
    <x v="5"/>
    <x v="1"/>
    <x v="4"/>
    <s v="Delivered"/>
  </r>
  <r>
    <s v="ORD00015"/>
    <x v="14"/>
    <s v="CUST217"/>
    <s v="Riya"/>
    <x v="1"/>
    <n v="19"/>
    <x v="0"/>
    <x v="0"/>
    <x v="0"/>
    <x v="6"/>
    <n v="2"/>
    <n v="4978"/>
    <n v="10"/>
    <n v="995.6"/>
    <n v="1612.87"/>
    <n v="228"/>
    <n v="10801.27"/>
    <x v="0"/>
    <x v="1"/>
    <s v="Jaipur"/>
    <x v="2"/>
    <x v="1"/>
    <x v="6"/>
    <x v="1"/>
    <x v="3"/>
    <s v="Shipped"/>
  </r>
  <r>
    <s v="ORD00016"/>
    <x v="15"/>
    <s v="CUST814"/>
    <s v="Anjali"/>
    <x v="1"/>
    <n v="51"/>
    <x v="4"/>
    <x v="0"/>
    <x v="4"/>
    <x v="5"/>
    <n v="5"/>
    <n v="46989"/>
    <n v="10"/>
    <n v="23494.5"/>
    <n v="38061.089999999997"/>
    <n v="201"/>
    <n v="249712.59"/>
    <x v="2"/>
    <x v="0"/>
    <s v="Bangalore"/>
    <x v="3"/>
    <x v="2"/>
    <x v="7"/>
    <x v="1"/>
    <x v="1"/>
    <s v="Delivered"/>
  </r>
  <r>
    <s v="ORD00017"/>
    <x v="16"/>
    <s v="CUST829"/>
    <s v="Riya"/>
    <x v="0"/>
    <n v="31"/>
    <x v="3"/>
    <x v="2"/>
    <x v="3"/>
    <x v="3"/>
    <n v="1"/>
    <n v="48667"/>
    <n v="5"/>
    <n v="2433.35"/>
    <n v="8322.06"/>
    <n v="58"/>
    <n v="54613.71"/>
    <x v="3"/>
    <x v="1"/>
    <s v="Bangalore"/>
    <x v="3"/>
    <x v="2"/>
    <x v="0"/>
    <x v="1"/>
    <x v="2"/>
    <s v="Shipped"/>
  </r>
  <r>
    <s v="ORD00018"/>
    <x v="17"/>
    <s v="CUST196"/>
    <s v="Vikas"/>
    <x v="0"/>
    <n v="31"/>
    <x v="6"/>
    <x v="0"/>
    <x v="6"/>
    <x v="1"/>
    <n v="3"/>
    <n v="33636"/>
    <n v="10"/>
    <n v="10090.799999999999"/>
    <n v="16347.1"/>
    <n v="272"/>
    <n v="107436.3"/>
    <x v="3"/>
    <x v="0"/>
    <s v="Jaipur"/>
    <x v="2"/>
    <x v="1"/>
    <x v="0"/>
    <x v="0"/>
    <x v="3"/>
    <s v="Delivered"/>
  </r>
  <r>
    <s v="ORD00019"/>
    <x v="18"/>
    <s v="CUST776"/>
    <s v="Vikas"/>
    <x v="1"/>
    <n v="55"/>
    <x v="2"/>
    <x v="1"/>
    <x v="2"/>
    <x v="1"/>
    <n v="3"/>
    <n v="40213"/>
    <n v="15"/>
    <n v="18095.849999999999"/>
    <n v="18457.77"/>
    <n v="371"/>
    <n v="121371.92"/>
    <x v="0"/>
    <x v="0"/>
    <s v="Chandigarh"/>
    <x v="1"/>
    <x v="1"/>
    <x v="4"/>
    <x v="1"/>
    <x v="1"/>
    <s v="Returned"/>
  </r>
  <r>
    <s v="ORD00020"/>
    <x v="19"/>
    <s v="CUST822"/>
    <s v="Riya"/>
    <x v="0"/>
    <n v="36"/>
    <x v="2"/>
    <x v="1"/>
    <x v="2"/>
    <x v="5"/>
    <n v="4"/>
    <n v="7214"/>
    <n v="5"/>
    <n v="1442.8"/>
    <n v="4934.38"/>
    <n v="443"/>
    <n v="32790.58"/>
    <x v="0"/>
    <x v="1"/>
    <s v="Lucknow"/>
    <x v="4"/>
    <x v="1"/>
    <x v="7"/>
    <x v="0"/>
    <x v="4"/>
    <s v="Returned"/>
  </r>
  <r>
    <s v="ORD00021"/>
    <x v="20"/>
    <s v="CUST383"/>
    <s v="Riya"/>
    <x v="1"/>
    <n v="54"/>
    <x v="0"/>
    <x v="0"/>
    <x v="0"/>
    <x v="7"/>
    <n v="2"/>
    <n v="33517"/>
    <n v="0"/>
    <n v="0"/>
    <n v="12066.12"/>
    <n v="341"/>
    <n v="79441.119999999995"/>
    <x v="3"/>
    <x v="1"/>
    <s v="Jaipur"/>
    <x v="2"/>
    <x v="1"/>
    <x v="8"/>
    <x v="1"/>
    <x v="3"/>
    <s v="Cancelled"/>
  </r>
  <r>
    <s v="ORD00022"/>
    <x v="21"/>
    <s v="CUST330"/>
    <s v="Priya"/>
    <x v="0"/>
    <n v="45"/>
    <x v="3"/>
    <x v="2"/>
    <x v="3"/>
    <x v="5"/>
    <n v="1"/>
    <n v="29256"/>
    <n v="15"/>
    <n v="4388.3999999999996"/>
    <n v="4476.17"/>
    <n v="37"/>
    <n v="29380.77"/>
    <x v="3"/>
    <x v="1"/>
    <s v="Lucknow"/>
    <x v="4"/>
    <x v="1"/>
    <x v="7"/>
    <x v="0"/>
    <x v="1"/>
    <s v="Cancelled"/>
  </r>
  <r>
    <s v="ORD00023"/>
    <x v="22"/>
    <s v="CUST478"/>
    <s v="Vikas"/>
    <x v="0"/>
    <n v="31"/>
    <x v="1"/>
    <x v="0"/>
    <x v="1"/>
    <x v="3"/>
    <n v="1"/>
    <n v="36299"/>
    <n v="10"/>
    <n v="3629.9"/>
    <n v="5880.44"/>
    <n v="385"/>
    <n v="38934.54"/>
    <x v="2"/>
    <x v="0"/>
    <s v="Pune"/>
    <x v="0"/>
    <x v="0"/>
    <x v="0"/>
    <x v="0"/>
    <x v="0"/>
    <s v="Cancelled"/>
  </r>
  <r>
    <s v="ORD00024"/>
    <x v="23"/>
    <s v="CUST158"/>
    <s v="Amit"/>
    <x v="1"/>
    <n v="56"/>
    <x v="4"/>
    <x v="0"/>
    <x v="4"/>
    <x v="1"/>
    <n v="3"/>
    <n v="24675"/>
    <n v="15"/>
    <n v="11103.75"/>
    <n v="11325.82"/>
    <n v="294"/>
    <n v="74541.070000000007"/>
    <x v="3"/>
    <x v="1"/>
    <s v="Lucknow"/>
    <x v="4"/>
    <x v="1"/>
    <x v="1"/>
    <x v="0"/>
    <x v="1"/>
    <s v="Delivered"/>
  </r>
  <r>
    <s v="ORD00025"/>
    <x v="24"/>
    <s v="CUST442"/>
    <s v="Anjali"/>
    <x v="0"/>
    <n v="30"/>
    <x v="8"/>
    <x v="0"/>
    <x v="8"/>
    <x v="7"/>
    <n v="5"/>
    <n v="1082"/>
    <n v="20"/>
    <n v="1082"/>
    <n v="779.04"/>
    <n v="274"/>
    <n v="5381.04"/>
    <x v="1"/>
    <x v="0"/>
    <s v="Mumbai"/>
    <x v="0"/>
    <x v="0"/>
    <x v="9"/>
    <x v="0"/>
    <x v="2"/>
    <s v="Shipped"/>
  </r>
  <r>
    <s v="ORD00026"/>
    <x v="25"/>
    <s v="CUST924"/>
    <s v="Sneha"/>
    <x v="1"/>
    <n v="48"/>
    <x v="0"/>
    <x v="0"/>
    <x v="0"/>
    <x v="5"/>
    <n v="2"/>
    <n v="971"/>
    <n v="20"/>
    <n v="388.4"/>
    <n v="279.64999999999998"/>
    <n v="249"/>
    <n v="2082.25"/>
    <x v="3"/>
    <x v="1"/>
    <s v="Mumbai"/>
    <x v="0"/>
    <x v="0"/>
    <x v="5"/>
    <x v="0"/>
    <x v="2"/>
    <s v="Delivered"/>
  </r>
  <r>
    <s v="ORD00027"/>
    <x v="26"/>
    <s v="CUST380"/>
    <s v="Riya"/>
    <x v="0"/>
    <n v="43"/>
    <x v="9"/>
    <x v="0"/>
    <x v="9"/>
    <x v="1"/>
    <n v="2"/>
    <n v="12340"/>
    <n v="10"/>
    <n v="2468"/>
    <n v="3998.16"/>
    <n v="380"/>
    <n v="26590.16"/>
    <x v="2"/>
    <x v="1"/>
    <s v="Jaipur"/>
    <x v="2"/>
    <x v="1"/>
    <x v="2"/>
    <x v="0"/>
    <x v="0"/>
    <s v="Delivered"/>
  </r>
  <r>
    <s v="ORD00028"/>
    <x v="27"/>
    <s v="CUST512"/>
    <s v="Arjun"/>
    <x v="0"/>
    <n v="44"/>
    <x v="6"/>
    <x v="0"/>
    <x v="6"/>
    <x v="7"/>
    <n v="4"/>
    <n v="3291"/>
    <n v="5"/>
    <n v="658.2"/>
    <n v="2251.04"/>
    <n v="242"/>
    <n v="14998.84"/>
    <x v="0"/>
    <x v="1"/>
    <s v="Jaipur"/>
    <x v="2"/>
    <x v="1"/>
    <x v="0"/>
    <x v="0"/>
    <x v="3"/>
    <s v="Returned"/>
  </r>
  <r>
    <s v="ORD00029"/>
    <x v="28"/>
    <s v="CUST349"/>
    <s v="Rahul"/>
    <x v="1"/>
    <n v="19"/>
    <x v="8"/>
    <x v="0"/>
    <x v="8"/>
    <x v="7"/>
    <n v="3"/>
    <n v="44392"/>
    <n v="0"/>
    <n v="0"/>
    <n v="23971.68"/>
    <n v="464"/>
    <n v="157611.68"/>
    <x v="0"/>
    <x v="0"/>
    <s v="Pune"/>
    <x v="0"/>
    <x v="0"/>
    <x v="7"/>
    <x v="1"/>
    <x v="2"/>
    <s v="Cancelled"/>
  </r>
  <r>
    <s v="ORD00030"/>
    <x v="29"/>
    <s v="CUST583"/>
    <s v="Riya"/>
    <x v="1"/>
    <n v="59"/>
    <x v="6"/>
    <x v="0"/>
    <x v="6"/>
    <x v="3"/>
    <n v="2"/>
    <n v="40547"/>
    <n v="20"/>
    <n v="16218.8"/>
    <n v="11677.54"/>
    <n v="177"/>
    <n v="76729.740000000005"/>
    <x v="1"/>
    <x v="0"/>
    <s v="Lucknow"/>
    <x v="4"/>
    <x v="1"/>
    <x v="9"/>
    <x v="1"/>
    <x v="3"/>
    <s v="Cancelled"/>
  </r>
  <r>
    <s v="ORD00031"/>
    <x v="30"/>
    <s v="CUST279"/>
    <s v="Karan"/>
    <x v="0"/>
    <n v="60"/>
    <x v="0"/>
    <x v="0"/>
    <x v="0"/>
    <x v="1"/>
    <n v="5"/>
    <n v="31394"/>
    <n v="0"/>
    <n v="0"/>
    <n v="28254.6"/>
    <n v="446"/>
    <n v="185670.6"/>
    <x v="1"/>
    <x v="0"/>
    <s v="Bangalore"/>
    <x v="3"/>
    <x v="2"/>
    <x v="2"/>
    <x v="0"/>
    <x v="2"/>
    <s v="Cancelled"/>
  </r>
  <r>
    <s v="ORD00032"/>
    <x v="31"/>
    <s v="CUST354"/>
    <s v="Karan"/>
    <x v="0"/>
    <n v="57"/>
    <x v="5"/>
    <x v="0"/>
    <x v="5"/>
    <x v="8"/>
    <n v="2"/>
    <n v="35379"/>
    <n v="0"/>
    <n v="0"/>
    <n v="12736.44"/>
    <n v="53"/>
    <n v="83547.44"/>
    <x v="2"/>
    <x v="1"/>
    <s v="Pune"/>
    <x v="0"/>
    <x v="0"/>
    <x v="1"/>
    <x v="0"/>
    <x v="1"/>
    <s v="Cancelled"/>
  </r>
  <r>
    <s v="ORD00033"/>
    <x v="32"/>
    <s v="CUST837"/>
    <s v="Karan"/>
    <x v="0"/>
    <n v="54"/>
    <x v="2"/>
    <x v="1"/>
    <x v="2"/>
    <x v="2"/>
    <n v="1"/>
    <n v="35566"/>
    <n v="20"/>
    <n v="7113.2"/>
    <n v="5121.5"/>
    <n v="467"/>
    <n v="34041.300000000003"/>
    <x v="1"/>
    <x v="0"/>
    <s v="Bangalore"/>
    <x v="3"/>
    <x v="2"/>
    <x v="8"/>
    <x v="0"/>
    <x v="2"/>
    <s v="Delivered"/>
  </r>
  <r>
    <s v="ORD00034"/>
    <x v="33"/>
    <s v="CUST450"/>
    <s v="Vikas"/>
    <x v="1"/>
    <n v="47"/>
    <x v="5"/>
    <x v="0"/>
    <x v="5"/>
    <x v="8"/>
    <n v="1"/>
    <n v="20264"/>
    <n v="15"/>
    <n v="3039.6"/>
    <n v="3100.39"/>
    <n v="365"/>
    <n v="20689.79"/>
    <x v="0"/>
    <x v="0"/>
    <s v="Delhi"/>
    <x v="5"/>
    <x v="1"/>
    <x v="3"/>
    <x v="1"/>
    <x v="2"/>
    <s v="Shipped"/>
  </r>
  <r>
    <s v="ORD00035"/>
    <x v="34"/>
    <s v="CUST697"/>
    <s v="Priya"/>
    <x v="1"/>
    <n v="37"/>
    <x v="1"/>
    <x v="0"/>
    <x v="1"/>
    <x v="7"/>
    <n v="3"/>
    <n v="32124"/>
    <n v="5"/>
    <n v="4818.6000000000004"/>
    <n v="16479.61"/>
    <n v="285"/>
    <n v="108318.01"/>
    <x v="0"/>
    <x v="0"/>
    <s v="Delhi"/>
    <x v="5"/>
    <x v="1"/>
    <x v="7"/>
    <x v="0"/>
    <x v="2"/>
    <s v="Shipped"/>
  </r>
  <r>
    <s v="ORD00036"/>
    <x v="35"/>
    <s v="CUST292"/>
    <s v="Karan"/>
    <x v="0"/>
    <n v="53"/>
    <x v="2"/>
    <x v="1"/>
    <x v="2"/>
    <x v="8"/>
    <n v="5"/>
    <n v="18427"/>
    <n v="5"/>
    <n v="4606.75"/>
    <n v="15755.08"/>
    <n v="210"/>
    <n v="103493.33"/>
    <x v="2"/>
    <x v="0"/>
    <s v="Bangalore"/>
    <x v="3"/>
    <x v="2"/>
    <x v="7"/>
    <x v="1"/>
    <x v="2"/>
    <s v="Returned"/>
  </r>
  <r>
    <s v="ORD00037"/>
    <x v="36"/>
    <s v="CUST537"/>
    <s v="Rahul"/>
    <x v="1"/>
    <n v="57"/>
    <x v="7"/>
    <x v="1"/>
    <x v="7"/>
    <x v="6"/>
    <n v="5"/>
    <n v="43320"/>
    <n v="10"/>
    <n v="21660"/>
    <n v="35089.199999999997"/>
    <n v="103"/>
    <n v="230132.2"/>
    <x v="2"/>
    <x v="1"/>
    <s v="Jaipur"/>
    <x v="2"/>
    <x v="1"/>
    <x v="8"/>
    <x v="0"/>
    <x v="4"/>
    <s v="Returned"/>
  </r>
  <r>
    <s v="ORD00038"/>
    <x v="37"/>
    <s v="CUST800"/>
    <s v="Riya"/>
    <x v="0"/>
    <n v="52"/>
    <x v="0"/>
    <x v="0"/>
    <x v="0"/>
    <x v="8"/>
    <n v="2"/>
    <n v="2134"/>
    <n v="0"/>
    <n v="0"/>
    <n v="768.24"/>
    <n v="266"/>
    <n v="5302.24"/>
    <x v="3"/>
    <x v="1"/>
    <s v="Mumbai"/>
    <x v="0"/>
    <x v="0"/>
    <x v="3"/>
    <x v="0"/>
    <x v="2"/>
    <s v="Cancelled"/>
  </r>
  <r>
    <s v="ORD00039"/>
    <x v="38"/>
    <s v="CUST563"/>
    <s v="Amit"/>
    <x v="0"/>
    <n v="50"/>
    <x v="2"/>
    <x v="1"/>
    <x v="2"/>
    <x v="5"/>
    <n v="2"/>
    <n v="46564"/>
    <n v="0"/>
    <n v="0"/>
    <n v="16763.04"/>
    <n v="299"/>
    <n v="110190.04"/>
    <x v="2"/>
    <x v="0"/>
    <s v="Pune"/>
    <x v="0"/>
    <x v="0"/>
    <x v="3"/>
    <x v="0"/>
    <x v="3"/>
    <s v="Cancelled"/>
  </r>
  <r>
    <s v="ORD00040"/>
    <x v="39"/>
    <s v="CUST723"/>
    <s v="Vikas"/>
    <x v="0"/>
    <n v="50"/>
    <x v="1"/>
    <x v="0"/>
    <x v="1"/>
    <x v="3"/>
    <n v="1"/>
    <n v="18376"/>
    <n v="15"/>
    <n v="2756.4"/>
    <n v="2811.53"/>
    <n v="486"/>
    <n v="18917.13"/>
    <x v="0"/>
    <x v="0"/>
    <s v="Patiala"/>
    <x v="1"/>
    <x v="1"/>
    <x v="1"/>
    <x v="0"/>
    <x v="2"/>
    <s v="Shipped"/>
  </r>
  <r>
    <s v="ORD00041"/>
    <x v="40"/>
    <s v="CUST427"/>
    <s v="Priya"/>
    <x v="0"/>
    <n v="31"/>
    <x v="4"/>
    <x v="0"/>
    <x v="4"/>
    <x v="7"/>
    <n v="4"/>
    <n v="27754"/>
    <n v="20"/>
    <n v="22203.200000000001"/>
    <n v="15986.3"/>
    <n v="275"/>
    <n v="105074.1"/>
    <x v="1"/>
    <x v="0"/>
    <s v="Jaipur"/>
    <x v="2"/>
    <x v="1"/>
    <x v="7"/>
    <x v="0"/>
    <x v="3"/>
    <s v="Cancelled"/>
  </r>
  <r>
    <s v="ORD00042"/>
    <x v="41"/>
    <s v="CUST496"/>
    <s v="Anjali"/>
    <x v="0"/>
    <n v="48"/>
    <x v="2"/>
    <x v="1"/>
    <x v="2"/>
    <x v="2"/>
    <n v="1"/>
    <n v="13832"/>
    <n v="5"/>
    <n v="691.6"/>
    <n v="2365.27"/>
    <n v="391"/>
    <n v="15896.67"/>
    <x v="2"/>
    <x v="0"/>
    <s v="Chandigarh"/>
    <x v="1"/>
    <x v="1"/>
    <x v="5"/>
    <x v="0"/>
    <x v="2"/>
    <s v="Delivered"/>
  </r>
  <r>
    <s v="ORD00043"/>
    <x v="42"/>
    <s v="CUST930"/>
    <s v="Priya"/>
    <x v="1"/>
    <n v="57"/>
    <x v="9"/>
    <x v="0"/>
    <x v="9"/>
    <x v="6"/>
    <n v="2"/>
    <n v="48320"/>
    <n v="0"/>
    <n v="0"/>
    <n v="17395.2"/>
    <n v="415"/>
    <n v="114450.2"/>
    <x v="3"/>
    <x v="0"/>
    <s v="Chandigarh"/>
    <x v="1"/>
    <x v="1"/>
    <x v="0"/>
    <x v="1"/>
    <x v="1"/>
    <s v="Delivered"/>
  </r>
  <r>
    <s v="ORD00044"/>
    <x v="20"/>
    <s v="CUST320"/>
    <s v="Arjun"/>
    <x v="1"/>
    <n v="35"/>
    <x v="5"/>
    <x v="0"/>
    <x v="5"/>
    <x v="5"/>
    <n v="1"/>
    <n v="2598"/>
    <n v="5"/>
    <n v="129.9"/>
    <n v="444.26"/>
    <n v="414"/>
    <n v="3326.36"/>
    <x v="1"/>
    <x v="0"/>
    <s v="Lucknow"/>
    <x v="4"/>
    <x v="1"/>
    <x v="5"/>
    <x v="1"/>
    <x v="2"/>
    <s v="Shipped"/>
  </r>
  <r>
    <s v="ORD00045"/>
    <x v="16"/>
    <s v="CUST558"/>
    <s v="Rahul"/>
    <x v="0"/>
    <n v="27"/>
    <x v="1"/>
    <x v="0"/>
    <x v="1"/>
    <x v="1"/>
    <n v="4"/>
    <n v="46065"/>
    <n v="10"/>
    <n v="18426"/>
    <n v="29850.12"/>
    <n v="96"/>
    <n v="195780.12"/>
    <x v="2"/>
    <x v="1"/>
    <s v="Chandigarh"/>
    <x v="1"/>
    <x v="1"/>
    <x v="8"/>
    <x v="1"/>
    <x v="0"/>
    <s v="Shipped"/>
  </r>
  <r>
    <s v="ORD00046"/>
    <x v="43"/>
    <s v="CUST991"/>
    <s v="Vikas"/>
    <x v="1"/>
    <n v="57"/>
    <x v="7"/>
    <x v="1"/>
    <x v="7"/>
    <x v="0"/>
    <n v="2"/>
    <n v="33957"/>
    <n v="15"/>
    <n v="10187.1"/>
    <n v="10390.84"/>
    <n v="493"/>
    <n v="68610.740000000005"/>
    <x v="3"/>
    <x v="1"/>
    <s v="Mumbai"/>
    <x v="0"/>
    <x v="0"/>
    <x v="7"/>
    <x v="0"/>
    <x v="0"/>
    <s v="Delivered"/>
  </r>
  <r>
    <s v="ORD00047"/>
    <x v="44"/>
    <s v="CUST863"/>
    <s v="Anjali"/>
    <x v="1"/>
    <n v="31"/>
    <x v="6"/>
    <x v="0"/>
    <x v="6"/>
    <x v="1"/>
    <n v="4"/>
    <n v="34160"/>
    <n v="10"/>
    <n v="13664"/>
    <n v="22135.68"/>
    <n v="174"/>
    <n v="145285.68"/>
    <x v="2"/>
    <x v="1"/>
    <s v="Pune"/>
    <x v="0"/>
    <x v="0"/>
    <x v="4"/>
    <x v="0"/>
    <x v="3"/>
    <s v="Returned"/>
  </r>
  <r>
    <s v="ORD00048"/>
    <x v="2"/>
    <s v="CUST846"/>
    <s v="Priya"/>
    <x v="1"/>
    <n v="37"/>
    <x v="6"/>
    <x v="0"/>
    <x v="6"/>
    <x v="3"/>
    <n v="2"/>
    <n v="18482"/>
    <n v="15"/>
    <n v="5544.6"/>
    <n v="5655.49"/>
    <n v="78"/>
    <n v="37152.89"/>
    <x v="0"/>
    <x v="0"/>
    <s v="Lucknow"/>
    <x v="4"/>
    <x v="1"/>
    <x v="8"/>
    <x v="0"/>
    <x v="3"/>
    <s v="Shipped"/>
  </r>
  <r>
    <s v="ORD00049"/>
    <x v="45"/>
    <s v="CUST434"/>
    <s v="Neha"/>
    <x v="1"/>
    <n v="55"/>
    <x v="1"/>
    <x v="0"/>
    <x v="1"/>
    <x v="5"/>
    <n v="2"/>
    <n v="40666"/>
    <n v="10"/>
    <n v="8133.2"/>
    <n v="13175.78"/>
    <n v="334"/>
    <n v="86708.58"/>
    <x v="1"/>
    <x v="1"/>
    <s v="Patiala"/>
    <x v="1"/>
    <x v="1"/>
    <x v="6"/>
    <x v="1"/>
    <x v="4"/>
    <s v="Returned"/>
  </r>
  <r>
    <s v="ORD00050"/>
    <x v="46"/>
    <s v="CUST837"/>
    <s v="Amit"/>
    <x v="1"/>
    <n v="42"/>
    <x v="4"/>
    <x v="0"/>
    <x v="4"/>
    <x v="7"/>
    <n v="4"/>
    <n v="2535"/>
    <n v="5"/>
    <n v="507"/>
    <n v="1733.94"/>
    <n v="49"/>
    <n v="11415.94"/>
    <x v="2"/>
    <x v="0"/>
    <s v="Jaipur"/>
    <x v="2"/>
    <x v="1"/>
    <x v="2"/>
    <x v="1"/>
    <x v="0"/>
    <s v="Delivered"/>
  </r>
  <r>
    <s v="ORD00051"/>
    <x v="47"/>
    <s v="CUST678"/>
    <s v="Vikas"/>
    <x v="0"/>
    <n v="35"/>
    <x v="5"/>
    <x v="0"/>
    <x v="5"/>
    <x v="8"/>
    <n v="3"/>
    <n v="41574"/>
    <n v="20"/>
    <n v="24944.400000000001"/>
    <n v="17959.97"/>
    <n v="206"/>
    <n v="117943.57"/>
    <x v="1"/>
    <x v="0"/>
    <s v="Mumbai"/>
    <x v="0"/>
    <x v="0"/>
    <x v="3"/>
    <x v="0"/>
    <x v="3"/>
    <s v="Returned"/>
  </r>
  <r>
    <s v="ORD00052"/>
    <x v="9"/>
    <s v="CUST809"/>
    <s v="Neha"/>
    <x v="1"/>
    <n v="28"/>
    <x v="4"/>
    <x v="0"/>
    <x v="4"/>
    <x v="5"/>
    <n v="3"/>
    <n v="33177"/>
    <n v="5"/>
    <n v="4976.55"/>
    <n v="17019.8"/>
    <n v="56"/>
    <n v="111630.25"/>
    <x v="3"/>
    <x v="1"/>
    <s v="Mumbai"/>
    <x v="0"/>
    <x v="0"/>
    <x v="2"/>
    <x v="1"/>
    <x v="3"/>
    <s v="Cancelled"/>
  </r>
  <r>
    <s v="ORD00053"/>
    <x v="20"/>
    <s v="CUST615"/>
    <s v="Neha"/>
    <x v="1"/>
    <n v="47"/>
    <x v="4"/>
    <x v="0"/>
    <x v="4"/>
    <x v="8"/>
    <n v="5"/>
    <n v="1762"/>
    <n v="20"/>
    <n v="1762"/>
    <n v="1268.6400000000001"/>
    <n v="27"/>
    <n v="8343.64"/>
    <x v="0"/>
    <x v="1"/>
    <s v="Chandigarh"/>
    <x v="1"/>
    <x v="1"/>
    <x v="1"/>
    <x v="0"/>
    <x v="3"/>
    <s v="Returned"/>
  </r>
  <r>
    <s v="ORD00054"/>
    <x v="48"/>
    <s v="CUST986"/>
    <s v="Sneha"/>
    <x v="1"/>
    <n v="47"/>
    <x v="6"/>
    <x v="0"/>
    <x v="6"/>
    <x v="2"/>
    <n v="2"/>
    <n v="16428"/>
    <n v="20"/>
    <n v="6571.2"/>
    <n v="4731.26"/>
    <n v="94"/>
    <n v="31110.06"/>
    <x v="1"/>
    <x v="1"/>
    <s v="Delhi"/>
    <x v="5"/>
    <x v="1"/>
    <x v="0"/>
    <x v="0"/>
    <x v="1"/>
    <s v="Delivered"/>
  </r>
  <r>
    <s v="ORD00055"/>
    <x v="49"/>
    <s v="CUST622"/>
    <s v="Arjun"/>
    <x v="0"/>
    <n v="27"/>
    <x v="6"/>
    <x v="0"/>
    <x v="6"/>
    <x v="6"/>
    <n v="3"/>
    <n v="17615"/>
    <n v="0"/>
    <n v="0"/>
    <n v="9512.1"/>
    <n v="128"/>
    <n v="62485.1"/>
    <x v="0"/>
    <x v="0"/>
    <s v="Patiala"/>
    <x v="1"/>
    <x v="1"/>
    <x v="8"/>
    <x v="0"/>
    <x v="1"/>
    <s v="Cancelled"/>
  </r>
  <r>
    <s v="ORD00056"/>
    <x v="50"/>
    <s v="CUST279"/>
    <s v="Amit"/>
    <x v="0"/>
    <n v="50"/>
    <x v="7"/>
    <x v="1"/>
    <x v="7"/>
    <x v="0"/>
    <n v="2"/>
    <n v="18078"/>
    <n v="10"/>
    <n v="3615.6"/>
    <n v="5857.27"/>
    <n v="92"/>
    <n v="38489.67"/>
    <x v="0"/>
    <x v="1"/>
    <s v="Jaipur"/>
    <x v="2"/>
    <x v="1"/>
    <x v="7"/>
    <x v="0"/>
    <x v="2"/>
    <s v="Returned"/>
  </r>
  <r>
    <s v="ORD00057"/>
    <x v="51"/>
    <s v="CUST665"/>
    <s v="Priya"/>
    <x v="1"/>
    <n v="33"/>
    <x v="5"/>
    <x v="0"/>
    <x v="5"/>
    <x v="5"/>
    <n v="1"/>
    <n v="4209"/>
    <n v="20"/>
    <n v="841.8"/>
    <n v="606.1"/>
    <n v="108"/>
    <n v="4081.3"/>
    <x v="0"/>
    <x v="0"/>
    <s v="Jaipur"/>
    <x v="2"/>
    <x v="1"/>
    <x v="6"/>
    <x v="0"/>
    <x v="4"/>
    <s v="Shipped"/>
  </r>
  <r>
    <s v="ORD00058"/>
    <x v="52"/>
    <s v="CUST777"/>
    <s v="Vikas"/>
    <x v="0"/>
    <n v="20"/>
    <x v="5"/>
    <x v="0"/>
    <x v="5"/>
    <x v="9"/>
    <n v="5"/>
    <n v="32244"/>
    <n v="5"/>
    <n v="8061"/>
    <n v="27568.62"/>
    <n v="248"/>
    <n v="180975.62"/>
    <x v="0"/>
    <x v="0"/>
    <s v="Pune"/>
    <x v="0"/>
    <x v="0"/>
    <x v="4"/>
    <x v="0"/>
    <x v="2"/>
    <s v="Cancelled"/>
  </r>
  <r>
    <s v="ORD00059"/>
    <x v="53"/>
    <s v="CUST228"/>
    <s v="Neha"/>
    <x v="1"/>
    <n v="40"/>
    <x v="3"/>
    <x v="2"/>
    <x v="3"/>
    <x v="8"/>
    <n v="2"/>
    <n v="17758"/>
    <n v="10"/>
    <n v="3551.6"/>
    <n v="5753.59"/>
    <n v="218"/>
    <n v="37935.99"/>
    <x v="1"/>
    <x v="1"/>
    <s v="Pune"/>
    <x v="0"/>
    <x v="0"/>
    <x v="7"/>
    <x v="1"/>
    <x v="1"/>
    <s v="Cancelled"/>
  </r>
  <r>
    <s v="ORD00060"/>
    <x v="54"/>
    <s v="CUST993"/>
    <s v="Anjali"/>
    <x v="1"/>
    <n v="26"/>
    <x v="9"/>
    <x v="0"/>
    <x v="9"/>
    <x v="5"/>
    <n v="3"/>
    <n v="49447"/>
    <n v="0"/>
    <n v="0"/>
    <n v="26701.38"/>
    <n v="5"/>
    <n v="175047.38"/>
    <x v="0"/>
    <x v="0"/>
    <s v="Jaipur"/>
    <x v="2"/>
    <x v="1"/>
    <x v="2"/>
    <x v="0"/>
    <x v="0"/>
    <s v="Cancelled"/>
  </r>
  <r>
    <s v="ORD00061"/>
    <x v="55"/>
    <s v="CUST778"/>
    <s v="Anjali"/>
    <x v="0"/>
    <n v="55"/>
    <x v="6"/>
    <x v="0"/>
    <x v="6"/>
    <x v="1"/>
    <n v="4"/>
    <n v="44629"/>
    <n v="0"/>
    <n v="0"/>
    <n v="32132.880000000001"/>
    <n v="182"/>
    <n v="210830.88"/>
    <x v="3"/>
    <x v="0"/>
    <s v="Lucknow"/>
    <x v="4"/>
    <x v="1"/>
    <x v="4"/>
    <x v="1"/>
    <x v="2"/>
    <s v="Returned"/>
  </r>
  <r>
    <s v="ORD00062"/>
    <x v="56"/>
    <s v="CUST287"/>
    <s v="Priya"/>
    <x v="0"/>
    <n v="43"/>
    <x v="8"/>
    <x v="0"/>
    <x v="8"/>
    <x v="3"/>
    <n v="2"/>
    <n v="35049"/>
    <n v="10"/>
    <n v="7009.8"/>
    <n v="11355.88"/>
    <n v="249"/>
    <n v="74693.08"/>
    <x v="0"/>
    <x v="0"/>
    <s v="Mumbai"/>
    <x v="0"/>
    <x v="0"/>
    <x v="0"/>
    <x v="1"/>
    <x v="0"/>
    <s v="Cancelled"/>
  </r>
  <r>
    <s v="ORD00063"/>
    <x v="27"/>
    <s v="CUST955"/>
    <s v="Arjun"/>
    <x v="1"/>
    <n v="49"/>
    <x v="1"/>
    <x v="0"/>
    <x v="1"/>
    <x v="0"/>
    <n v="4"/>
    <n v="15260"/>
    <n v="5"/>
    <n v="3052"/>
    <n v="10437.84"/>
    <n v="466"/>
    <n v="68891.839999999997"/>
    <x v="2"/>
    <x v="0"/>
    <s v="Mumbai"/>
    <x v="0"/>
    <x v="0"/>
    <x v="9"/>
    <x v="1"/>
    <x v="2"/>
    <s v="Delivered"/>
  </r>
  <r>
    <s v="ORD00064"/>
    <x v="14"/>
    <s v="CUST551"/>
    <s v="Amit"/>
    <x v="0"/>
    <n v="24"/>
    <x v="9"/>
    <x v="0"/>
    <x v="9"/>
    <x v="7"/>
    <n v="4"/>
    <n v="45316"/>
    <n v="15"/>
    <n v="27189.599999999999"/>
    <n v="27733.39"/>
    <n v="203"/>
    <n v="182010.79"/>
    <x v="0"/>
    <x v="0"/>
    <s v="Lucknow"/>
    <x v="4"/>
    <x v="1"/>
    <x v="8"/>
    <x v="0"/>
    <x v="1"/>
    <s v="Delivered"/>
  </r>
  <r>
    <s v="ORD00065"/>
    <x v="57"/>
    <s v="CUST193"/>
    <s v="Sneha"/>
    <x v="1"/>
    <n v="34"/>
    <x v="4"/>
    <x v="0"/>
    <x v="4"/>
    <x v="4"/>
    <n v="3"/>
    <n v="1028"/>
    <n v="5"/>
    <n v="154.19999999999999"/>
    <n v="527.36"/>
    <n v="194"/>
    <n v="3651.16"/>
    <x v="3"/>
    <x v="1"/>
    <s v="Pune"/>
    <x v="0"/>
    <x v="0"/>
    <x v="9"/>
    <x v="1"/>
    <x v="2"/>
    <s v="Cancelled"/>
  </r>
  <r>
    <s v="ORD00066"/>
    <x v="58"/>
    <s v="CUST783"/>
    <s v="Neha"/>
    <x v="1"/>
    <n v="56"/>
    <x v="1"/>
    <x v="0"/>
    <x v="1"/>
    <x v="4"/>
    <n v="1"/>
    <n v="32156"/>
    <n v="10"/>
    <n v="3215.6"/>
    <n v="5209.2700000000004"/>
    <n v="312"/>
    <n v="34461.67"/>
    <x v="1"/>
    <x v="0"/>
    <s v="Lucknow"/>
    <x v="4"/>
    <x v="1"/>
    <x v="7"/>
    <x v="0"/>
    <x v="1"/>
    <s v="Returned"/>
  </r>
  <r>
    <s v="ORD00067"/>
    <x v="20"/>
    <s v="CUST284"/>
    <s v="Amit"/>
    <x v="1"/>
    <n v="23"/>
    <x v="9"/>
    <x v="0"/>
    <x v="9"/>
    <x v="0"/>
    <n v="1"/>
    <n v="33064"/>
    <n v="0"/>
    <n v="0"/>
    <n v="5951.52"/>
    <n v="426"/>
    <n v="39441.519999999997"/>
    <x v="0"/>
    <x v="0"/>
    <s v="Chandigarh"/>
    <x v="1"/>
    <x v="1"/>
    <x v="7"/>
    <x v="0"/>
    <x v="1"/>
    <s v="Cancelled"/>
  </r>
  <r>
    <s v="ORD00068"/>
    <x v="59"/>
    <s v="CUST714"/>
    <s v="Amit"/>
    <x v="0"/>
    <n v="36"/>
    <x v="2"/>
    <x v="1"/>
    <x v="2"/>
    <x v="2"/>
    <n v="1"/>
    <n v="1059"/>
    <n v="0"/>
    <n v="0"/>
    <n v="190.62"/>
    <n v="48"/>
    <n v="1297.6199999999999"/>
    <x v="2"/>
    <x v="1"/>
    <s v="Lucknow"/>
    <x v="4"/>
    <x v="1"/>
    <x v="8"/>
    <x v="0"/>
    <x v="2"/>
    <s v="Returned"/>
  </r>
  <r>
    <s v="ORD00069"/>
    <x v="60"/>
    <s v="CUST307"/>
    <s v="Arjun"/>
    <x v="0"/>
    <n v="30"/>
    <x v="7"/>
    <x v="1"/>
    <x v="7"/>
    <x v="7"/>
    <n v="4"/>
    <n v="7089"/>
    <n v="20"/>
    <n v="5671.2"/>
    <n v="4083.26"/>
    <n v="403"/>
    <n v="27171.06"/>
    <x v="0"/>
    <x v="1"/>
    <s v="Delhi"/>
    <x v="5"/>
    <x v="1"/>
    <x v="7"/>
    <x v="1"/>
    <x v="2"/>
    <s v="Delivered"/>
  </r>
  <r>
    <s v="ORD00070"/>
    <x v="61"/>
    <s v="CUST979"/>
    <s v="Vikas"/>
    <x v="0"/>
    <n v="55"/>
    <x v="8"/>
    <x v="0"/>
    <x v="8"/>
    <x v="9"/>
    <n v="4"/>
    <n v="11996"/>
    <n v="5"/>
    <n v="2399.1999999999998"/>
    <n v="8205.26"/>
    <n v="466"/>
    <n v="54256.06"/>
    <x v="1"/>
    <x v="0"/>
    <s v="Chandigarh"/>
    <x v="1"/>
    <x v="1"/>
    <x v="1"/>
    <x v="1"/>
    <x v="1"/>
    <s v="Returned"/>
  </r>
  <r>
    <s v="ORD00071"/>
    <x v="62"/>
    <s v="CUST660"/>
    <s v="Karan"/>
    <x v="1"/>
    <n v="19"/>
    <x v="2"/>
    <x v="1"/>
    <x v="2"/>
    <x v="2"/>
    <n v="1"/>
    <n v="15786"/>
    <n v="20"/>
    <n v="3157.2"/>
    <n v="2273.1799999999998"/>
    <n v="268"/>
    <n v="15169.98"/>
    <x v="1"/>
    <x v="0"/>
    <s v="Patiala"/>
    <x v="1"/>
    <x v="1"/>
    <x v="3"/>
    <x v="0"/>
    <x v="4"/>
    <s v="Delivered"/>
  </r>
  <r>
    <s v="ORD00072"/>
    <x v="41"/>
    <s v="CUST948"/>
    <s v="Sneha"/>
    <x v="1"/>
    <n v="26"/>
    <x v="3"/>
    <x v="2"/>
    <x v="3"/>
    <x v="3"/>
    <n v="1"/>
    <n v="16943"/>
    <n v="15"/>
    <n v="2541.4499999999998"/>
    <n v="2592.2800000000002"/>
    <n v="242"/>
    <n v="17235.830000000002"/>
    <x v="3"/>
    <x v="0"/>
    <s v="Bangalore"/>
    <x v="3"/>
    <x v="2"/>
    <x v="8"/>
    <x v="0"/>
    <x v="2"/>
    <s v="Delivered"/>
  </r>
  <r>
    <s v="ORD00073"/>
    <x v="63"/>
    <s v="CUST325"/>
    <s v="Arjun"/>
    <x v="0"/>
    <n v="31"/>
    <x v="2"/>
    <x v="1"/>
    <x v="2"/>
    <x v="7"/>
    <n v="3"/>
    <n v="810"/>
    <n v="10"/>
    <n v="243"/>
    <n v="393.66"/>
    <n v="202"/>
    <n v="2782.66"/>
    <x v="1"/>
    <x v="0"/>
    <s v="Mumbai"/>
    <x v="0"/>
    <x v="0"/>
    <x v="4"/>
    <x v="0"/>
    <x v="4"/>
    <s v="Cancelled"/>
  </r>
  <r>
    <s v="ORD00074"/>
    <x v="64"/>
    <s v="CUST456"/>
    <s v="Rahul"/>
    <x v="1"/>
    <n v="26"/>
    <x v="5"/>
    <x v="0"/>
    <x v="5"/>
    <x v="2"/>
    <n v="3"/>
    <n v="22771"/>
    <n v="15"/>
    <n v="10246.950000000001"/>
    <n v="10451.89"/>
    <n v="196"/>
    <n v="68713.94"/>
    <x v="3"/>
    <x v="0"/>
    <s v="Mumbai"/>
    <x v="0"/>
    <x v="0"/>
    <x v="0"/>
    <x v="1"/>
    <x v="2"/>
    <s v="Returned"/>
  </r>
  <r>
    <s v="ORD00075"/>
    <x v="65"/>
    <s v="CUST838"/>
    <s v="Vikas"/>
    <x v="1"/>
    <n v="27"/>
    <x v="9"/>
    <x v="0"/>
    <x v="9"/>
    <x v="4"/>
    <n v="1"/>
    <n v="49814"/>
    <n v="15"/>
    <n v="7472.1"/>
    <n v="7621.54"/>
    <n v="331"/>
    <n v="50294.44"/>
    <x v="1"/>
    <x v="1"/>
    <s v="Delhi"/>
    <x v="5"/>
    <x v="1"/>
    <x v="3"/>
    <x v="1"/>
    <x v="1"/>
    <s v="Returned"/>
  </r>
  <r>
    <s v="ORD00076"/>
    <x v="66"/>
    <s v="CUST806"/>
    <s v="Rahul"/>
    <x v="0"/>
    <n v="24"/>
    <x v="2"/>
    <x v="1"/>
    <x v="2"/>
    <x v="4"/>
    <n v="2"/>
    <n v="17710"/>
    <n v="20"/>
    <n v="7084"/>
    <n v="5100.4799999999996"/>
    <n v="267"/>
    <n v="33703.480000000003"/>
    <x v="0"/>
    <x v="0"/>
    <s v="Pune"/>
    <x v="0"/>
    <x v="0"/>
    <x v="0"/>
    <x v="0"/>
    <x v="0"/>
    <s v="Cancelled"/>
  </r>
  <r>
    <s v="ORD00077"/>
    <x v="67"/>
    <s v="CUST580"/>
    <s v="Anjali"/>
    <x v="0"/>
    <n v="45"/>
    <x v="1"/>
    <x v="0"/>
    <x v="1"/>
    <x v="3"/>
    <n v="5"/>
    <n v="24572"/>
    <n v="10"/>
    <n v="12286"/>
    <n v="19903.32"/>
    <n v="152"/>
    <n v="130629.32"/>
    <x v="3"/>
    <x v="0"/>
    <s v="Lucknow"/>
    <x v="4"/>
    <x v="1"/>
    <x v="8"/>
    <x v="1"/>
    <x v="4"/>
    <s v="Shipped"/>
  </r>
  <r>
    <s v="ORD00078"/>
    <x v="68"/>
    <s v="CUST731"/>
    <s v="Vikas"/>
    <x v="0"/>
    <n v="47"/>
    <x v="1"/>
    <x v="0"/>
    <x v="1"/>
    <x v="2"/>
    <n v="3"/>
    <n v="49144"/>
    <n v="15"/>
    <n v="22114.799999999999"/>
    <n v="22557.1"/>
    <n v="324"/>
    <n v="148198.29999999999"/>
    <x v="1"/>
    <x v="0"/>
    <s v="Delhi"/>
    <x v="5"/>
    <x v="1"/>
    <x v="9"/>
    <x v="1"/>
    <x v="1"/>
    <s v="Cancelled"/>
  </r>
  <r>
    <s v="ORD00079"/>
    <x v="69"/>
    <s v="CUST687"/>
    <s v="Sneha"/>
    <x v="0"/>
    <n v="56"/>
    <x v="4"/>
    <x v="0"/>
    <x v="4"/>
    <x v="3"/>
    <n v="3"/>
    <n v="38503"/>
    <n v="15"/>
    <n v="17326.349999999999"/>
    <n v="17672.88"/>
    <n v="380"/>
    <n v="116235.53"/>
    <x v="0"/>
    <x v="1"/>
    <s v="Jaipur"/>
    <x v="2"/>
    <x v="1"/>
    <x v="5"/>
    <x v="0"/>
    <x v="4"/>
    <s v="Returned"/>
  </r>
  <r>
    <s v="ORD00080"/>
    <x v="70"/>
    <s v="CUST231"/>
    <s v="Sneha"/>
    <x v="0"/>
    <n v="28"/>
    <x v="5"/>
    <x v="0"/>
    <x v="5"/>
    <x v="7"/>
    <n v="5"/>
    <n v="39230"/>
    <n v="20"/>
    <n v="39230"/>
    <n v="28245.599999999999"/>
    <n v="225"/>
    <n v="185390.6"/>
    <x v="3"/>
    <x v="0"/>
    <s v="Chandigarh"/>
    <x v="1"/>
    <x v="1"/>
    <x v="1"/>
    <x v="1"/>
    <x v="2"/>
    <s v="Shipped"/>
  </r>
  <r>
    <s v="ORD00081"/>
    <x v="71"/>
    <s v="CUST890"/>
    <s v="Priya"/>
    <x v="0"/>
    <n v="43"/>
    <x v="7"/>
    <x v="1"/>
    <x v="7"/>
    <x v="2"/>
    <n v="5"/>
    <n v="2002"/>
    <n v="5"/>
    <n v="500.5"/>
    <n v="1711.71"/>
    <n v="358"/>
    <n v="11579.21"/>
    <x v="2"/>
    <x v="0"/>
    <s v="Mumbai"/>
    <x v="0"/>
    <x v="0"/>
    <x v="2"/>
    <x v="0"/>
    <x v="1"/>
    <s v="Cancelled"/>
  </r>
  <r>
    <s v="ORD00082"/>
    <x v="58"/>
    <s v="CUST861"/>
    <s v="Riya"/>
    <x v="1"/>
    <n v="19"/>
    <x v="1"/>
    <x v="0"/>
    <x v="1"/>
    <x v="9"/>
    <n v="2"/>
    <n v="44220"/>
    <n v="15"/>
    <n v="13266"/>
    <n v="13531.32"/>
    <n v="258"/>
    <n v="88963.32"/>
    <x v="2"/>
    <x v="1"/>
    <s v="Pune"/>
    <x v="0"/>
    <x v="0"/>
    <x v="5"/>
    <x v="1"/>
    <x v="2"/>
    <s v="Returned"/>
  </r>
  <r>
    <s v="ORD00083"/>
    <x v="72"/>
    <s v="CUST490"/>
    <s v="Karan"/>
    <x v="0"/>
    <n v="39"/>
    <x v="5"/>
    <x v="0"/>
    <x v="5"/>
    <x v="8"/>
    <n v="1"/>
    <n v="41458"/>
    <n v="10"/>
    <n v="4145.8"/>
    <n v="6716.2"/>
    <n v="255"/>
    <n v="44283.4"/>
    <x v="2"/>
    <x v="0"/>
    <s v="Bangalore"/>
    <x v="3"/>
    <x v="2"/>
    <x v="7"/>
    <x v="1"/>
    <x v="2"/>
    <s v="Returned"/>
  </r>
  <r>
    <s v="ORD00084"/>
    <x v="73"/>
    <s v="CUST335"/>
    <s v="Rahul"/>
    <x v="1"/>
    <n v="28"/>
    <x v="8"/>
    <x v="0"/>
    <x v="8"/>
    <x v="5"/>
    <n v="4"/>
    <n v="15002"/>
    <n v="20"/>
    <n v="12001.6"/>
    <n v="8641.15"/>
    <n v="259"/>
    <n v="56906.55"/>
    <x v="0"/>
    <x v="1"/>
    <s v="Bangalore"/>
    <x v="3"/>
    <x v="2"/>
    <x v="0"/>
    <x v="0"/>
    <x v="3"/>
    <s v="Shipped"/>
  </r>
  <r>
    <s v="ORD00085"/>
    <x v="74"/>
    <s v="CUST122"/>
    <s v="Karan"/>
    <x v="1"/>
    <n v="29"/>
    <x v="5"/>
    <x v="0"/>
    <x v="5"/>
    <x v="0"/>
    <n v="3"/>
    <n v="27664"/>
    <n v="10"/>
    <n v="8299.2000000000007"/>
    <n v="13444.7"/>
    <n v="52"/>
    <n v="88189.5"/>
    <x v="2"/>
    <x v="0"/>
    <s v="Chandigarh"/>
    <x v="1"/>
    <x v="1"/>
    <x v="1"/>
    <x v="1"/>
    <x v="3"/>
    <s v="Cancelled"/>
  </r>
  <r>
    <s v="ORD00086"/>
    <x v="75"/>
    <s v="CUST596"/>
    <s v="Rahul"/>
    <x v="0"/>
    <n v="23"/>
    <x v="4"/>
    <x v="0"/>
    <x v="4"/>
    <x v="1"/>
    <n v="1"/>
    <n v="23710"/>
    <n v="5"/>
    <n v="1185.5"/>
    <n v="4054.41"/>
    <n v="33"/>
    <n v="26611.91"/>
    <x v="3"/>
    <x v="1"/>
    <s v="Pune"/>
    <x v="0"/>
    <x v="0"/>
    <x v="0"/>
    <x v="0"/>
    <x v="0"/>
    <s v="Cancelled"/>
  </r>
  <r>
    <s v="ORD00087"/>
    <x v="76"/>
    <s v="CUST253"/>
    <s v="Priya"/>
    <x v="0"/>
    <n v="50"/>
    <x v="8"/>
    <x v="0"/>
    <x v="8"/>
    <x v="2"/>
    <n v="5"/>
    <n v="2722"/>
    <n v="5"/>
    <n v="680.5"/>
    <n v="2327.31"/>
    <n v="444"/>
    <n v="15700.81"/>
    <x v="1"/>
    <x v="0"/>
    <s v="Pune"/>
    <x v="0"/>
    <x v="0"/>
    <x v="2"/>
    <x v="1"/>
    <x v="0"/>
    <s v="Cancelled"/>
  </r>
  <r>
    <s v="ORD00088"/>
    <x v="41"/>
    <s v="CUST231"/>
    <s v="Vikas"/>
    <x v="1"/>
    <n v="53"/>
    <x v="4"/>
    <x v="0"/>
    <x v="4"/>
    <x v="7"/>
    <n v="3"/>
    <n v="26078"/>
    <n v="10"/>
    <n v="7823.4"/>
    <n v="12673.91"/>
    <n v="236"/>
    <n v="83320.509999999995"/>
    <x v="1"/>
    <x v="0"/>
    <s v="Pune"/>
    <x v="0"/>
    <x v="0"/>
    <x v="8"/>
    <x v="1"/>
    <x v="4"/>
    <s v="Cancelled"/>
  </r>
  <r>
    <s v="ORD00089"/>
    <x v="77"/>
    <s v="CUST261"/>
    <s v="Priya"/>
    <x v="0"/>
    <n v="56"/>
    <x v="0"/>
    <x v="0"/>
    <x v="0"/>
    <x v="4"/>
    <n v="3"/>
    <n v="15789"/>
    <n v="15"/>
    <n v="7105.05"/>
    <n v="7247.15"/>
    <n v="301"/>
    <n v="47810.1"/>
    <x v="3"/>
    <x v="0"/>
    <s v="Delhi"/>
    <x v="5"/>
    <x v="1"/>
    <x v="1"/>
    <x v="0"/>
    <x v="3"/>
    <s v="Returned"/>
  </r>
  <r>
    <s v="ORD00090"/>
    <x v="78"/>
    <s v="CUST992"/>
    <s v="Rahul"/>
    <x v="0"/>
    <n v="32"/>
    <x v="9"/>
    <x v="0"/>
    <x v="9"/>
    <x v="7"/>
    <n v="2"/>
    <n v="23965"/>
    <n v="20"/>
    <n v="9586"/>
    <n v="6901.92"/>
    <n v="167"/>
    <n v="45412.92"/>
    <x v="3"/>
    <x v="1"/>
    <s v="Jaipur"/>
    <x v="2"/>
    <x v="1"/>
    <x v="0"/>
    <x v="1"/>
    <x v="0"/>
    <s v="Returned"/>
  </r>
  <r>
    <s v="ORD00091"/>
    <x v="2"/>
    <s v="CUST689"/>
    <s v="Sneha"/>
    <x v="1"/>
    <n v="34"/>
    <x v="7"/>
    <x v="1"/>
    <x v="7"/>
    <x v="3"/>
    <n v="1"/>
    <n v="29036"/>
    <n v="10"/>
    <n v="2903.6"/>
    <n v="4703.83"/>
    <n v="336"/>
    <n v="31172.23"/>
    <x v="1"/>
    <x v="1"/>
    <s v="Delhi"/>
    <x v="5"/>
    <x v="1"/>
    <x v="5"/>
    <x v="1"/>
    <x v="2"/>
    <s v="Delivered"/>
  </r>
  <r>
    <s v="ORD00092"/>
    <x v="79"/>
    <s v="CUST468"/>
    <s v="Vikas"/>
    <x v="0"/>
    <n v="55"/>
    <x v="5"/>
    <x v="0"/>
    <x v="5"/>
    <x v="9"/>
    <n v="4"/>
    <n v="24259"/>
    <n v="20"/>
    <n v="19407.2"/>
    <n v="13973.18"/>
    <n v="445"/>
    <n v="92046.98"/>
    <x v="1"/>
    <x v="1"/>
    <s v="Pune"/>
    <x v="0"/>
    <x v="0"/>
    <x v="0"/>
    <x v="0"/>
    <x v="4"/>
    <s v="Shipped"/>
  </r>
  <r>
    <s v="ORD00093"/>
    <x v="80"/>
    <s v="CUST532"/>
    <s v="Rahul"/>
    <x v="1"/>
    <n v="55"/>
    <x v="0"/>
    <x v="0"/>
    <x v="0"/>
    <x v="1"/>
    <n v="4"/>
    <n v="27999"/>
    <n v="0"/>
    <n v="0"/>
    <n v="20159.28"/>
    <n v="169"/>
    <n v="132324.28"/>
    <x v="0"/>
    <x v="1"/>
    <s v="Bangalore"/>
    <x v="3"/>
    <x v="2"/>
    <x v="6"/>
    <x v="1"/>
    <x v="2"/>
    <s v="Shipped"/>
  </r>
  <r>
    <s v="ORD00094"/>
    <x v="80"/>
    <s v="CUST256"/>
    <s v="Vikas"/>
    <x v="0"/>
    <n v="54"/>
    <x v="8"/>
    <x v="0"/>
    <x v="8"/>
    <x v="0"/>
    <n v="5"/>
    <n v="44136"/>
    <n v="10"/>
    <n v="22068"/>
    <n v="35750.160000000003"/>
    <n v="127"/>
    <n v="234489.16"/>
    <x v="1"/>
    <x v="0"/>
    <s v="Pune"/>
    <x v="0"/>
    <x v="0"/>
    <x v="6"/>
    <x v="0"/>
    <x v="4"/>
    <s v="Returned"/>
  </r>
  <r>
    <s v="ORD00095"/>
    <x v="81"/>
    <s v="CUST264"/>
    <s v="Riya"/>
    <x v="1"/>
    <n v="55"/>
    <x v="5"/>
    <x v="0"/>
    <x v="5"/>
    <x v="1"/>
    <n v="5"/>
    <n v="34596"/>
    <n v="15"/>
    <n v="25947"/>
    <n v="26465.94"/>
    <n v="316"/>
    <n v="173814.94"/>
    <x v="2"/>
    <x v="1"/>
    <s v="Mumbai"/>
    <x v="0"/>
    <x v="0"/>
    <x v="5"/>
    <x v="0"/>
    <x v="0"/>
    <s v="Returned"/>
  </r>
  <r>
    <s v="ORD00096"/>
    <x v="82"/>
    <s v="CUST664"/>
    <s v="Amit"/>
    <x v="0"/>
    <n v="51"/>
    <x v="5"/>
    <x v="0"/>
    <x v="5"/>
    <x v="2"/>
    <n v="1"/>
    <n v="30323"/>
    <n v="15"/>
    <n v="4548.45"/>
    <n v="4639.42"/>
    <n v="45"/>
    <n v="30458.97"/>
    <x v="3"/>
    <x v="1"/>
    <s v="Pune"/>
    <x v="0"/>
    <x v="0"/>
    <x v="0"/>
    <x v="1"/>
    <x v="1"/>
    <s v="Cancelled"/>
  </r>
  <r>
    <s v="ORD00097"/>
    <x v="15"/>
    <s v="CUST168"/>
    <s v="Vikas"/>
    <x v="0"/>
    <n v="27"/>
    <x v="9"/>
    <x v="0"/>
    <x v="9"/>
    <x v="5"/>
    <n v="4"/>
    <n v="14331"/>
    <n v="0"/>
    <n v="0"/>
    <n v="10318.32"/>
    <n v="41"/>
    <n v="67683.320000000007"/>
    <x v="3"/>
    <x v="0"/>
    <s v="Lucknow"/>
    <x v="4"/>
    <x v="1"/>
    <x v="0"/>
    <x v="1"/>
    <x v="1"/>
    <s v="Delivered"/>
  </r>
  <r>
    <s v="ORD00098"/>
    <x v="83"/>
    <s v="CUST631"/>
    <s v="Arjun"/>
    <x v="0"/>
    <n v="24"/>
    <x v="2"/>
    <x v="1"/>
    <x v="2"/>
    <x v="7"/>
    <n v="3"/>
    <n v="3679"/>
    <n v="10"/>
    <n v="1103.7"/>
    <n v="1787.99"/>
    <n v="262"/>
    <n v="11983.29"/>
    <x v="1"/>
    <x v="1"/>
    <s v="Mumbai"/>
    <x v="0"/>
    <x v="0"/>
    <x v="1"/>
    <x v="1"/>
    <x v="0"/>
    <s v="Delivered"/>
  </r>
  <r>
    <s v="ORD00099"/>
    <x v="36"/>
    <s v="CUST643"/>
    <s v="Karan"/>
    <x v="0"/>
    <n v="56"/>
    <x v="4"/>
    <x v="0"/>
    <x v="4"/>
    <x v="4"/>
    <n v="3"/>
    <n v="25123"/>
    <n v="20"/>
    <n v="15073.8"/>
    <n v="10853.14"/>
    <n v="393"/>
    <n v="71541.34"/>
    <x v="0"/>
    <x v="0"/>
    <s v="Bangalore"/>
    <x v="3"/>
    <x v="2"/>
    <x v="3"/>
    <x v="1"/>
    <x v="4"/>
    <s v="Delivered"/>
  </r>
  <r>
    <s v="ORD00100"/>
    <x v="84"/>
    <s v="CUST540"/>
    <s v="Priya"/>
    <x v="1"/>
    <n v="41"/>
    <x v="7"/>
    <x v="1"/>
    <x v="7"/>
    <x v="5"/>
    <n v="4"/>
    <n v="46566"/>
    <n v="10"/>
    <n v="18626.400000000001"/>
    <n v="30174.77"/>
    <n v="402"/>
    <n v="198214.37"/>
    <x v="2"/>
    <x v="0"/>
    <s v="Chandigarh"/>
    <x v="1"/>
    <x v="1"/>
    <x v="5"/>
    <x v="1"/>
    <x v="1"/>
    <s v="Delivered"/>
  </r>
  <r>
    <s v="ORD00101"/>
    <x v="61"/>
    <s v="CUST796"/>
    <s v="Arjun"/>
    <x v="0"/>
    <n v="60"/>
    <x v="8"/>
    <x v="0"/>
    <x v="8"/>
    <x v="2"/>
    <n v="1"/>
    <n v="42289"/>
    <n v="20"/>
    <n v="8457.7999999999993"/>
    <n v="6089.62"/>
    <n v="250"/>
    <n v="40170.82"/>
    <x v="1"/>
    <x v="1"/>
    <s v="Delhi"/>
    <x v="5"/>
    <x v="1"/>
    <x v="0"/>
    <x v="0"/>
    <x v="2"/>
    <s v="Returned"/>
  </r>
  <r>
    <s v="ORD00102"/>
    <x v="85"/>
    <s v="CUST371"/>
    <s v="Karan"/>
    <x v="0"/>
    <n v="31"/>
    <x v="2"/>
    <x v="1"/>
    <x v="2"/>
    <x v="4"/>
    <n v="5"/>
    <n v="4012"/>
    <n v="0"/>
    <n v="0"/>
    <n v="3610.8"/>
    <n v="329"/>
    <n v="23999.8"/>
    <x v="3"/>
    <x v="1"/>
    <s v="Bangalore"/>
    <x v="3"/>
    <x v="2"/>
    <x v="6"/>
    <x v="1"/>
    <x v="1"/>
    <s v="Delivered"/>
  </r>
  <r>
    <s v="ORD00103"/>
    <x v="86"/>
    <s v="CUST769"/>
    <s v="Priya"/>
    <x v="0"/>
    <n v="52"/>
    <x v="4"/>
    <x v="0"/>
    <x v="4"/>
    <x v="8"/>
    <n v="2"/>
    <n v="30405"/>
    <n v="0"/>
    <n v="0"/>
    <n v="10945.8"/>
    <n v="301"/>
    <n v="72056.800000000003"/>
    <x v="0"/>
    <x v="1"/>
    <s v="Jaipur"/>
    <x v="2"/>
    <x v="1"/>
    <x v="6"/>
    <x v="0"/>
    <x v="4"/>
    <s v="Cancelled"/>
  </r>
  <r>
    <s v="ORD00104"/>
    <x v="87"/>
    <s v="CUST785"/>
    <s v="Anjali"/>
    <x v="0"/>
    <n v="23"/>
    <x v="6"/>
    <x v="0"/>
    <x v="6"/>
    <x v="5"/>
    <n v="4"/>
    <n v="19141"/>
    <n v="20"/>
    <n v="15312.8"/>
    <n v="11025.22"/>
    <n v="482"/>
    <n v="72758.42"/>
    <x v="3"/>
    <x v="0"/>
    <s v="Delhi"/>
    <x v="5"/>
    <x v="1"/>
    <x v="8"/>
    <x v="1"/>
    <x v="1"/>
    <s v="Returned"/>
  </r>
  <r>
    <s v="ORD00105"/>
    <x v="49"/>
    <s v="CUST968"/>
    <s v="Arjun"/>
    <x v="1"/>
    <n v="22"/>
    <x v="3"/>
    <x v="2"/>
    <x v="3"/>
    <x v="4"/>
    <n v="4"/>
    <n v="19962"/>
    <n v="5"/>
    <n v="3992.4"/>
    <n v="13654.01"/>
    <n v="104"/>
    <n v="89613.61"/>
    <x v="1"/>
    <x v="0"/>
    <s v="Pune"/>
    <x v="0"/>
    <x v="0"/>
    <x v="5"/>
    <x v="1"/>
    <x v="4"/>
    <s v="Returned"/>
  </r>
  <r>
    <s v="ORD00106"/>
    <x v="88"/>
    <s v="CUST430"/>
    <s v="Sneha"/>
    <x v="0"/>
    <n v="46"/>
    <x v="3"/>
    <x v="2"/>
    <x v="3"/>
    <x v="2"/>
    <n v="5"/>
    <n v="30045"/>
    <n v="0"/>
    <n v="0"/>
    <n v="27040.5"/>
    <n v="295"/>
    <n v="177560.5"/>
    <x v="1"/>
    <x v="1"/>
    <s v="Patiala"/>
    <x v="1"/>
    <x v="1"/>
    <x v="7"/>
    <x v="0"/>
    <x v="2"/>
    <s v="Shipped"/>
  </r>
  <r>
    <s v="ORD00107"/>
    <x v="42"/>
    <s v="CUST756"/>
    <s v="Karan"/>
    <x v="0"/>
    <n v="33"/>
    <x v="0"/>
    <x v="0"/>
    <x v="0"/>
    <x v="8"/>
    <n v="1"/>
    <n v="30617"/>
    <n v="0"/>
    <n v="0"/>
    <n v="5511.06"/>
    <n v="291"/>
    <n v="36419.06"/>
    <x v="0"/>
    <x v="0"/>
    <s v="Mumbai"/>
    <x v="0"/>
    <x v="0"/>
    <x v="7"/>
    <x v="1"/>
    <x v="4"/>
    <s v="Cancelled"/>
  </r>
  <r>
    <s v="ORD00108"/>
    <x v="89"/>
    <s v="CUST755"/>
    <s v="Sneha"/>
    <x v="1"/>
    <n v="29"/>
    <x v="8"/>
    <x v="0"/>
    <x v="8"/>
    <x v="1"/>
    <n v="1"/>
    <n v="36884"/>
    <n v="5"/>
    <n v="1844.2"/>
    <n v="6307.16"/>
    <n v="88"/>
    <n v="41434.959999999999"/>
    <x v="1"/>
    <x v="1"/>
    <s v="Patiala"/>
    <x v="1"/>
    <x v="1"/>
    <x v="9"/>
    <x v="1"/>
    <x v="2"/>
    <s v="Shipped"/>
  </r>
  <r>
    <s v="ORD00109"/>
    <x v="90"/>
    <s v="CUST588"/>
    <s v="Anjali"/>
    <x v="1"/>
    <n v="35"/>
    <x v="7"/>
    <x v="1"/>
    <x v="7"/>
    <x v="7"/>
    <n v="2"/>
    <n v="44392"/>
    <n v="10"/>
    <n v="8878.4"/>
    <n v="14383.01"/>
    <n v="36"/>
    <n v="94324.61"/>
    <x v="3"/>
    <x v="0"/>
    <s v="Mumbai"/>
    <x v="0"/>
    <x v="0"/>
    <x v="1"/>
    <x v="1"/>
    <x v="3"/>
    <s v="Returned"/>
  </r>
  <r>
    <s v="ORD00110"/>
    <x v="91"/>
    <s v="CUST680"/>
    <s v="Riya"/>
    <x v="0"/>
    <n v="49"/>
    <x v="3"/>
    <x v="2"/>
    <x v="3"/>
    <x v="1"/>
    <n v="2"/>
    <n v="45616"/>
    <n v="15"/>
    <n v="13684.8"/>
    <n v="13958.5"/>
    <n v="173"/>
    <n v="91678.7"/>
    <x v="0"/>
    <x v="1"/>
    <s v="Bangalore"/>
    <x v="3"/>
    <x v="2"/>
    <x v="1"/>
    <x v="1"/>
    <x v="4"/>
    <s v="Cancelled"/>
  </r>
  <r>
    <s v="ORD00111"/>
    <x v="92"/>
    <s v="CUST923"/>
    <s v="Arjun"/>
    <x v="1"/>
    <n v="25"/>
    <x v="6"/>
    <x v="0"/>
    <x v="6"/>
    <x v="5"/>
    <n v="4"/>
    <n v="13466"/>
    <n v="15"/>
    <n v="8079.6"/>
    <n v="8241.19"/>
    <n v="298"/>
    <n v="54323.59"/>
    <x v="3"/>
    <x v="1"/>
    <s v="Lucknow"/>
    <x v="4"/>
    <x v="1"/>
    <x v="4"/>
    <x v="0"/>
    <x v="4"/>
    <s v="Cancelled"/>
  </r>
  <r>
    <s v="ORD00112"/>
    <x v="93"/>
    <s v="CUST454"/>
    <s v="Arjun"/>
    <x v="0"/>
    <n v="53"/>
    <x v="1"/>
    <x v="0"/>
    <x v="1"/>
    <x v="0"/>
    <n v="3"/>
    <n v="10297"/>
    <n v="5"/>
    <n v="1544.55"/>
    <n v="5282.36"/>
    <n v="382"/>
    <n v="35010.81"/>
    <x v="2"/>
    <x v="1"/>
    <s v="Jaipur"/>
    <x v="2"/>
    <x v="1"/>
    <x v="1"/>
    <x v="0"/>
    <x v="0"/>
    <s v="Returned"/>
  </r>
  <r>
    <s v="ORD00113"/>
    <x v="94"/>
    <s v="CUST221"/>
    <s v="Neha"/>
    <x v="0"/>
    <n v="38"/>
    <x v="9"/>
    <x v="0"/>
    <x v="9"/>
    <x v="5"/>
    <n v="2"/>
    <n v="20743"/>
    <n v="20"/>
    <n v="8297.2000000000007"/>
    <n v="5973.98"/>
    <n v="397"/>
    <n v="39559.78"/>
    <x v="2"/>
    <x v="0"/>
    <s v="Mumbai"/>
    <x v="0"/>
    <x v="0"/>
    <x v="6"/>
    <x v="0"/>
    <x v="0"/>
    <s v="Delivered"/>
  </r>
  <r>
    <s v="ORD00114"/>
    <x v="95"/>
    <s v="CUST299"/>
    <s v="Neha"/>
    <x v="1"/>
    <n v="56"/>
    <x v="9"/>
    <x v="0"/>
    <x v="9"/>
    <x v="7"/>
    <n v="3"/>
    <n v="45793"/>
    <n v="0"/>
    <n v="0"/>
    <n v="24728.22"/>
    <n v="20"/>
    <n v="162127.22"/>
    <x v="2"/>
    <x v="0"/>
    <s v="Pune"/>
    <x v="0"/>
    <x v="0"/>
    <x v="8"/>
    <x v="0"/>
    <x v="4"/>
    <s v="Delivered"/>
  </r>
  <r>
    <s v="ORD00115"/>
    <x v="96"/>
    <s v="CUST447"/>
    <s v="Karan"/>
    <x v="0"/>
    <n v="24"/>
    <x v="3"/>
    <x v="2"/>
    <x v="3"/>
    <x v="2"/>
    <n v="5"/>
    <n v="39903"/>
    <n v="20"/>
    <n v="39903"/>
    <n v="28730.16"/>
    <n v="492"/>
    <n v="188834.16"/>
    <x v="3"/>
    <x v="1"/>
    <s v="Patiala"/>
    <x v="1"/>
    <x v="1"/>
    <x v="9"/>
    <x v="1"/>
    <x v="4"/>
    <s v="Returned"/>
  </r>
  <r>
    <s v="ORD00116"/>
    <x v="97"/>
    <s v="CUST732"/>
    <s v="Arjun"/>
    <x v="1"/>
    <n v="58"/>
    <x v="0"/>
    <x v="0"/>
    <x v="0"/>
    <x v="1"/>
    <n v="3"/>
    <n v="22776"/>
    <n v="0"/>
    <n v="0"/>
    <n v="12299.04"/>
    <n v="94"/>
    <n v="80721.039999999994"/>
    <x v="2"/>
    <x v="1"/>
    <s v="Jaipur"/>
    <x v="2"/>
    <x v="1"/>
    <x v="4"/>
    <x v="0"/>
    <x v="0"/>
    <s v="Delivered"/>
  </r>
  <r>
    <s v="ORD00117"/>
    <x v="75"/>
    <s v="CUST185"/>
    <s v="Riya"/>
    <x v="1"/>
    <n v="30"/>
    <x v="8"/>
    <x v="0"/>
    <x v="8"/>
    <x v="7"/>
    <n v="5"/>
    <n v="18787"/>
    <n v="20"/>
    <n v="18787"/>
    <n v="13526.64"/>
    <n v="101"/>
    <n v="88775.64"/>
    <x v="3"/>
    <x v="1"/>
    <s v="Pune"/>
    <x v="0"/>
    <x v="0"/>
    <x v="1"/>
    <x v="1"/>
    <x v="4"/>
    <s v="Delivered"/>
  </r>
  <r>
    <s v="ORD00118"/>
    <x v="98"/>
    <s v="CUST728"/>
    <s v="Neha"/>
    <x v="0"/>
    <n v="28"/>
    <x v="0"/>
    <x v="0"/>
    <x v="0"/>
    <x v="0"/>
    <n v="1"/>
    <n v="956"/>
    <n v="20"/>
    <n v="191.2"/>
    <n v="137.66"/>
    <n v="446"/>
    <n v="1348.46"/>
    <x v="1"/>
    <x v="1"/>
    <s v="Pune"/>
    <x v="0"/>
    <x v="0"/>
    <x v="2"/>
    <x v="1"/>
    <x v="2"/>
    <s v="Returned"/>
  </r>
  <r>
    <s v="ORD00119"/>
    <x v="99"/>
    <s v="CUST221"/>
    <s v="Anjali"/>
    <x v="1"/>
    <n v="20"/>
    <x v="6"/>
    <x v="0"/>
    <x v="6"/>
    <x v="4"/>
    <n v="5"/>
    <n v="28102"/>
    <n v="5"/>
    <n v="7025.5"/>
    <n v="24027.21"/>
    <n v="281"/>
    <n v="157792.71"/>
    <x v="3"/>
    <x v="0"/>
    <s v="Patiala"/>
    <x v="1"/>
    <x v="1"/>
    <x v="8"/>
    <x v="0"/>
    <x v="3"/>
    <s v="Delivered"/>
  </r>
  <r>
    <s v="ORD00120"/>
    <x v="100"/>
    <s v="CUST201"/>
    <s v="Amit"/>
    <x v="0"/>
    <n v="29"/>
    <x v="8"/>
    <x v="0"/>
    <x v="8"/>
    <x v="8"/>
    <n v="4"/>
    <n v="2455"/>
    <n v="5"/>
    <n v="491"/>
    <n v="1679.22"/>
    <n v="255"/>
    <n v="11263.22"/>
    <x v="2"/>
    <x v="1"/>
    <s v="Patiala"/>
    <x v="1"/>
    <x v="1"/>
    <x v="1"/>
    <x v="0"/>
    <x v="1"/>
    <s v="Delivered"/>
  </r>
  <r>
    <s v="ORD00121"/>
    <x v="101"/>
    <s v="CUST978"/>
    <s v="Amit"/>
    <x v="0"/>
    <n v="39"/>
    <x v="3"/>
    <x v="2"/>
    <x v="3"/>
    <x v="7"/>
    <n v="2"/>
    <n v="14902"/>
    <n v="20"/>
    <n v="5960.8"/>
    <n v="4291.78"/>
    <n v="348"/>
    <n v="28482.98"/>
    <x v="3"/>
    <x v="1"/>
    <s v="Jaipur"/>
    <x v="2"/>
    <x v="1"/>
    <x v="6"/>
    <x v="0"/>
    <x v="0"/>
    <s v="Cancelled"/>
  </r>
  <r>
    <s v="ORD00122"/>
    <x v="102"/>
    <s v="CUST939"/>
    <s v="Karan"/>
    <x v="0"/>
    <n v="30"/>
    <x v="2"/>
    <x v="1"/>
    <x v="2"/>
    <x v="8"/>
    <n v="2"/>
    <n v="13003"/>
    <n v="5"/>
    <n v="1300.3"/>
    <n v="4447.03"/>
    <n v="199"/>
    <n v="29351.73"/>
    <x v="0"/>
    <x v="1"/>
    <s v="Pune"/>
    <x v="0"/>
    <x v="0"/>
    <x v="0"/>
    <x v="1"/>
    <x v="4"/>
    <s v="Delivered"/>
  </r>
  <r>
    <s v="ORD00123"/>
    <x v="103"/>
    <s v="CUST385"/>
    <s v="Arjun"/>
    <x v="1"/>
    <n v="44"/>
    <x v="4"/>
    <x v="0"/>
    <x v="4"/>
    <x v="4"/>
    <n v="5"/>
    <n v="7255"/>
    <n v="5"/>
    <n v="1813.75"/>
    <n v="6203.02"/>
    <n v="388"/>
    <n v="41052.28"/>
    <x v="1"/>
    <x v="0"/>
    <s v="Chandigarh"/>
    <x v="1"/>
    <x v="1"/>
    <x v="3"/>
    <x v="1"/>
    <x v="2"/>
    <s v="Cancelled"/>
  </r>
  <r>
    <s v="ORD00124"/>
    <x v="2"/>
    <s v="CUST978"/>
    <s v="Riya"/>
    <x v="0"/>
    <n v="39"/>
    <x v="7"/>
    <x v="1"/>
    <x v="7"/>
    <x v="6"/>
    <n v="1"/>
    <n v="31663"/>
    <n v="5"/>
    <n v="1583.15"/>
    <n v="5414.37"/>
    <n v="166"/>
    <n v="35660.22"/>
    <x v="3"/>
    <x v="0"/>
    <s v="Chandigarh"/>
    <x v="1"/>
    <x v="1"/>
    <x v="0"/>
    <x v="1"/>
    <x v="2"/>
    <s v="Returned"/>
  </r>
  <r>
    <s v="ORD00125"/>
    <x v="104"/>
    <s v="CUST323"/>
    <s v="Vikas"/>
    <x v="0"/>
    <n v="40"/>
    <x v="7"/>
    <x v="1"/>
    <x v="7"/>
    <x v="1"/>
    <n v="2"/>
    <n v="48930"/>
    <n v="10"/>
    <n v="9786"/>
    <n v="15853.32"/>
    <n v="400"/>
    <n v="104327.32"/>
    <x v="3"/>
    <x v="1"/>
    <s v="Jaipur"/>
    <x v="2"/>
    <x v="1"/>
    <x v="3"/>
    <x v="0"/>
    <x v="0"/>
    <s v="Cancelled"/>
  </r>
  <r>
    <s v="ORD00126"/>
    <x v="22"/>
    <s v="CUST813"/>
    <s v="Arjun"/>
    <x v="1"/>
    <n v="42"/>
    <x v="9"/>
    <x v="0"/>
    <x v="9"/>
    <x v="7"/>
    <n v="4"/>
    <n v="11876"/>
    <n v="20"/>
    <n v="9500.7999999999993"/>
    <n v="6840.58"/>
    <n v="31"/>
    <n v="44874.78"/>
    <x v="3"/>
    <x v="0"/>
    <s v="Mumbai"/>
    <x v="0"/>
    <x v="0"/>
    <x v="2"/>
    <x v="0"/>
    <x v="3"/>
    <s v="Returned"/>
  </r>
  <r>
    <s v="ORD00127"/>
    <x v="105"/>
    <s v="CUST709"/>
    <s v="Vikas"/>
    <x v="0"/>
    <n v="18"/>
    <x v="2"/>
    <x v="1"/>
    <x v="2"/>
    <x v="5"/>
    <n v="3"/>
    <n v="6898"/>
    <n v="10"/>
    <n v="2069.4"/>
    <n v="3352.43"/>
    <n v="417"/>
    <n v="22394.03"/>
    <x v="3"/>
    <x v="0"/>
    <s v="Jaipur"/>
    <x v="2"/>
    <x v="1"/>
    <x v="1"/>
    <x v="0"/>
    <x v="2"/>
    <s v="Delivered"/>
  </r>
  <r>
    <s v="ORD00128"/>
    <x v="73"/>
    <s v="CUST865"/>
    <s v="Arjun"/>
    <x v="1"/>
    <n v="33"/>
    <x v="6"/>
    <x v="0"/>
    <x v="6"/>
    <x v="3"/>
    <n v="5"/>
    <n v="27664"/>
    <n v="0"/>
    <n v="0"/>
    <n v="24897.599999999999"/>
    <n v="18"/>
    <n v="163235.6"/>
    <x v="0"/>
    <x v="1"/>
    <s v="Delhi"/>
    <x v="5"/>
    <x v="1"/>
    <x v="3"/>
    <x v="1"/>
    <x v="3"/>
    <s v="Returned"/>
  </r>
  <r>
    <s v="ORD00129"/>
    <x v="106"/>
    <s v="CUST339"/>
    <s v="Rahul"/>
    <x v="1"/>
    <n v="25"/>
    <x v="4"/>
    <x v="0"/>
    <x v="4"/>
    <x v="7"/>
    <n v="5"/>
    <n v="31878"/>
    <n v="5"/>
    <n v="7969.5"/>
    <n v="27255.69"/>
    <n v="288"/>
    <n v="178964.19"/>
    <x v="1"/>
    <x v="1"/>
    <s v="Lucknow"/>
    <x v="4"/>
    <x v="1"/>
    <x v="5"/>
    <x v="0"/>
    <x v="1"/>
    <s v="Returned"/>
  </r>
  <r>
    <s v="ORD00130"/>
    <x v="20"/>
    <s v="CUST389"/>
    <s v="Karan"/>
    <x v="0"/>
    <n v="40"/>
    <x v="9"/>
    <x v="0"/>
    <x v="9"/>
    <x v="6"/>
    <n v="2"/>
    <n v="33074"/>
    <n v="10"/>
    <n v="6614.8"/>
    <n v="10715.98"/>
    <n v="377"/>
    <n v="70626.179999999993"/>
    <x v="0"/>
    <x v="0"/>
    <s v="Delhi"/>
    <x v="5"/>
    <x v="1"/>
    <x v="1"/>
    <x v="1"/>
    <x v="3"/>
    <s v="Delivered"/>
  </r>
  <r>
    <s v="ORD00131"/>
    <x v="107"/>
    <s v="CUST455"/>
    <s v="Anjali"/>
    <x v="0"/>
    <n v="29"/>
    <x v="8"/>
    <x v="0"/>
    <x v="8"/>
    <x v="5"/>
    <n v="1"/>
    <n v="24321"/>
    <n v="10"/>
    <n v="2432.1"/>
    <n v="3940"/>
    <n v="350"/>
    <n v="26178.9"/>
    <x v="1"/>
    <x v="1"/>
    <s v="Delhi"/>
    <x v="5"/>
    <x v="1"/>
    <x v="2"/>
    <x v="1"/>
    <x v="4"/>
    <s v="Delivered"/>
  </r>
  <r>
    <s v="ORD00132"/>
    <x v="108"/>
    <s v="CUST831"/>
    <s v="Anjali"/>
    <x v="0"/>
    <n v="45"/>
    <x v="4"/>
    <x v="0"/>
    <x v="4"/>
    <x v="8"/>
    <n v="4"/>
    <n v="42895"/>
    <n v="15"/>
    <n v="25737"/>
    <n v="26251.74"/>
    <n v="98"/>
    <n v="172192.74"/>
    <x v="3"/>
    <x v="0"/>
    <s v="Lucknow"/>
    <x v="4"/>
    <x v="1"/>
    <x v="7"/>
    <x v="1"/>
    <x v="0"/>
    <s v="Shipped"/>
  </r>
  <r>
    <s v="ORD00133"/>
    <x v="5"/>
    <s v="CUST726"/>
    <s v="Rahul"/>
    <x v="0"/>
    <n v="58"/>
    <x v="1"/>
    <x v="0"/>
    <x v="1"/>
    <x v="7"/>
    <n v="5"/>
    <n v="48980"/>
    <n v="0"/>
    <n v="0"/>
    <n v="44082"/>
    <n v="96"/>
    <n v="289078"/>
    <x v="3"/>
    <x v="0"/>
    <s v="Jaipur"/>
    <x v="2"/>
    <x v="1"/>
    <x v="8"/>
    <x v="1"/>
    <x v="2"/>
    <s v="Returned"/>
  </r>
  <r>
    <s v="ORD00134"/>
    <x v="109"/>
    <s v="CUST979"/>
    <s v="Arjun"/>
    <x v="1"/>
    <n v="33"/>
    <x v="8"/>
    <x v="0"/>
    <x v="8"/>
    <x v="8"/>
    <n v="1"/>
    <n v="49527"/>
    <n v="0"/>
    <n v="0"/>
    <n v="8914.86"/>
    <n v="456"/>
    <n v="58897.86"/>
    <x v="2"/>
    <x v="0"/>
    <s v="Pune"/>
    <x v="0"/>
    <x v="0"/>
    <x v="8"/>
    <x v="1"/>
    <x v="4"/>
    <s v="Returned"/>
  </r>
  <r>
    <s v="ORD00135"/>
    <x v="110"/>
    <s v="CUST262"/>
    <s v="Sneha"/>
    <x v="0"/>
    <n v="55"/>
    <x v="8"/>
    <x v="0"/>
    <x v="8"/>
    <x v="5"/>
    <n v="4"/>
    <n v="24297"/>
    <n v="5"/>
    <n v="4859.3999999999996"/>
    <n v="16619.150000000001"/>
    <n v="167"/>
    <n v="109114.75"/>
    <x v="1"/>
    <x v="0"/>
    <s v="Lucknow"/>
    <x v="4"/>
    <x v="1"/>
    <x v="8"/>
    <x v="0"/>
    <x v="0"/>
    <s v="Delivered"/>
  </r>
  <r>
    <s v="ORD00136"/>
    <x v="86"/>
    <s v="CUST905"/>
    <s v="Amit"/>
    <x v="1"/>
    <n v="57"/>
    <x v="4"/>
    <x v="0"/>
    <x v="4"/>
    <x v="6"/>
    <n v="5"/>
    <n v="47683"/>
    <n v="5"/>
    <n v="11920.75"/>
    <n v="40768.959999999999"/>
    <n v="420"/>
    <n v="267683.21000000002"/>
    <x v="0"/>
    <x v="0"/>
    <s v="Delhi"/>
    <x v="5"/>
    <x v="1"/>
    <x v="1"/>
    <x v="1"/>
    <x v="1"/>
    <s v="Delivered"/>
  </r>
  <r>
    <s v="ORD00137"/>
    <x v="111"/>
    <s v="CUST630"/>
    <s v="Priya"/>
    <x v="1"/>
    <n v="59"/>
    <x v="1"/>
    <x v="0"/>
    <x v="1"/>
    <x v="9"/>
    <n v="3"/>
    <n v="48486"/>
    <n v="0"/>
    <n v="0"/>
    <n v="26182.44"/>
    <n v="460"/>
    <n v="172100.44"/>
    <x v="2"/>
    <x v="0"/>
    <s v="Bangalore"/>
    <x v="3"/>
    <x v="2"/>
    <x v="4"/>
    <x v="0"/>
    <x v="2"/>
    <s v="Cancelled"/>
  </r>
  <r>
    <s v="ORD00138"/>
    <x v="112"/>
    <s v="CUST336"/>
    <s v="Amit"/>
    <x v="1"/>
    <n v="18"/>
    <x v="4"/>
    <x v="0"/>
    <x v="4"/>
    <x v="2"/>
    <n v="4"/>
    <n v="35587"/>
    <n v="10"/>
    <n v="14234.8"/>
    <n v="23060.38"/>
    <n v="243"/>
    <n v="151416.57999999999"/>
    <x v="3"/>
    <x v="0"/>
    <s v="Patiala"/>
    <x v="1"/>
    <x v="1"/>
    <x v="2"/>
    <x v="0"/>
    <x v="1"/>
    <s v="Shipped"/>
  </r>
  <r>
    <s v="ORD00139"/>
    <x v="104"/>
    <s v="CUST813"/>
    <s v="Rahul"/>
    <x v="1"/>
    <n v="47"/>
    <x v="5"/>
    <x v="0"/>
    <x v="5"/>
    <x v="8"/>
    <n v="5"/>
    <n v="38537"/>
    <n v="20"/>
    <n v="38537"/>
    <n v="27746.639999999999"/>
    <n v="428"/>
    <n v="182322.64"/>
    <x v="2"/>
    <x v="1"/>
    <s v="Bangalore"/>
    <x v="3"/>
    <x v="2"/>
    <x v="6"/>
    <x v="0"/>
    <x v="0"/>
    <s v="Shipped"/>
  </r>
  <r>
    <s v="ORD00140"/>
    <x v="113"/>
    <s v="CUST631"/>
    <s v="Neha"/>
    <x v="0"/>
    <n v="18"/>
    <x v="5"/>
    <x v="0"/>
    <x v="5"/>
    <x v="7"/>
    <n v="5"/>
    <n v="2675"/>
    <n v="15"/>
    <n v="2006.25"/>
    <n v="2046.38"/>
    <n v="318"/>
    <n v="13733.12"/>
    <x v="0"/>
    <x v="0"/>
    <s v="Pune"/>
    <x v="0"/>
    <x v="0"/>
    <x v="2"/>
    <x v="1"/>
    <x v="0"/>
    <s v="Cancelled"/>
  </r>
  <r>
    <s v="ORD00141"/>
    <x v="40"/>
    <s v="CUST688"/>
    <s v="Amit"/>
    <x v="1"/>
    <n v="43"/>
    <x v="3"/>
    <x v="2"/>
    <x v="3"/>
    <x v="8"/>
    <n v="3"/>
    <n v="31905"/>
    <n v="5"/>
    <n v="4785.75"/>
    <n v="16367.26"/>
    <n v="396"/>
    <n v="107692.51"/>
    <x v="3"/>
    <x v="1"/>
    <s v="Patiala"/>
    <x v="1"/>
    <x v="1"/>
    <x v="9"/>
    <x v="1"/>
    <x v="4"/>
    <s v="Cancelled"/>
  </r>
  <r>
    <s v="ORD00142"/>
    <x v="114"/>
    <s v="CUST100"/>
    <s v="Rahul"/>
    <x v="1"/>
    <n v="60"/>
    <x v="5"/>
    <x v="0"/>
    <x v="5"/>
    <x v="9"/>
    <n v="1"/>
    <n v="37253"/>
    <n v="5"/>
    <n v="1862.65"/>
    <n v="6370.26"/>
    <n v="234"/>
    <n v="41994.61"/>
    <x v="1"/>
    <x v="0"/>
    <s v="Jaipur"/>
    <x v="2"/>
    <x v="1"/>
    <x v="1"/>
    <x v="0"/>
    <x v="0"/>
    <s v="Delivered"/>
  </r>
  <r>
    <s v="ORD00143"/>
    <x v="115"/>
    <s v="CUST905"/>
    <s v="Amit"/>
    <x v="0"/>
    <n v="24"/>
    <x v="4"/>
    <x v="0"/>
    <x v="4"/>
    <x v="6"/>
    <n v="1"/>
    <n v="7447"/>
    <n v="20"/>
    <n v="1489.4"/>
    <n v="1072.3699999999999"/>
    <n v="383"/>
    <n v="7412.97"/>
    <x v="0"/>
    <x v="0"/>
    <s v="Delhi"/>
    <x v="5"/>
    <x v="1"/>
    <x v="4"/>
    <x v="0"/>
    <x v="4"/>
    <s v="Shipped"/>
  </r>
  <r>
    <s v="ORD00144"/>
    <x v="116"/>
    <s v="CUST345"/>
    <s v="Rahul"/>
    <x v="0"/>
    <n v="27"/>
    <x v="6"/>
    <x v="0"/>
    <x v="6"/>
    <x v="6"/>
    <n v="3"/>
    <n v="2465"/>
    <n v="5"/>
    <n v="369.75"/>
    <n v="1264.54"/>
    <n v="407"/>
    <n v="8696.7999999999993"/>
    <x v="0"/>
    <x v="1"/>
    <s v="Patiala"/>
    <x v="1"/>
    <x v="1"/>
    <x v="8"/>
    <x v="1"/>
    <x v="4"/>
    <s v="Returned"/>
  </r>
  <r>
    <s v="ORD00145"/>
    <x v="72"/>
    <s v="CUST280"/>
    <s v="Amit"/>
    <x v="1"/>
    <n v="52"/>
    <x v="6"/>
    <x v="0"/>
    <x v="6"/>
    <x v="4"/>
    <n v="2"/>
    <n v="43125"/>
    <n v="10"/>
    <n v="8625"/>
    <n v="13972.5"/>
    <n v="153"/>
    <n v="91750.5"/>
    <x v="0"/>
    <x v="1"/>
    <s v="Lucknow"/>
    <x v="4"/>
    <x v="1"/>
    <x v="8"/>
    <x v="1"/>
    <x v="2"/>
    <s v="Returned"/>
  </r>
  <r>
    <s v="ORD00146"/>
    <x v="117"/>
    <s v="CUST463"/>
    <s v="Sneha"/>
    <x v="1"/>
    <n v="48"/>
    <x v="5"/>
    <x v="0"/>
    <x v="5"/>
    <x v="7"/>
    <n v="2"/>
    <n v="25854"/>
    <n v="15"/>
    <n v="7756.2"/>
    <n v="7911.32"/>
    <n v="26"/>
    <n v="51889.120000000003"/>
    <x v="2"/>
    <x v="1"/>
    <s v="Patiala"/>
    <x v="1"/>
    <x v="1"/>
    <x v="0"/>
    <x v="1"/>
    <x v="4"/>
    <s v="Cancelled"/>
  </r>
  <r>
    <s v="ORD00147"/>
    <x v="118"/>
    <s v="CUST400"/>
    <s v="Amit"/>
    <x v="1"/>
    <n v="24"/>
    <x v="1"/>
    <x v="0"/>
    <x v="1"/>
    <x v="1"/>
    <n v="4"/>
    <n v="24413"/>
    <n v="0"/>
    <n v="0"/>
    <n v="17577.36"/>
    <n v="0"/>
    <n v="115229.36"/>
    <x v="2"/>
    <x v="1"/>
    <s v="Mumbai"/>
    <x v="0"/>
    <x v="0"/>
    <x v="9"/>
    <x v="0"/>
    <x v="0"/>
    <s v="Shipped"/>
  </r>
  <r>
    <s v="ORD00148"/>
    <x v="119"/>
    <s v="CUST204"/>
    <s v="Riya"/>
    <x v="1"/>
    <n v="59"/>
    <x v="9"/>
    <x v="0"/>
    <x v="9"/>
    <x v="3"/>
    <n v="2"/>
    <n v="8194"/>
    <n v="5"/>
    <n v="819.4"/>
    <n v="2802.35"/>
    <n v="178"/>
    <n v="18548.95"/>
    <x v="0"/>
    <x v="1"/>
    <s v="Delhi"/>
    <x v="5"/>
    <x v="1"/>
    <x v="9"/>
    <x v="1"/>
    <x v="3"/>
    <s v="Cancelled"/>
  </r>
  <r>
    <s v="ORD00149"/>
    <x v="120"/>
    <s v="CUST237"/>
    <s v="Neha"/>
    <x v="1"/>
    <n v="31"/>
    <x v="6"/>
    <x v="0"/>
    <x v="6"/>
    <x v="4"/>
    <n v="2"/>
    <n v="23798"/>
    <n v="5"/>
    <n v="2379.8000000000002"/>
    <n v="8138.92"/>
    <n v="62"/>
    <n v="53417.120000000003"/>
    <x v="1"/>
    <x v="1"/>
    <s v="Pune"/>
    <x v="0"/>
    <x v="0"/>
    <x v="9"/>
    <x v="1"/>
    <x v="4"/>
    <s v="Cancelled"/>
  </r>
  <r>
    <s v="ORD00150"/>
    <x v="121"/>
    <s v="CUST635"/>
    <s v="Priya"/>
    <x v="0"/>
    <n v="50"/>
    <x v="2"/>
    <x v="1"/>
    <x v="2"/>
    <x v="2"/>
    <n v="1"/>
    <n v="26351"/>
    <n v="5"/>
    <n v="1317.55"/>
    <n v="4506.0200000000004"/>
    <n v="205"/>
    <n v="29744.47"/>
    <x v="1"/>
    <x v="1"/>
    <s v="Delhi"/>
    <x v="5"/>
    <x v="1"/>
    <x v="7"/>
    <x v="1"/>
    <x v="0"/>
    <s v="Delivered"/>
  </r>
  <r>
    <s v="ORD00151"/>
    <x v="122"/>
    <s v="CUST742"/>
    <s v="Neha"/>
    <x v="0"/>
    <n v="40"/>
    <x v="8"/>
    <x v="0"/>
    <x v="8"/>
    <x v="4"/>
    <n v="2"/>
    <n v="32644"/>
    <n v="0"/>
    <n v="0"/>
    <n v="11751.84"/>
    <n v="413"/>
    <n v="77452.84"/>
    <x v="3"/>
    <x v="0"/>
    <s v="Pune"/>
    <x v="0"/>
    <x v="0"/>
    <x v="5"/>
    <x v="0"/>
    <x v="1"/>
    <s v="Cancelled"/>
  </r>
  <r>
    <s v="ORD00152"/>
    <x v="123"/>
    <s v="CUST493"/>
    <s v="Vikas"/>
    <x v="0"/>
    <n v="34"/>
    <x v="8"/>
    <x v="0"/>
    <x v="8"/>
    <x v="0"/>
    <n v="5"/>
    <n v="13792"/>
    <n v="0"/>
    <n v="0"/>
    <n v="12412.8"/>
    <n v="437"/>
    <n v="81809.8"/>
    <x v="2"/>
    <x v="1"/>
    <s v="Lucknow"/>
    <x v="4"/>
    <x v="1"/>
    <x v="0"/>
    <x v="0"/>
    <x v="1"/>
    <s v="Delivered"/>
  </r>
  <r>
    <s v="ORD00153"/>
    <x v="124"/>
    <s v="CUST596"/>
    <s v="Karan"/>
    <x v="1"/>
    <n v="31"/>
    <x v="4"/>
    <x v="0"/>
    <x v="4"/>
    <x v="7"/>
    <n v="5"/>
    <n v="12497"/>
    <n v="15"/>
    <n v="9372.75"/>
    <n v="9560.2000000000007"/>
    <n v="71"/>
    <n v="62743.46"/>
    <x v="0"/>
    <x v="1"/>
    <s v="Lucknow"/>
    <x v="4"/>
    <x v="1"/>
    <x v="3"/>
    <x v="1"/>
    <x v="4"/>
    <s v="Delivered"/>
  </r>
  <r>
    <s v="ORD00154"/>
    <x v="118"/>
    <s v="CUST437"/>
    <s v="Anjali"/>
    <x v="0"/>
    <n v="51"/>
    <x v="2"/>
    <x v="1"/>
    <x v="2"/>
    <x v="1"/>
    <n v="5"/>
    <n v="46090"/>
    <n v="5"/>
    <n v="11522.5"/>
    <n v="39406.949999999997"/>
    <n v="212"/>
    <n v="258546.45"/>
    <x v="2"/>
    <x v="1"/>
    <s v="Bangalore"/>
    <x v="3"/>
    <x v="2"/>
    <x v="4"/>
    <x v="0"/>
    <x v="2"/>
    <s v="Cancelled"/>
  </r>
  <r>
    <s v="ORD00155"/>
    <x v="125"/>
    <s v="CUST774"/>
    <s v="Neha"/>
    <x v="0"/>
    <n v="34"/>
    <x v="6"/>
    <x v="0"/>
    <x v="6"/>
    <x v="9"/>
    <n v="5"/>
    <n v="5689"/>
    <n v="10"/>
    <n v="2844.5"/>
    <n v="4608.09"/>
    <n v="96"/>
    <n v="30304.59"/>
    <x v="2"/>
    <x v="0"/>
    <s v="Patiala"/>
    <x v="1"/>
    <x v="1"/>
    <x v="4"/>
    <x v="1"/>
    <x v="0"/>
    <s v="Cancelled"/>
  </r>
  <r>
    <s v="ORD00156"/>
    <x v="39"/>
    <s v="CUST652"/>
    <s v="Sneha"/>
    <x v="0"/>
    <n v="39"/>
    <x v="2"/>
    <x v="1"/>
    <x v="2"/>
    <x v="4"/>
    <n v="1"/>
    <n v="37843"/>
    <n v="0"/>
    <n v="0"/>
    <n v="6811.74"/>
    <n v="134"/>
    <n v="44788.74"/>
    <x v="1"/>
    <x v="0"/>
    <s v="Bangalore"/>
    <x v="3"/>
    <x v="2"/>
    <x v="6"/>
    <x v="0"/>
    <x v="3"/>
    <s v="Shipped"/>
  </r>
  <r>
    <s v="ORD00157"/>
    <x v="126"/>
    <s v="CUST395"/>
    <s v="Neha"/>
    <x v="1"/>
    <n v="26"/>
    <x v="9"/>
    <x v="0"/>
    <x v="9"/>
    <x v="1"/>
    <n v="2"/>
    <n v="11265"/>
    <n v="20"/>
    <n v="4506"/>
    <n v="3244.32"/>
    <n v="220"/>
    <n v="21488.32"/>
    <x v="2"/>
    <x v="1"/>
    <s v="Bangalore"/>
    <x v="3"/>
    <x v="2"/>
    <x v="1"/>
    <x v="1"/>
    <x v="2"/>
    <s v="Cancelled"/>
  </r>
  <r>
    <s v="ORD00158"/>
    <x v="127"/>
    <s v="CUST116"/>
    <s v="Neha"/>
    <x v="0"/>
    <n v="28"/>
    <x v="4"/>
    <x v="0"/>
    <x v="4"/>
    <x v="4"/>
    <n v="2"/>
    <n v="3628"/>
    <n v="20"/>
    <n v="1451.2"/>
    <n v="1044.8599999999999"/>
    <n v="45"/>
    <n v="6894.66"/>
    <x v="3"/>
    <x v="0"/>
    <s v="Delhi"/>
    <x v="5"/>
    <x v="1"/>
    <x v="9"/>
    <x v="1"/>
    <x v="0"/>
    <s v="Delivered"/>
  </r>
  <r>
    <s v="ORD00159"/>
    <x v="128"/>
    <s v="CUST707"/>
    <s v="Amit"/>
    <x v="1"/>
    <n v="35"/>
    <x v="4"/>
    <x v="0"/>
    <x v="4"/>
    <x v="2"/>
    <n v="2"/>
    <n v="7118"/>
    <n v="10"/>
    <n v="1423.6"/>
    <n v="2306.23"/>
    <n v="140"/>
    <n v="15258.63"/>
    <x v="3"/>
    <x v="1"/>
    <s v="Pune"/>
    <x v="0"/>
    <x v="0"/>
    <x v="3"/>
    <x v="0"/>
    <x v="3"/>
    <s v="Shipped"/>
  </r>
  <r>
    <s v="ORD00160"/>
    <x v="83"/>
    <s v="CUST330"/>
    <s v="Anjali"/>
    <x v="1"/>
    <n v="48"/>
    <x v="6"/>
    <x v="0"/>
    <x v="6"/>
    <x v="2"/>
    <n v="2"/>
    <n v="31726"/>
    <n v="15"/>
    <n v="9517.7999999999993"/>
    <n v="9708.16"/>
    <n v="13"/>
    <n v="63655.360000000001"/>
    <x v="3"/>
    <x v="1"/>
    <s v="Mumbai"/>
    <x v="0"/>
    <x v="0"/>
    <x v="0"/>
    <x v="0"/>
    <x v="4"/>
    <s v="Cancelled"/>
  </r>
  <r>
    <s v="ORD00161"/>
    <x v="92"/>
    <s v="CUST275"/>
    <s v="Karan"/>
    <x v="0"/>
    <n v="24"/>
    <x v="9"/>
    <x v="0"/>
    <x v="9"/>
    <x v="3"/>
    <n v="4"/>
    <n v="42298"/>
    <n v="20"/>
    <n v="33838.400000000001"/>
    <n v="24363.65"/>
    <n v="262"/>
    <n v="159979.25"/>
    <x v="1"/>
    <x v="1"/>
    <s v="Patiala"/>
    <x v="1"/>
    <x v="1"/>
    <x v="6"/>
    <x v="0"/>
    <x v="4"/>
    <s v="Delivered"/>
  </r>
  <r>
    <s v="ORD00162"/>
    <x v="129"/>
    <s v="CUST133"/>
    <s v="Priya"/>
    <x v="1"/>
    <n v="30"/>
    <x v="1"/>
    <x v="0"/>
    <x v="1"/>
    <x v="6"/>
    <n v="4"/>
    <n v="43897"/>
    <n v="15"/>
    <n v="26338.2"/>
    <n v="26864.959999999999"/>
    <n v="108"/>
    <n v="176222.76"/>
    <x v="1"/>
    <x v="1"/>
    <s v="Patiala"/>
    <x v="1"/>
    <x v="1"/>
    <x v="6"/>
    <x v="0"/>
    <x v="3"/>
    <s v="Cancelled"/>
  </r>
  <r>
    <s v="ORD00163"/>
    <x v="130"/>
    <s v="CUST905"/>
    <s v="Rahul"/>
    <x v="0"/>
    <n v="19"/>
    <x v="7"/>
    <x v="1"/>
    <x v="7"/>
    <x v="6"/>
    <n v="2"/>
    <n v="48486"/>
    <n v="0"/>
    <n v="0"/>
    <n v="17454.96"/>
    <n v="267"/>
    <n v="114693.96"/>
    <x v="1"/>
    <x v="0"/>
    <s v="Bangalore"/>
    <x v="3"/>
    <x v="2"/>
    <x v="0"/>
    <x v="0"/>
    <x v="4"/>
    <s v="Delivered"/>
  </r>
  <r>
    <s v="ORD00164"/>
    <x v="51"/>
    <s v="CUST196"/>
    <s v="Amit"/>
    <x v="0"/>
    <n v="37"/>
    <x v="7"/>
    <x v="1"/>
    <x v="7"/>
    <x v="4"/>
    <n v="3"/>
    <n v="11761"/>
    <n v="15"/>
    <n v="5292.45"/>
    <n v="5398.3"/>
    <n v="14"/>
    <n v="35402.85"/>
    <x v="0"/>
    <x v="1"/>
    <s v="Chandigarh"/>
    <x v="1"/>
    <x v="1"/>
    <x v="8"/>
    <x v="0"/>
    <x v="0"/>
    <s v="Delivered"/>
  </r>
  <r>
    <s v="ORD00165"/>
    <x v="15"/>
    <s v="CUST169"/>
    <s v="Sneha"/>
    <x v="1"/>
    <n v="19"/>
    <x v="5"/>
    <x v="0"/>
    <x v="5"/>
    <x v="5"/>
    <n v="1"/>
    <n v="34466"/>
    <n v="5"/>
    <n v="1723.3"/>
    <n v="5893.69"/>
    <n v="50"/>
    <n v="38686.39"/>
    <x v="3"/>
    <x v="0"/>
    <s v="Lucknow"/>
    <x v="4"/>
    <x v="1"/>
    <x v="0"/>
    <x v="0"/>
    <x v="3"/>
    <s v="Delivered"/>
  </r>
  <r>
    <s v="ORD00166"/>
    <x v="119"/>
    <s v="CUST774"/>
    <s v="Vikas"/>
    <x v="0"/>
    <n v="57"/>
    <x v="7"/>
    <x v="1"/>
    <x v="7"/>
    <x v="0"/>
    <n v="3"/>
    <n v="42623"/>
    <n v="20"/>
    <n v="25573.8"/>
    <n v="18413.14"/>
    <n v="20"/>
    <n v="120728.34"/>
    <x v="1"/>
    <x v="1"/>
    <s v="Lucknow"/>
    <x v="4"/>
    <x v="1"/>
    <x v="0"/>
    <x v="1"/>
    <x v="0"/>
    <s v="Shipped"/>
  </r>
  <r>
    <s v="ORD00167"/>
    <x v="131"/>
    <s v="CUST715"/>
    <s v="Karan"/>
    <x v="0"/>
    <n v="45"/>
    <x v="2"/>
    <x v="1"/>
    <x v="2"/>
    <x v="8"/>
    <n v="2"/>
    <n v="35830"/>
    <n v="10"/>
    <n v="7166"/>
    <n v="11608.92"/>
    <n v="133"/>
    <n v="76235.92"/>
    <x v="2"/>
    <x v="0"/>
    <s v="Chandigarh"/>
    <x v="1"/>
    <x v="1"/>
    <x v="6"/>
    <x v="1"/>
    <x v="0"/>
    <s v="Delivered"/>
  </r>
  <r>
    <s v="ORD00168"/>
    <x v="132"/>
    <s v="CUST634"/>
    <s v="Anjali"/>
    <x v="0"/>
    <n v="37"/>
    <x v="7"/>
    <x v="1"/>
    <x v="7"/>
    <x v="0"/>
    <n v="1"/>
    <n v="40523"/>
    <n v="0"/>
    <n v="0"/>
    <n v="7294.14"/>
    <n v="302"/>
    <n v="48119.14"/>
    <x v="3"/>
    <x v="1"/>
    <s v="Patiala"/>
    <x v="1"/>
    <x v="1"/>
    <x v="7"/>
    <x v="0"/>
    <x v="4"/>
    <s v="Returned"/>
  </r>
  <r>
    <s v="ORD00169"/>
    <x v="133"/>
    <s v="CUST198"/>
    <s v="Amit"/>
    <x v="1"/>
    <n v="24"/>
    <x v="1"/>
    <x v="0"/>
    <x v="1"/>
    <x v="9"/>
    <n v="4"/>
    <n v="11352"/>
    <n v="0"/>
    <n v="0"/>
    <n v="8173.44"/>
    <n v="161"/>
    <n v="53742.44"/>
    <x v="1"/>
    <x v="0"/>
    <s v="Mumbai"/>
    <x v="0"/>
    <x v="0"/>
    <x v="4"/>
    <x v="0"/>
    <x v="0"/>
    <s v="Cancelled"/>
  </r>
  <r>
    <s v="ORD00170"/>
    <x v="134"/>
    <s v="CUST119"/>
    <s v="Rahul"/>
    <x v="1"/>
    <n v="18"/>
    <x v="3"/>
    <x v="2"/>
    <x v="3"/>
    <x v="0"/>
    <n v="4"/>
    <n v="42955"/>
    <n v="0"/>
    <n v="0"/>
    <n v="30927.599999999999"/>
    <n v="41"/>
    <n v="202788.6"/>
    <x v="1"/>
    <x v="1"/>
    <s v="Pune"/>
    <x v="0"/>
    <x v="0"/>
    <x v="7"/>
    <x v="0"/>
    <x v="3"/>
    <s v="Returned"/>
  </r>
  <r>
    <s v="ORD00171"/>
    <x v="135"/>
    <s v="CUST117"/>
    <s v="Anjali"/>
    <x v="0"/>
    <n v="59"/>
    <x v="2"/>
    <x v="1"/>
    <x v="2"/>
    <x v="6"/>
    <n v="3"/>
    <n v="40789"/>
    <n v="10"/>
    <n v="12236.7"/>
    <n v="19823.45"/>
    <n v="488"/>
    <n v="130441.75"/>
    <x v="3"/>
    <x v="0"/>
    <s v="Chandigarh"/>
    <x v="1"/>
    <x v="1"/>
    <x v="2"/>
    <x v="0"/>
    <x v="0"/>
    <s v="Returned"/>
  </r>
  <r>
    <s v="ORD00172"/>
    <x v="80"/>
    <s v="CUST260"/>
    <s v="Vikas"/>
    <x v="0"/>
    <n v="56"/>
    <x v="0"/>
    <x v="0"/>
    <x v="0"/>
    <x v="0"/>
    <n v="5"/>
    <n v="39991"/>
    <n v="5"/>
    <n v="9997.75"/>
    <n v="34192.31"/>
    <n v="328"/>
    <n v="224477.55"/>
    <x v="0"/>
    <x v="1"/>
    <s v="Delhi"/>
    <x v="5"/>
    <x v="1"/>
    <x v="3"/>
    <x v="1"/>
    <x v="1"/>
    <s v="Cancelled"/>
  </r>
  <r>
    <s v="ORD00173"/>
    <x v="6"/>
    <s v="CUST689"/>
    <s v="Karan"/>
    <x v="1"/>
    <n v="41"/>
    <x v="1"/>
    <x v="0"/>
    <x v="1"/>
    <x v="9"/>
    <n v="3"/>
    <n v="22410"/>
    <n v="10"/>
    <n v="6723"/>
    <n v="10891.26"/>
    <n v="365"/>
    <n v="71763.259999999995"/>
    <x v="1"/>
    <x v="1"/>
    <s v="Delhi"/>
    <x v="5"/>
    <x v="1"/>
    <x v="0"/>
    <x v="1"/>
    <x v="0"/>
    <s v="Returned"/>
  </r>
  <r>
    <s v="ORD00174"/>
    <x v="136"/>
    <s v="CUST343"/>
    <s v="Amit"/>
    <x v="0"/>
    <n v="18"/>
    <x v="6"/>
    <x v="0"/>
    <x v="6"/>
    <x v="1"/>
    <n v="4"/>
    <n v="3086"/>
    <n v="10"/>
    <n v="1234.4000000000001"/>
    <n v="1999.73"/>
    <n v="247"/>
    <n v="13356.33"/>
    <x v="0"/>
    <x v="1"/>
    <s v="Mumbai"/>
    <x v="0"/>
    <x v="0"/>
    <x v="1"/>
    <x v="1"/>
    <x v="4"/>
    <s v="Cancelled"/>
  </r>
  <r>
    <s v="ORD00175"/>
    <x v="137"/>
    <s v="CUST273"/>
    <s v="Arjun"/>
    <x v="1"/>
    <n v="53"/>
    <x v="0"/>
    <x v="0"/>
    <x v="0"/>
    <x v="2"/>
    <n v="3"/>
    <n v="39476"/>
    <n v="20"/>
    <n v="23685.599999999999"/>
    <n v="17053.63"/>
    <n v="78"/>
    <n v="111874.03"/>
    <x v="3"/>
    <x v="1"/>
    <s v="Delhi"/>
    <x v="5"/>
    <x v="1"/>
    <x v="8"/>
    <x v="1"/>
    <x v="2"/>
    <s v="Returned"/>
  </r>
  <r>
    <s v="ORD00176"/>
    <x v="138"/>
    <s v="CUST899"/>
    <s v="Arjun"/>
    <x v="0"/>
    <n v="31"/>
    <x v="1"/>
    <x v="0"/>
    <x v="1"/>
    <x v="1"/>
    <n v="1"/>
    <n v="31021"/>
    <n v="15"/>
    <n v="4653.1499999999996"/>
    <n v="4746.21"/>
    <n v="39"/>
    <n v="31153.06"/>
    <x v="3"/>
    <x v="0"/>
    <s v="Patiala"/>
    <x v="1"/>
    <x v="1"/>
    <x v="6"/>
    <x v="1"/>
    <x v="1"/>
    <s v="Delivered"/>
  </r>
  <r>
    <s v="ORD00177"/>
    <x v="139"/>
    <s v="CUST737"/>
    <s v="Sneha"/>
    <x v="1"/>
    <n v="46"/>
    <x v="4"/>
    <x v="0"/>
    <x v="4"/>
    <x v="9"/>
    <n v="1"/>
    <n v="581"/>
    <n v="0"/>
    <n v="0"/>
    <n v="104.58"/>
    <n v="19"/>
    <n v="704.58"/>
    <x v="3"/>
    <x v="0"/>
    <s v="Delhi"/>
    <x v="5"/>
    <x v="1"/>
    <x v="1"/>
    <x v="1"/>
    <x v="2"/>
    <s v="Shipped"/>
  </r>
  <r>
    <s v="ORD00178"/>
    <x v="5"/>
    <s v="CUST387"/>
    <s v="Riya"/>
    <x v="0"/>
    <n v="23"/>
    <x v="8"/>
    <x v="0"/>
    <x v="8"/>
    <x v="5"/>
    <n v="3"/>
    <n v="36753"/>
    <n v="10"/>
    <n v="11025.9"/>
    <n v="17861.96"/>
    <n v="200"/>
    <n v="117295.06"/>
    <x v="2"/>
    <x v="0"/>
    <s v="Lucknow"/>
    <x v="4"/>
    <x v="1"/>
    <x v="7"/>
    <x v="0"/>
    <x v="3"/>
    <s v="Cancelled"/>
  </r>
  <r>
    <s v="ORD00179"/>
    <x v="140"/>
    <s v="CUST825"/>
    <s v="Rahul"/>
    <x v="1"/>
    <n v="30"/>
    <x v="9"/>
    <x v="0"/>
    <x v="9"/>
    <x v="4"/>
    <n v="3"/>
    <n v="34859"/>
    <n v="5"/>
    <n v="5228.8500000000004"/>
    <n v="17882.669999999998"/>
    <n v="482"/>
    <n v="117712.82"/>
    <x v="2"/>
    <x v="0"/>
    <s v="Patiala"/>
    <x v="1"/>
    <x v="1"/>
    <x v="4"/>
    <x v="1"/>
    <x v="0"/>
    <s v="Returned"/>
  </r>
  <r>
    <s v="ORD00180"/>
    <x v="141"/>
    <s v="CUST930"/>
    <s v="Anjali"/>
    <x v="1"/>
    <n v="38"/>
    <x v="3"/>
    <x v="2"/>
    <x v="3"/>
    <x v="8"/>
    <n v="3"/>
    <n v="27908"/>
    <n v="15"/>
    <n v="12558.6"/>
    <n v="12809.77"/>
    <n v="250"/>
    <n v="84225.17"/>
    <x v="1"/>
    <x v="0"/>
    <s v="Patiala"/>
    <x v="1"/>
    <x v="1"/>
    <x v="7"/>
    <x v="1"/>
    <x v="4"/>
    <s v="Delivered"/>
  </r>
  <r>
    <s v="ORD00181"/>
    <x v="142"/>
    <s v="CUST588"/>
    <s v="Anjali"/>
    <x v="1"/>
    <n v="29"/>
    <x v="9"/>
    <x v="0"/>
    <x v="9"/>
    <x v="3"/>
    <n v="3"/>
    <n v="47658"/>
    <n v="0"/>
    <n v="0"/>
    <n v="25735.32"/>
    <n v="240"/>
    <n v="168949.32"/>
    <x v="1"/>
    <x v="0"/>
    <s v="Patiala"/>
    <x v="1"/>
    <x v="1"/>
    <x v="1"/>
    <x v="0"/>
    <x v="2"/>
    <s v="Cancelled"/>
  </r>
  <r>
    <s v="ORD00182"/>
    <x v="143"/>
    <s v="CUST374"/>
    <s v="Karan"/>
    <x v="1"/>
    <n v="56"/>
    <x v="0"/>
    <x v="0"/>
    <x v="0"/>
    <x v="2"/>
    <n v="4"/>
    <n v="2329"/>
    <n v="0"/>
    <n v="0"/>
    <n v="1676.88"/>
    <n v="348"/>
    <n v="11340.88"/>
    <x v="2"/>
    <x v="0"/>
    <s v="Chandigarh"/>
    <x v="1"/>
    <x v="1"/>
    <x v="0"/>
    <x v="0"/>
    <x v="2"/>
    <s v="Delivered"/>
  </r>
  <r>
    <s v="ORD00183"/>
    <x v="63"/>
    <s v="CUST172"/>
    <s v="Karan"/>
    <x v="1"/>
    <n v="42"/>
    <x v="0"/>
    <x v="0"/>
    <x v="0"/>
    <x v="9"/>
    <n v="2"/>
    <n v="10674"/>
    <n v="20"/>
    <n v="4269.6000000000004"/>
    <n v="3074.11"/>
    <n v="316"/>
    <n v="20468.509999999998"/>
    <x v="0"/>
    <x v="0"/>
    <s v="Pune"/>
    <x v="0"/>
    <x v="0"/>
    <x v="8"/>
    <x v="0"/>
    <x v="0"/>
    <s v="Shipped"/>
  </r>
  <r>
    <s v="ORD00184"/>
    <x v="111"/>
    <s v="CUST922"/>
    <s v="Anjali"/>
    <x v="0"/>
    <n v="37"/>
    <x v="9"/>
    <x v="0"/>
    <x v="9"/>
    <x v="2"/>
    <n v="4"/>
    <n v="9797"/>
    <n v="15"/>
    <n v="5878.2"/>
    <n v="5995.76"/>
    <n v="457"/>
    <n v="39762.559999999998"/>
    <x v="3"/>
    <x v="0"/>
    <s v="Chandigarh"/>
    <x v="1"/>
    <x v="1"/>
    <x v="2"/>
    <x v="1"/>
    <x v="4"/>
    <s v="Shipped"/>
  </r>
  <r>
    <s v="ORD00185"/>
    <x v="144"/>
    <s v="CUST755"/>
    <s v="Amit"/>
    <x v="1"/>
    <n v="46"/>
    <x v="4"/>
    <x v="0"/>
    <x v="4"/>
    <x v="0"/>
    <n v="3"/>
    <n v="44724"/>
    <n v="5"/>
    <n v="6708.6"/>
    <n v="22943.41"/>
    <n v="76"/>
    <n v="150482.81"/>
    <x v="3"/>
    <x v="0"/>
    <s v="Delhi"/>
    <x v="5"/>
    <x v="1"/>
    <x v="5"/>
    <x v="1"/>
    <x v="2"/>
    <s v="Shipped"/>
  </r>
  <r>
    <s v="ORD00186"/>
    <x v="145"/>
    <s v="CUST130"/>
    <s v="Amit"/>
    <x v="0"/>
    <n v="33"/>
    <x v="1"/>
    <x v="0"/>
    <x v="1"/>
    <x v="8"/>
    <n v="2"/>
    <n v="41199"/>
    <n v="20"/>
    <n v="16479.599999999999"/>
    <n v="11865.31"/>
    <n v="317"/>
    <n v="78100.710000000006"/>
    <x v="2"/>
    <x v="1"/>
    <s v="Pune"/>
    <x v="0"/>
    <x v="0"/>
    <x v="9"/>
    <x v="0"/>
    <x v="3"/>
    <s v="Delivered"/>
  </r>
  <r>
    <s v="ORD00187"/>
    <x v="146"/>
    <s v="CUST635"/>
    <s v="Sneha"/>
    <x v="1"/>
    <n v="37"/>
    <x v="6"/>
    <x v="0"/>
    <x v="6"/>
    <x v="4"/>
    <n v="5"/>
    <n v="41589"/>
    <n v="0"/>
    <n v="0"/>
    <n v="37430.1"/>
    <n v="194"/>
    <n v="245569.1"/>
    <x v="0"/>
    <x v="1"/>
    <s v="Patiala"/>
    <x v="1"/>
    <x v="1"/>
    <x v="3"/>
    <x v="0"/>
    <x v="0"/>
    <s v="Delivered"/>
  </r>
  <r>
    <s v="ORD00188"/>
    <x v="31"/>
    <s v="CUST542"/>
    <s v="Neha"/>
    <x v="1"/>
    <n v="50"/>
    <x v="9"/>
    <x v="0"/>
    <x v="9"/>
    <x v="8"/>
    <n v="3"/>
    <n v="38807"/>
    <n v="5"/>
    <n v="5821.05"/>
    <n v="19907.990000000002"/>
    <n v="361"/>
    <n v="130868.94"/>
    <x v="1"/>
    <x v="0"/>
    <s v="Pune"/>
    <x v="0"/>
    <x v="0"/>
    <x v="3"/>
    <x v="1"/>
    <x v="4"/>
    <s v="Returned"/>
  </r>
  <r>
    <s v="ORD00189"/>
    <x v="147"/>
    <s v="CUST301"/>
    <s v="Priya"/>
    <x v="1"/>
    <n v="32"/>
    <x v="0"/>
    <x v="0"/>
    <x v="0"/>
    <x v="3"/>
    <n v="1"/>
    <n v="6099"/>
    <n v="0"/>
    <n v="0"/>
    <n v="1097.82"/>
    <n v="238"/>
    <n v="7434.82"/>
    <x v="1"/>
    <x v="1"/>
    <s v="Lucknow"/>
    <x v="4"/>
    <x v="1"/>
    <x v="3"/>
    <x v="0"/>
    <x v="2"/>
    <s v="Delivered"/>
  </r>
  <r>
    <s v="ORD00190"/>
    <x v="4"/>
    <s v="CUST210"/>
    <s v="Anjali"/>
    <x v="0"/>
    <n v="25"/>
    <x v="2"/>
    <x v="1"/>
    <x v="2"/>
    <x v="9"/>
    <n v="1"/>
    <n v="22901"/>
    <n v="0"/>
    <n v="0"/>
    <n v="4122.18"/>
    <n v="141"/>
    <n v="27164.18"/>
    <x v="2"/>
    <x v="0"/>
    <s v="Lucknow"/>
    <x v="4"/>
    <x v="1"/>
    <x v="1"/>
    <x v="1"/>
    <x v="3"/>
    <s v="Delivered"/>
  </r>
  <r>
    <s v="ORD00191"/>
    <x v="148"/>
    <s v="CUST908"/>
    <s v="Priya"/>
    <x v="0"/>
    <n v="58"/>
    <x v="1"/>
    <x v="0"/>
    <x v="1"/>
    <x v="1"/>
    <n v="2"/>
    <n v="15512"/>
    <n v="20"/>
    <n v="6204.8"/>
    <n v="4467.46"/>
    <n v="484"/>
    <n v="29770.66"/>
    <x v="3"/>
    <x v="1"/>
    <s v="Mumbai"/>
    <x v="0"/>
    <x v="0"/>
    <x v="6"/>
    <x v="1"/>
    <x v="0"/>
    <s v="Returned"/>
  </r>
  <r>
    <s v="ORD00192"/>
    <x v="8"/>
    <s v="CUST584"/>
    <s v="Rahul"/>
    <x v="1"/>
    <n v="58"/>
    <x v="6"/>
    <x v="0"/>
    <x v="6"/>
    <x v="2"/>
    <n v="3"/>
    <n v="15329"/>
    <n v="15"/>
    <n v="6898.05"/>
    <n v="7036.01"/>
    <n v="288"/>
    <n v="46412.959999999999"/>
    <x v="1"/>
    <x v="1"/>
    <s v="Jaipur"/>
    <x v="2"/>
    <x v="1"/>
    <x v="1"/>
    <x v="0"/>
    <x v="4"/>
    <s v="Shipped"/>
  </r>
  <r>
    <s v="ORD00193"/>
    <x v="149"/>
    <s v="CUST912"/>
    <s v="Rahul"/>
    <x v="1"/>
    <n v="57"/>
    <x v="2"/>
    <x v="1"/>
    <x v="2"/>
    <x v="0"/>
    <n v="1"/>
    <n v="10386"/>
    <n v="10"/>
    <n v="1038.5999999999999"/>
    <n v="1682.53"/>
    <n v="35"/>
    <n v="11064.93"/>
    <x v="3"/>
    <x v="1"/>
    <s v="Patiala"/>
    <x v="1"/>
    <x v="1"/>
    <x v="3"/>
    <x v="1"/>
    <x v="1"/>
    <s v="Delivered"/>
  </r>
  <r>
    <s v="ORD00194"/>
    <x v="150"/>
    <s v="CUST248"/>
    <s v="Riya"/>
    <x v="1"/>
    <n v="24"/>
    <x v="5"/>
    <x v="0"/>
    <x v="5"/>
    <x v="7"/>
    <n v="1"/>
    <n v="35438"/>
    <n v="20"/>
    <n v="7087.6"/>
    <n v="5103.07"/>
    <n v="457"/>
    <n v="33910.47"/>
    <x v="0"/>
    <x v="0"/>
    <s v="Chandigarh"/>
    <x v="1"/>
    <x v="1"/>
    <x v="3"/>
    <x v="0"/>
    <x v="0"/>
    <s v="Returned"/>
  </r>
  <r>
    <s v="ORD00195"/>
    <x v="151"/>
    <s v="CUST509"/>
    <s v="Rahul"/>
    <x v="0"/>
    <n v="56"/>
    <x v="2"/>
    <x v="1"/>
    <x v="2"/>
    <x v="2"/>
    <n v="2"/>
    <n v="44534"/>
    <n v="15"/>
    <n v="13360.2"/>
    <n v="13627.4"/>
    <n v="3"/>
    <n v="89338.2"/>
    <x v="1"/>
    <x v="0"/>
    <s v="Delhi"/>
    <x v="5"/>
    <x v="1"/>
    <x v="8"/>
    <x v="0"/>
    <x v="2"/>
    <s v="Returned"/>
  </r>
  <r>
    <s v="ORD00196"/>
    <x v="152"/>
    <s v="CUST642"/>
    <s v="Riya"/>
    <x v="0"/>
    <n v="50"/>
    <x v="9"/>
    <x v="0"/>
    <x v="9"/>
    <x v="2"/>
    <n v="3"/>
    <n v="34485"/>
    <n v="20"/>
    <n v="20691"/>
    <n v="14897.52"/>
    <n v="283"/>
    <n v="97944.52"/>
    <x v="1"/>
    <x v="1"/>
    <s v="Jaipur"/>
    <x v="2"/>
    <x v="1"/>
    <x v="4"/>
    <x v="0"/>
    <x v="4"/>
    <s v="Cancelled"/>
  </r>
  <r>
    <s v="ORD00197"/>
    <x v="153"/>
    <s v="CUST315"/>
    <s v="Rahul"/>
    <x v="0"/>
    <n v="29"/>
    <x v="8"/>
    <x v="0"/>
    <x v="8"/>
    <x v="6"/>
    <n v="5"/>
    <n v="2512"/>
    <n v="5"/>
    <n v="628"/>
    <n v="2147.7600000000002"/>
    <n v="234"/>
    <n v="14313.76"/>
    <x v="2"/>
    <x v="0"/>
    <s v="Mumbai"/>
    <x v="0"/>
    <x v="0"/>
    <x v="8"/>
    <x v="0"/>
    <x v="2"/>
    <s v="Delivered"/>
  </r>
  <r>
    <s v="ORD00198"/>
    <x v="75"/>
    <s v="CUST105"/>
    <s v="Sneha"/>
    <x v="1"/>
    <n v="33"/>
    <x v="4"/>
    <x v="0"/>
    <x v="4"/>
    <x v="5"/>
    <n v="5"/>
    <n v="17388"/>
    <n v="0"/>
    <n v="0"/>
    <n v="15649.2"/>
    <n v="308"/>
    <n v="102897.2"/>
    <x v="2"/>
    <x v="1"/>
    <s v="Bangalore"/>
    <x v="3"/>
    <x v="2"/>
    <x v="5"/>
    <x v="1"/>
    <x v="4"/>
    <s v="Delivered"/>
  </r>
  <r>
    <s v="ORD00199"/>
    <x v="90"/>
    <s v="CUST273"/>
    <s v="Arjun"/>
    <x v="1"/>
    <n v="57"/>
    <x v="9"/>
    <x v="0"/>
    <x v="9"/>
    <x v="1"/>
    <n v="2"/>
    <n v="2519"/>
    <n v="0"/>
    <n v="0"/>
    <n v="906.84"/>
    <n v="204"/>
    <n v="6148.84"/>
    <x v="3"/>
    <x v="0"/>
    <s v="Bangalore"/>
    <x v="3"/>
    <x v="2"/>
    <x v="6"/>
    <x v="0"/>
    <x v="3"/>
    <s v="Shipped"/>
  </r>
  <r>
    <s v="ORD00200"/>
    <x v="66"/>
    <s v="CUST651"/>
    <s v="Rahul"/>
    <x v="1"/>
    <n v="51"/>
    <x v="0"/>
    <x v="0"/>
    <x v="0"/>
    <x v="9"/>
    <n v="3"/>
    <n v="16183"/>
    <n v="10"/>
    <n v="4854.8999999999996"/>
    <n v="7864.94"/>
    <n v="2"/>
    <n v="51561.04"/>
    <x v="0"/>
    <x v="1"/>
    <s v="Mumbai"/>
    <x v="0"/>
    <x v="0"/>
    <x v="4"/>
    <x v="1"/>
    <x v="2"/>
    <s v="Returned"/>
  </r>
  <r>
    <s v="ORD00201"/>
    <x v="154"/>
    <s v="CUST584"/>
    <s v="Neha"/>
    <x v="0"/>
    <n v="18"/>
    <x v="9"/>
    <x v="0"/>
    <x v="9"/>
    <x v="1"/>
    <n v="1"/>
    <n v="10602"/>
    <n v="5"/>
    <n v="530.1"/>
    <n v="1812.94"/>
    <n v="367"/>
    <n v="12251.84"/>
    <x v="0"/>
    <x v="0"/>
    <s v="Lucknow"/>
    <x v="4"/>
    <x v="1"/>
    <x v="9"/>
    <x v="0"/>
    <x v="0"/>
    <s v="Cancelled"/>
  </r>
  <r>
    <s v="ORD00202"/>
    <x v="37"/>
    <s v="CUST499"/>
    <s v="Vikas"/>
    <x v="0"/>
    <n v="21"/>
    <x v="9"/>
    <x v="0"/>
    <x v="9"/>
    <x v="7"/>
    <n v="4"/>
    <n v="7961"/>
    <n v="10"/>
    <n v="3184.4"/>
    <n v="5158.7299999999996"/>
    <n v="317"/>
    <n v="34135.33"/>
    <x v="0"/>
    <x v="0"/>
    <s v="Pune"/>
    <x v="0"/>
    <x v="0"/>
    <x v="1"/>
    <x v="1"/>
    <x v="4"/>
    <s v="Shipped"/>
  </r>
  <r>
    <s v="ORD00203"/>
    <x v="155"/>
    <s v="CUST550"/>
    <s v="Vikas"/>
    <x v="0"/>
    <n v="19"/>
    <x v="2"/>
    <x v="1"/>
    <x v="2"/>
    <x v="0"/>
    <n v="1"/>
    <n v="12794"/>
    <n v="0"/>
    <n v="0"/>
    <n v="2302.92"/>
    <n v="244"/>
    <n v="15340.92"/>
    <x v="0"/>
    <x v="1"/>
    <s v="Mumbai"/>
    <x v="0"/>
    <x v="0"/>
    <x v="4"/>
    <x v="0"/>
    <x v="3"/>
    <s v="Shipped"/>
  </r>
  <r>
    <s v="ORD00204"/>
    <x v="156"/>
    <s v="CUST480"/>
    <s v="Riya"/>
    <x v="0"/>
    <n v="35"/>
    <x v="5"/>
    <x v="0"/>
    <x v="5"/>
    <x v="7"/>
    <n v="4"/>
    <n v="22668"/>
    <n v="5"/>
    <n v="4533.6000000000004"/>
    <n v="15504.91"/>
    <n v="15"/>
    <n v="101658.31"/>
    <x v="3"/>
    <x v="1"/>
    <s v="Delhi"/>
    <x v="5"/>
    <x v="1"/>
    <x v="6"/>
    <x v="0"/>
    <x v="4"/>
    <s v="Returned"/>
  </r>
  <r>
    <s v="ORD00205"/>
    <x v="81"/>
    <s v="CUST402"/>
    <s v="Priya"/>
    <x v="0"/>
    <n v="41"/>
    <x v="0"/>
    <x v="0"/>
    <x v="0"/>
    <x v="6"/>
    <n v="3"/>
    <n v="5734"/>
    <n v="20"/>
    <n v="3440.4"/>
    <n v="2477.09"/>
    <n v="0"/>
    <n v="16238.69"/>
    <x v="3"/>
    <x v="1"/>
    <s v="Patiala"/>
    <x v="1"/>
    <x v="1"/>
    <x v="8"/>
    <x v="1"/>
    <x v="3"/>
    <s v="Cancelled"/>
  </r>
  <r>
    <s v="ORD00206"/>
    <x v="157"/>
    <s v="CUST684"/>
    <s v="Arjun"/>
    <x v="0"/>
    <n v="59"/>
    <x v="9"/>
    <x v="0"/>
    <x v="9"/>
    <x v="5"/>
    <n v="4"/>
    <n v="30869"/>
    <n v="0"/>
    <n v="0"/>
    <n v="22225.68"/>
    <n v="282"/>
    <n v="145983.67999999999"/>
    <x v="3"/>
    <x v="0"/>
    <s v="Bangalore"/>
    <x v="3"/>
    <x v="2"/>
    <x v="5"/>
    <x v="0"/>
    <x v="1"/>
    <s v="Shipped"/>
  </r>
  <r>
    <s v="ORD00207"/>
    <x v="158"/>
    <s v="CUST510"/>
    <s v="Vikas"/>
    <x v="0"/>
    <n v="49"/>
    <x v="3"/>
    <x v="2"/>
    <x v="3"/>
    <x v="0"/>
    <n v="1"/>
    <n v="7798"/>
    <n v="10"/>
    <n v="779.8"/>
    <n v="1263.28"/>
    <n v="371"/>
    <n v="8652.48"/>
    <x v="3"/>
    <x v="1"/>
    <s v="Patiala"/>
    <x v="1"/>
    <x v="1"/>
    <x v="4"/>
    <x v="0"/>
    <x v="3"/>
    <s v="Cancelled"/>
  </r>
  <r>
    <s v="ORD00208"/>
    <x v="159"/>
    <s v="CUST801"/>
    <s v="Amit"/>
    <x v="1"/>
    <n v="49"/>
    <x v="9"/>
    <x v="0"/>
    <x v="9"/>
    <x v="5"/>
    <n v="2"/>
    <n v="41986"/>
    <n v="5"/>
    <n v="4198.6000000000004"/>
    <n v="14359.21"/>
    <n v="169"/>
    <n v="94301.61"/>
    <x v="3"/>
    <x v="1"/>
    <s v="Patiala"/>
    <x v="1"/>
    <x v="1"/>
    <x v="4"/>
    <x v="1"/>
    <x v="4"/>
    <s v="Shipped"/>
  </r>
  <r>
    <s v="ORD00209"/>
    <x v="160"/>
    <s v="CUST132"/>
    <s v="Vikas"/>
    <x v="0"/>
    <n v="26"/>
    <x v="8"/>
    <x v="0"/>
    <x v="8"/>
    <x v="7"/>
    <n v="1"/>
    <n v="31155"/>
    <n v="5"/>
    <n v="1557.75"/>
    <n v="5327.51"/>
    <n v="11"/>
    <n v="34935.75"/>
    <x v="2"/>
    <x v="0"/>
    <s v="Lucknow"/>
    <x v="4"/>
    <x v="1"/>
    <x v="0"/>
    <x v="1"/>
    <x v="4"/>
    <s v="Delivered"/>
  </r>
  <r>
    <s v="ORD00210"/>
    <x v="161"/>
    <s v="CUST861"/>
    <s v="Vikas"/>
    <x v="1"/>
    <n v="53"/>
    <x v="5"/>
    <x v="0"/>
    <x v="5"/>
    <x v="8"/>
    <n v="4"/>
    <n v="41074"/>
    <n v="20"/>
    <n v="32859.199999999997"/>
    <n v="23658.62"/>
    <n v="115"/>
    <n v="155210.42000000001"/>
    <x v="1"/>
    <x v="0"/>
    <s v="Delhi"/>
    <x v="5"/>
    <x v="1"/>
    <x v="0"/>
    <x v="0"/>
    <x v="0"/>
    <s v="Returned"/>
  </r>
  <r>
    <s v="ORD00211"/>
    <x v="162"/>
    <s v="CUST485"/>
    <s v="Sneha"/>
    <x v="0"/>
    <n v="50"/>
    <x v="5"/>
    <x v="0"/>
    <x v="5"/>
    <x v="8"/>
    <n v="1"/>
    <n v="47164"/>
    <n v="20"/>
    <n v="9432.7999999999993"/>
    <n v="6791.62"/>
    <n v="27"/>
    <n v="44549.82"/>
    <x v="0"/>
    <x v="1"/>
    <s v="Mumbai"/>
    <x v="0"/>
    <x v="0"/>
    <x v="2"/>
    <x v="1"/>
    <x v="3"/>
    <s v="Shipped"/>
  </r>
  <r>
    <s v="ORD00212"/>
    <x v="15"/>
    <s v="CUST845"/>
    <s v="Sneha"/>
    <x v="0"/>
    <n v="35"/>
    <x v="2"/>
    <x v="1"/>
    <x v="2"/>
    <x v="4"/>
    <n v="4"/>
    <n v="12596"/>
    <n v="15"/>
    <n v="7557.6"/>
    <n v="7708.75"/>
    <n v="445"/>
    <n v="50980.15"/>
    <x v="1"/>
    <x v="0"/>
    <s v="Chandigarh"/>
    <x v="1"/>
    <x v="1"/>
    <x v="6"/>
    <x v="0"/>
    <x v="3"/>
    <s v="Cancelled"/>
  </r>
  <r>
    <s v="ORD00213"/>
    <x v="163"/>
    <s v="CUST164"/>
    <s v="Neha"/>
    <x v="1"/>
    <n v="35"/>
    <x v="8"/>
    <x v="0"/>
    <x v="8"/>
    <x v="2"/>
    <n v="3"/>
    <n v="17489"/>
    <n v="20"/>
    <n v="10493.4"/>
    <n v="7555.25"/>
    <n v="241"/>
    <n v="49769.85"/>
    <x v="3"/>
    <x v="0"/>
    <s v="Bangalore"/>
    <x v="3"/>
    <x v="2"/>
    <x v="6"/>
    <x v="1"/>
    <x v="1"/>
    <s v="Shipped"/>
  </r>
  <r>
    <s v="ORD00214"/>
    <x v="164"/>
    <s v="CUST737"/>
    <s v="Arjun"/>
    <x v="1"/>
    <n v="54"/>
    <x v="1"/>
    <x v="0"/>
    <x v="1"/>
    <x v="7"/>
    <n v="2"/>
    <n v="8534"/>
    <n v="0"/>
    <n v="0"/>
    <n v="3072.24"/>
    <n v="230"/>
    <n v="20370.240000000002"/>
    <x v="0"/>
    <x v="1"/>
    <s v="Mumbai"/>
    <x v="0"/>
    <x v="0"/>
    <x v="4"/>
    <x v="0"/>
    <x v="3"/>
    <s v="Cancelled"/>
  </r>
  <r>
    <s v="ORD00215"/>
    <x v="165"/>
    <s v="CUST155"/>
    <s v="Anjali"/>
    <x v="0"/>
    <n v="48"/>
    <x v="7"/>
    <x v="1"/>
    <x v="7"/>
    <x v="7"/>
    <n v="4"/>
    <n v="22679"/>
    <n v="0"/>
    <n v="0"/>
    <n v="16328.88"/>
    <n v="412"/>
    <n v="107456.88"/>
    <x v="2"/>
    <x v="1"/>
    <s v="Jaipur"/>
    <x v="2"/>
    <x v="1"/>
    <x v="1"/>
    <x v="0"/>
    <x v="4"/>
    <s v="Returned"/>
  </r>
  <r>
    <s v="ORD00216"/>
    <x v="98"/>
    <s v="CUST786"/>
    <s v="Karan"/>
    <x v="1"/>
    <n v="29"/>
    <x v="6"/>
    <x v="0"/>
    <x v="6"/>
    <x v="3"/>
    <n v="3"/>
    <n v="10780"/>
    <n v="15"/>
    <n v="4851"/>
    <n v="4948.0200000000004"/>
    <n v="12"/>
    <n v="32449.02"/>
    <x v="3"/>
    <x v="1"/>
    <s v="Bangalore"/>
    <x v="3"/>
    <x v="2"/>
    <x v="4"/>
    <x v="0"/>
    <x v="2"/>
    <s v="Delivered"/>
  </r>
  <r>
    <s v="ORD00217"/>
    <x v="166"/>
    <s v="CUST870"/>
    <s v="Arjun"/>
    <x v="0"/>
    <n v="22"/>
    <x v="7"/>
    <x v="1"/>
    <x v="7"/>
    <x v="9"/>
    <n v="1"/>
    <n v="41995"/>
    <n v="15"/>
    <n v="6299.25"/>
    <n v="6425.23"/>
    <n v="363"/>
    <n v="42483.99"/>
    <x v="0"/>
    <x v="0"/>
    <s v="Mumbai"/>
    <x v="0"/>
    <x v="0"/>
    <x v="3"/>
    <x v="0"/>
    <x v="3"/>
    <s v="Shipped"/>
  </r>
  <r>
    <s v="ORD00218"/>
    <x v="108"/>
    <s v="CUST984"/>
    <s v="Vikas"/>
    <x v="0"/>
    <n v="51"/>
    <x v="1"/>
    <x v="0"/>
    <x v="1"/>
    <x v="5"/>
    <n v="1"/>
    <n v="2778"/>
    <n v="15"/>
    <n v="416.7"/>
    <n v="425.03"/>
    <n v="387"/>
    <n v="3173.33"/>
    <x v="3"/>
    <x v="1"/>
    <s v="Bangalore"/>
    <x v="3"/>
    <x v="2"/>
    <x v="7"/>
    <x v="0"/>
    <x v="4"/>
    <s v="Delivered"/>
  </r>
  <r>
    <s v="ORD00219"/>
    <x v="161"/>
    <s v="CUST500"/>
    <s v="Amit"/>
    <x v="1"/>
    <n v="27"/>
    <x v="3"/>
    <x v="2"/>
    <x v="3"/>
    <x v="3"/>
    <n v="3"/>
    <n v="35468"/>
    <n v="5"/>
    <n v="5320.2"/>
    <n v="18195.080000000002"/>
    <n v="238"/>
    <n v="119516.88"/>
    <x v="2"/>
    <x v="1"/>
    <s v="Lucknow"/>
    <x v="4"/>
    <x v="1"/>
    <x v="1"/>
    <x v="1"/>
    <x v="0"/>
    <s v="Shipped"/>
  </r>
  <r>
    <s v="ORD00220"/>
    <x v="144"/>
    <s v="CUST188"/>
    <s v="Karan"/>
    <x v="0"/>
    <n v="50"/>
    <x v="5"/>
    <x v="0"/>
    <x v="5"/>
    <x v="3"/>
    <n v="2"/>
    <n v="32959"/>
    <n v="20"/>
    <n v="13183.6"/>
    <n v="9492.19"/>
    <n v="266"/>
    <n v="62492.59"/>
    <x v="2"/>
    <x v="1"/>
    <s v="Delhi"/>
    <x v="5"/>
    <x v="1"/>
    <x v="6"/>
    <x v="1"/>
    <x v="4"/>
    <s v="Cancelled"/>
  </r>
  <r>
    <s v="ORD00221"/>
    <x v="96"/>
    <s v="CUST969"/>
    <s v="Sneha"/>
    <x v="0"/>
    <n v="53"/>
    <x v="6"/>
    <x v="0"/>
    <x v="6"/>
    <x v="3"/>
    <n v="4"/>
    <n v="31028"/>
    <n v="15"/>
    <n v="18616.8"/>
    <n v="18989.14"/>
    <n v="443"/>
    <n v="124927.34"/>
    <x v="3"/>
    <x v="1"/>
    <s v="Pune"/>
    <x v="0"/>
    <x v="0"/>
    <x v="0"/>
    <x v="1"/>
    <x v="3"/>
    <s v="Shipped"/>
  </r>
  <r>
    <s v="ORD00222"/>
    <x v="167"/>
    <s v="CUST348"/>
    <s v="Neha"/>
    <x v="1"/>
    <n v="54"/>
    <x v="8"/>
    <x v="0"/>
    <x v="8"/>
    <x v="2"/>
    <n v="4"/>
    <n v="19158"/>
    <n v="15"/>
    <n v="11494.8"/>
    <n v="11724.7"/>
    <n v="319"/>
    <n v="77180.899999999994"/>
    <x v="2"/>
    <x v="0"/>
    <s v="Bangalore"/>
    <x v="3"/>
    <x v="2"/>
    <x v="1"/>
    <x v="1"/>
    <x v="2"/>
    <s v="Shipped"/>
  </r>
  <r>
    <s v="ORD00223"/>
    <x v="1"/>
    <s v="CUST897"/>
    <s v="Anjali"/>
    <x v="1"/>
    <n v="57"/>
    <x v="6"/>
    <x v="0"/>
    <x v="6"/>
    <x v="0"/>
    <n v="1"/>
    <n v="25847"/>
    <n v="10"/>
    <n v="2584.6999999999998"/>
    <n v="4187.21"/>
    <n v="496"/>
    <n v="27945.51"/>
    <x v="2"/>
    <x v="0"/>
    <s v="Bangalore"/>
    <x v="3"/>
    <x v="2"/>
    <x v="7"/>
    <x v="1"/>
    <x v="0"/>
    <s v="Cancelled"/>
  </r>
  <r>
    <s v="ORD00224"/>
    <x v="168"/>
    <s v="CUST382"/>
    <s v="Amit"/>
    <x v="1"/>
    <n v="44"/>
    <x v="3"/>
    <x v="2"/>
    <x v="3"/>
    <x v="9"/>
    <n v="2"/>
    <n v="27899"/>
    <n v="5"/>
    <n v="2789.9"/>
    <n v="9541.4599999999991"/>
    <n v="245"/>
    <n v="62794.559999999998"/>
    <x v="2"/>
    <x v="0"/>
    <s v="Chandigarh"/>
    <x v="1"/>
    <x v="1"/>
    <x v="4"/>
    <x v="1"/>
    <x v="2"/>
    <s v="Delivered"/>
  </r>
  <r>
    <s v="ORD00225"/>
    <x v="63"/>
    <s v="CUST507"/>
    <s v="Priya"/>
    <x v="1"/>
    <n v="32"/>
    <x v="0"/>
    <x v="0"/>
    <x v="0"/>
    <x v="8"/>
    <n v="5"/>
    <n v="4763"/>
    <n v="20"/>
    <n v="4763"/>
    <n v="3429.36"/>
    <n v="197"/>
    <n v="22678.36"/>
    <x v="3"/>
    <x v="0"/>
    <s v="Jaipur"/>
    <x v="2"/>
    <x v="1"/>
    <x v="4"/>
    <x v="1"/>
    <x v="0"/>
    <s v="Cancelled"/>
  </r>
  <r>
    <s v="ORD00226"/>
    <x v="169"/>
    <s v="CUST531"/>
    <s v="Priya"/>
    <x v="1"/>
    <n v="18"/>
    <x v="0"/>
    <x v="0"/>
    <x v="0"/>
    <x v="7"/>
    <n v="2"/>
    <n v="26643"/>
    <n v="0"/>
    <n v="0"/>
    <n v="9591.48"/>
    <n v="210"/>
    <n v="63087.48"/>
    <x v="1"/>
    <x v="0"/>
    <s v="Mumbai"/>
    <x v="0"/>
    <x v="0"/>
    <x v="2"/>
    <x v="0"/>
    <x v="2"/>
    <s v="Shipped"/>
  </r>
  <r>
    <s v="ORD00227"/>
    <x v="103"/>
    <s v="CUST528"/>
    <s v="Anjali"/>
    <x v="1"/>
    <n v="41"/>
    <x v="6"/>
    <x v="0"/>
    <x v="6"/>
    <x v="2"/>
    <n v="2"/>
    <n v="15860"/>
    <n v="20"/>
    <n v="6344"/>
    <n v="4567.68"/>
    <n v="237"/>
    <n v="30180.68"/>
    <x v="0"/>
    <x v="1"/>
    <s v="Pune"/>
    <x v="0"/>
    <x v="0"/>
    <x v="7"/>
    <x v="1"/>
    <x v="1"/>
    <s v="Delivered"/>
  </r>
  <r>
    <s v="ORD00228"/>
    <x v="5"/>
    <s v="CUST799"/>
    <s v="Rahul"/>
    <x v="1"/>
    <n v="56"/>
    <x v="5"/>
    <x v="0"/>
    <x v="5"/>
    <x v="6"/>
    <n v="5"/>
    <n v="7974"/>
    <n v="5"/>
    <n v="1993.5"/>
    <n v="6817.77"/>
    <n v="291"/>
    <n v="44985.27"/>
    <x v="3"/>
    <x v="1"/>
    <s v="Pune"/>
    <x v="0"/>
    <x v="0"/>
    <x v="1"/>
    <x v="0"/>
    <x v="2"/>
    <s v="Delivered"/>
  </r>
  <r>
    <s v="ORD00229"/>
    <x v="31"/>
    <s v="CUST311"/>
    <s v="Sneha"/>
    <x v="0"/>
    <n v="35"/>
    <x v="3"/>
    <x v="2"/>
    <x v="3"/>
    <x v="9"/>
    <n v="3"/>
    <n v="41035"/>
    <n v="20"/>
    <n v="24621"/>
    <n v="17727.12"/>
    <n v="486"/>
    <n v="116697.12"/>
    <x v="0"/>
    <x v="1"/>
    <s v="Delhi"/>
    <x v="5"/>
    <x v="1"/>
    <x v="7"/>
    <x v="1"/>
    <x v="0"/>
    <s v="Shipped"/>
  </r>
  <r>
    <s v="ORD00230"/>
    <x v="150"/>
    <s v="CUST907"/>
    <s v="Rahul"/>
    <x v="0"/>
    <n v="23"/>
    <x v="0"/>
    <x v="0"/>
    <x v="0"/>
    <x v="9"/>
    <n v="5"/>
    <n v="13190"/>
    <n v="0"/>
    <n v="0"/>
    <n v="11871"/>
    <n v="493"/>
    <n v="78314"/>
    <x v="1"/>
    <x v="0"/>
    <s v="Pune"/>
    <x v="0"/>
    <x v="0"/>
    <x v="3"/>
    <x v="1"/>
    <x v="3"/>
    <s v="Shipped"/>
  </r>
  <r>
    <s v="ORD00231"/>
    <x v="170"/>
    <s v="CUST934"/>
    <s v="Arjun"/>
    <x v="1"/>
    <n v="19"/>
    <x v="8"/>
    <x v="0"/>
    <x v="8"/>
    <x v="1"/>
    <n v="3"/>
    <n v="35079"/>
    <n v="20"/>
    <n v="21047.4"/>
    <n v="15154.13"/>
    <n v="50"/>
    <n v="99393.73"/>
    <x v="2"/>
    <x v="1"/>
    <s v="Patiala"/>
    <x v="1"/>
    <x v="1"/>
    <x v="6"/>
    <x v="0"/>
    <x v="3"/>
    <s v="Cancelled"/>
  </r>
  <r>
    <s v="ORD00232"/>
    <x v="2"/>
    <s v="CUST922"/>
    <s v="Priya"/>
    <x v="0"/>
    <n v="43"/>
    <x v="4"/>
    <x v="0"/>
    <x v="4"/>
    <x v="2"/>
    <n v="4"/>
    <n v="19650"/>
    <n v="0"/>
    <n v="0"/>
    <n v="14148"/>
    <n v="372"/>
    <n v="93120"/>
    <x v="3"/>
    <x v="1"/>
    <s v="Delhi"/>
    <x v="5"/>
    <x v="1"/>
    <x v="2"/>
    <x v="0"/>
    <x v="1"/>
    <s v="Cancelled"/>
  </r>
  <r>
    <s v="ORD00233"/>
    <x v="171"/>
    <s v="CUST860"/>
    <s v="Amit"/>
    <x v="1"/>
    <n v="23"/>
    <x v="3"/>
    <x v="2"/>
    <x v="3"/>
    <x v="3"/>
    <n v="3"/>
    <n v="7283"/>
    <n v="0"/>
    <n v="0"/>
    <n v="3932.82"/>
    <n v="89"/>
    <n v="25870.82"/>
    <x v="3"/>
    <x v="0"/>
    <s v="Jaipur"/>
    <x v="2"/>
    <x v="1"/>
    <x v="8"/>
    <x v="0"/>
    <x v="1"/>
    <s v="Returned"/>
  </r>
  <r>
    <s v="ORD00234"/>
    <x v="62"/>
    <s v="CUST265"/>
    <s v="Amit"/>
    <x v="0"/>
    <n v="47"/>
    <x v="8"/>
    <x v="0"/>
    <x v="8"/>
    <x v="6"/>
    <n v="2"/>
    <n v="18597"/>
    <n v="0"/>
    <n v="0"/>
    <n v="6694.92"/>
    <n v="194"/>
    <n v="44082.92"/>
    <x v="0"/>
    <x v="0"/>
    <s v="Pune"/>
    <x v="0"/>
    <x v="0"/>
    <x v="4"/>
    <x v="1"/>
    <x v="0"/>
    <s v="Delivered"/>
  </r>
  <r>
    <s v="ORD00235"/>
    <x v="83"/>
    <s v="CUST201"/>
    <s v="Amit"/>
    <x v="1"/>
    <n v="41"/>
    <x v="7"/>
    <x v="1"/>
    <x v="7"/>
    <x v="7"/>
    <n v="1"/>
    <n v="17820"/>
    <n v="20"/>
    <n v="3564"/>
    <n v="2566.08"/>
    <n v="383"/>
    <n v="17205.080000000002"/>
    <x v="3"/>
    <x v="1"/>
    <s v="Pune"/>
    <x v="0"/>
    <x v="0"/>
    <x v="6"/>
    <x v="0"/>
    <x v="4"/>
    <s v="Cancelled"/>
  </r>
  <r>
    <s v="ORD00236"/>
    <x v="23"/>
    <s v="CUST313"/>
    <s v="Priya"/>
    <x v="0"/>
    <n v="58"/>
    <x v="7"/>
    <x v="1"/>
    <x v="7"/>
    <x v="0"/>
    <n v="5"/>
    <n v="29380"/>
    <n v="10"/>
    <n v="14690"/>
    <n v="23797.8"/>
    <n v="177"/>
    <n v="156184.79999999999"/>
    <x v="3"/>
    <x v="1"/>
    <s v="Pune"/>
    <x v="0"/>
    <x v="0"/>
    <x v="3"/>
    <x v="1"/>
    <x v="0"/>
    <s v="Delivered"/>
  </r>
  <r>
    <s v="ORD00237"/>
    <x v="13"/>
    <s v="CUST218"/>
    <s v="Karan"/>
    <x v="1"/>
    <n v="55"/>
    <x v="0"/>
    <x v="0"/>
    <x v="0"/>
    <x v="6"/>
    <n v="5"/>
    <n v="48636"/>
    <n v="20"/>
    <n v="48636"/>
    <n v="35017.919999999998"/>
    <n v="254"/>
    <n v="229815.92"/>
    <x v="1"/>
    <x v="0"/>
    <s v="Chandigarh"/>
    <x v="1"/>
    <x v="1"/>
    <x v="2"/>
    <x v="0"/>
    <x v="2"/>
    <s v="Delivered"/>
  </r>
  <r>
    <s v="ORD00238"/>
    <x v="172"/>
    <s v="CUST385"/>
    <s v="Arjun"/>
    <x v="0"/>
    <n v="40"/>
    <x v="0"/>
    <x v="0"/>
    <x v="0"/>
    <x v="5"/>
    <n v="3"/>
    <n v="4058"/>
    <n v="0"/>
    <n v="0"/>
    <n v="2191.3200000000002"/>
    <n v="130"/>
    <n v="14495.32"/>
    <x v="0"/>
    <x v="1"/>
    <s v="Chandigarh"/>
    <x v="1"/>
    <x v="1"/>
    <x v="1"/>
    <x v="0"/>
    <x v="4"/>
    <s v="Shipped"/>
  </r>
  <r>
    <s v="ORD00239"/>
    <x v="173"/>
    <s v="CUST260"/>
    <s v="Sneha"/>
    <x v="1"/>
    <n v="50"/>
    <x v="5"/>
    <x v="0"/>
    <x v="5"/>
    <x v="9"/>
    <n v="2"/>
    <n v="16518"/>
    <n v="15"/>
    <n v="4955.3999999999996"/>
    <n v="5054.51"/>
    <n v="326"/>
    <n v="33461.11"/>
    <x v="0"/>
    <x v="0"/>
    <s v="Pune"/>
    <x v="0"/>
    <x v="0"/>
    <x v="0"/>
    <x v="1"/>
    <x v="0"/>
    <s v="Returned"/>
  </r>
  <r>
    <s v="ORD00240"/>
    <x v="32"/>
    <s v="CUST652"/>
    <s v="Sneha"/>
    <x v="1"/>
    <n v="42"/>
    <x v="7"/>
    <x v="1"/>
    <x v="7"/>
    <x v="3"/>
    <n v="2"/>
    <n v="42034"/>
    <n v="20"/>
    <n v="16813.599999999999"/>
    <n v="12105.79"/>
    <n v="55"/>
    <n v="79415.19"/>
    <x v="0"/>
    <x v="1"/>
    <s v="Jaipur"/>
    <x v="2"/>
    <x v="1"/>
    <x v="4"/>
    <x v="1"/>
    <x v="0"/>
    <s v="Cancelled"/>
  </r>
  <r>
    <s v="ORD00241"/>
    <x v="167"/>
    <s v="CUST997"/>
    <s v="Amit"/>
    <x v="0"/>
    <n v="43"/>
    <x v="2"/>
    <x v="1"/>
    <x v="2"/>
    <x v="6"/>
    <n v="2"/>
    <n v="40255"/>
    <n v="0"/>
    <n v="0"/>
    <n v="14491.8"/>
    <n v="415"/>
    <n v="95416.8"/>
    <x v="3"/>
    <x v="0"/>
    <s v="Patiala"/>
    <x v="1"/>
    <x v="1"/>
    <x v="4"/>
    <x v="0"/>
    <x v="3"/>
    <s v="Shipped"/>
  </r>
  <r>
    <s v="ORD00242"/>
    <x v="150"/>
    <s v="CUST611"/>
    <s v="Priya"/>
    <x v="1"/>
    <n v="41"/>
    <x v="0"/>
    <x v="0"/>
    <x v="0"/>
    <x v="8"/>
    <n v="2"/>
    <n v="16819"/>
    <n v="10"/>
    <n v="3363.8"/>
    <n v="5449.36"/>
    <n v="185"/>
    <n v="35908.559999999998"/>
    <x v="0"/>
    <x v="1"/>
    <s v="Pune"/>
    <x v="0"/>
    <x v="0"/>
    <x v="7"/>
    <x v="1"/>
    <x v="0"/>
    <s v="Shipped"/>
  </r>
  <r>
    <s v="ORD00243"/>
    <x v="65"/>
    <s v="CUST885"/>
    <s v="Arjun"/>
    <x v="1"/>
    <n v="36"/>
    <x v="0"/>
    <x v="0"/>
    <x v="0"/>
    <x v="5"/>
    <n v="5"/>
    <n v="17749"/>
    <n v="0"/>
    <n v="0"/>
    <n v="15974.1"/>
    <n v="215"/>
    <n v="104934.1"/>
    <x v="1"/>
    <x v="0"/>
    <s v="Jaipur"/>
    <x v="2"/>
    <x v="1"/>
    <x v="7"/>
    <x v="0"/>
    <x v="0"/>
    <s v="Cancelled"/>
  </r>
  <r>
    <s v="ORD00244"/>
    <x v="3"/>
    <s v="CUST146"/>
    <s v="Sneha"/>
    <x v="0"/>
    <n v="59"/>
    <x v="7"/>
    <x v="1"/>
    <x v="7"/>
    <x v="1"/>
    <n v="1"/>
    <n v="17819"/>
    <n v="15"/>
    <n v="2672.85"/>
    <n v="2726.31"/>
    <n v="350"/>
    <n v="18222.46"/>
    <x v="3"/>
    <x v="1"/>
    <s v="Lucknow"/>
    <x v="4"/>
    <x v="1"/>
    <x v="1"/>
    <x v="1"/>
    <x v="3"/>
    <s v="Shipped"/>
  </r>
  <r>
    <s v="ORD00245"/>
    <x v="66"/>
    <s v="CUST955"/>
    <s v="Vikas"/>
    <x v="1"/>
    <n v="30"/>
    <x v="1"/>
    <x v="0"/>
    <x v="1"/>
    <x v="9"/>
    <n v="3"/>
    <n v="34354"/>
    <n v="5"/>
    <n v="5153.1000000000004"/>
    <n v="17623.599999999999"/>
    <n v="57"/>
    <n v="115589.5"/>
    <x v="3"/>
    <x v="1"/>
    <s v="Delhi"/>
    <x v="5"/>
    <x v="1"/>
    <x v="2"/>
    <x v="1"/>
    <x v="3"/>
    <s v="Cancelled"/>
  </r>
  <r>
    <s v="ORD00246"/>
    <x v="174"/>
    <s v="CUST541"/>
    <s v="Sneha"/>
    <x v="0"/>
    <n v="52"/>
    <x v="0"/>
    <x v="0"/>
    <x v="0"/>
    <x v="9"/>
    <n v="3"/>
    <n v="20946"/>
    <n v="20"/>
    <n v="12567.6"/>
    <n v="9048.67"/>
    <n v="113"/>
    <n v="59432.07"/>
    <x v="0"/>
    <x v="0"/>
    <s v="Chandigarh"/>
    <x v="1"/>
    <x v="1"/>
    <x v="3"/>
    <x v="1"/>
    <x v="3"/>
    <s v="Shipped"/>
  </r>
  <r>
    <s v="ORD00247"/>
    <x v="50"/>
    <s v="CUST161"/>
    <s v="Riya"/>
    <x v="1"/>
    <n v="22"/>
    <x v="4"/>
    <x v="0"/>
    <x v="4"/>
    <x v="3"/>
    <n v="5"/>
    <n v="46655"/>
    <n v="20"/>
    <n v="46655"/>
    <n v="33591.599999999999"/>
    <n v="138"/>
    <n v="220349.6"/>
    <x v="2"/>
    <x v="0"/>
    <s v="Chandigarh"/>
    <x v="1"/>
    <x v="1"/>
    <x v="7"/>
    <x v="0"/>
    <x v="3"/>
    <s v="Shipped"/>
  </r>
  <r>
    <s v="ORD00248"/>
    <x v="168"/>
    <s v="CUST982"/>
    <s v="Riya"/>
    <x v="1"/>
    <n v="36"/>
    <x v="7"/>
    <x v="1"/>
    <x v="7"/>
    <x v="7"/>
    <n v="4"/>
    <n v="3168"/>
    <n v="20"/>
    <n v="2534.4"/>
    <n v="1824.77"/>
    <n v="447"/>
    <n v="12409.37"/>
    <x v="2"/>
    <x v="1"/>
    <s v="Pune"/>
    <x v="0"/>
    <x v="0"/>
    <x v="7"/>
    <x v="1"/>
    <x v="3"/>
    <s v="Shipped"/>
  </r>
  <r>
    <s v="ORD00249"/>
    <x v="114"/>
    <s v="CUST564"/>
    <s v="Sneha"/>
    <x v="0"/>
    <n v="38"/>
    <x v="6"/>
    <x v="0"/>
    <x v="6"/>
    <x v="7"/>
    <n v="3"/>
    <n v="13647"/>
    <n v="20"/>
    <n v="8188.2"/>
    <n v="5895.5"/>
    <n v="193"/>
    <n v="38841.300000000003"/>
    <x v="1"/>
    <x v="1"/>
    <s v="Pune"/>
    <x v="0"/>
    <x v="0"/>
    <x v="7"/>
    <x v="0"/>
    <x v="4"/>
    <s v="Shipped"/>
  </r>
  <r>
    <s v="ORD00250"/>
    <x v="135"/>
    <s v="CUST433"/>
    <s v="Arjun"/>
    <x v="0"/>
    <n v="49"/>
    <x v="6"/>
    <x v="0"/>
    <x v="6"/>
    <x v="4"/>
    <n v="3"/>
    <n v="10903"/>
    <n v="0"/>
    <n v="0"/>
    <n v="5887.62"/>
    <n v="412"/>
    <n v="39008.620000000003"/>
    <x v="3"/>
    <x v="0"/>
    <s v="Lucknow"/>
    <x v="4"/>
    <x v="1"/>
    <x v="6"/>
    <x v="0"/>
    <x v="4"/>
    <s v="Shipped"/>
  </r>
  <r>
    <s v="ORD00251"/>
    <x v="61"/>
    <s v="CUST671"/>
    <s v="Karan"/>
    <x v="1"/>
    <n v="21"/>
    <x v="6"/>
    <x v="0"/>
    <x v="6"/>
    <x v="8"/>
    <n v="4"/>
    <n v="12320"/>
    <n v="15"/>
    <n v="7392"/>
    <n v="7539.84"/>
    <n v="154"/>
    <n v="49581.84"/>
    <x v="0"/>
    <x v="1"/>
    <s v="Lucknow"/>
    <x v="4"/>
    <x v="1"/>
    <x v="8"/>
    <x v="1"/>
    <x v="4"/>
    <s v="Shipped"/>
  </r>
  <r>
    <s v="ORD00252"/>
    <x v="175"/>
    <s v="CUST768"/>
    <s v="Rahul"/>
    <x v="1"/>
    <n v="37"/>
    <x v="7"/>
    <x v="1"/>
    <x v="7"/>
    <x v="8"/>
    <n v="1"/>
    <n v="14063"/>
    <n v="10"/>
    <n v="1406.3"/>
    <n v="2278.21"/>
    <n v="103"/>
    <n v="15037.91"/>
    <x v="1"/>
    <x v="1"/>
    <s v="Jaipur"/>
    <x v="2"/>
    <x v="1"/>
    <x v="9"/>
    <x v="1"/>
    <x v="0"/>
    <s v="Shipped"/>
  </r>
  <r>
    <s v="ORD00253"/>
    <x v="176"/>
    <s v="CUST865"/>
    <s v="Anjali"/>
    <x v="1"/>
    <n v="45"/>
    <x v="8"/>
    <x v="0"/>
    <x v="8"/>
    <x v="7"/>
    <n v="3"/>
    <n v="38458"/>
    <n v="0"/>
    <n v="0"/>
    <n v="20767.32"/>
    <n v="484"/>
    <n v="136625.32"/>
    <x v="3"/>
    <x v="1"/>
    <s v="Pune"/>
    <x v="0"/>
    <x v="0"/>
    <x v="1"/>
    <x v="0"/>
    <x v="0"/>
    <s v="Shipped"/>
  </r>
  <r>
    <s v="ORD00254"/>
    <x v="177"/>
    <s v="CUST629"/>
    <s v="Amit"/>
    <x v="1"/>
    <n v="40"/>
    <x v="9"/>
    <x v="0"/>
    <x v="9"/>
    <x v="4"/>
    <n v="3"/>
    <n v="2136"/>
    <n v="0"/>
    <n v="0"/>
    <n v="1153.44"/>
    <n v="388"/>
    <n v="7949.44"/>
    <x v="2"/>
    <x v="1"/>
    <s v="Bangalore"/>
    <x v="3"/>
    <x v="2"/>
    <x v="7"/>
    <x v="0"/>
    <x v="4"/>
    <s v="Returned"/>
  </r>
  <r>
    <s v="ORD00255"/>
    <x v="68"/>
    <s v="CUST717"/>
    <s v="Sneha"/>
    <x v="1"/>
    <n v="50"/>
    <x v="2"/>
    <x v="1"/>
    <x v="2"/>
    <x v="0"/>
    <n v="4"/>
    <n v="6313"/>
    <n v="20"/>
    <n v="5050.3999999999996"/>
    <n v="3636.29"/>
    <n v="1"/>
    <n v="23838.89"/>
    <x v="2"/>
    <x v="0"/>
    <s v="Lucknow"/>
    <x v="4"/>
    <x v="1"/>
    <x v="9"/>
    <x v="0"/>
    <x v="0"/>
    <s v="Cancelled"/>
  </r>
  <r>
    <s v="ORD00256"/>
    <x v="178"/>
    <s v="CUST102"/>
    <s v="Priya"/>
    <x v="1"/>
    <n v="46"/>
    <x v="8"/>
    <x v="0"/>
    <x v="8"/>
    <x v="4"/>
    <n v="4"/>
    <n v="26827"/>
    <n v="5"/>
    <n v="5365.4"/>
    <n v="18349.669999999998"/>
    <n v="70"/>
    <n v="120362.27"/>
    <x v="2"/>
    <x v="0"/>
    <s v="Bangalore"/>
    <x v="3"/>
    <x v="2"/>
    <x v="8"/>
    <x v="0"/>
    <x v="2"/>
    <s v="Shipped"/>
  </r>
  <r>
    <s v="ORD00257"/>
    <x v="179"/>
    <s v="CUST579"/>
    <s v="Karan"/>
    <x v="0"/>
    <n v="44"/>
    <x v="7"/>
    <x v="1"/>
    <x v="7"/>
    <x v="4"/>
    <n v="4"/>
    <n v="20044"/>
    <n v="10"/>
    <n v="8017.6"/>
    <n v="12988.51"/>
    <n v="449"/>
    <n v="85595.91"/>
    <x v="1"/>
    <x v="1"/>
    <s v="Delhi"/>
    <x v="5"/>
    <x v="1"/>
    <x v="1"/>
    <x v="1"/>
    <x v="4"/>
    <s v="Cancelled"/>
  </r>
  <r>
    <s v="ORD00258"/>
    <x v="180"/>
    <s v="CUST505"/>
    <s v="Anjali"/>
    <x v="0"/>
    <n v="60"/>
    <x v="9"/>
    <x v="0"/>
    <x v="9"/>
    <x v="9"/>
    <n v="5"/>
    <n v="2751"/>
    <n v="20"/>
    <n v="2751"/>
    <n v="1980.72"/>
    <n v="347"/>
    <n v="13331.72"/>
    <x v="0"/>
    <x v="0"/>
    <s v="Bangalore"/>
    <x v="3"/>
    <x v="2"/>
    <x v="8"/>
    <x v="0"/>
    <x v="4"/>
    <s v="Delivered"/>
  </r>
  <r>
    <s v="ORD00259"/>
    <x v="15"/>
    <s v="CUST841"/>
    <s v="Arjun"/>
    <x v="0"/>
    <n v="28"/>
    <x v="0"/>
    <x v="0"/>
    <x v="0"/>
    <x v="8"/>
    <n v="4"/>
    <n v="5599"/>
    <n v="20"/>
    <n v="4479.2"/>
    <n v="3225.02"/>
    <n v="479"/>
    <n v="21620.82"/>
    <x v="0"/>
    <x v="0"/>
    <s v="Bangalore"/>
    <x v="3"/>
    <x v="2"/>
    <x v="1"/>
    <x v="1"/>
    <x v="4"/>
    <s v="Shipped"/>
  </r>
  <r>
    <s v="ORD00260"/>
    <x v="181"/>
    <s v="CUST247"/>
    <s v="Priya"/>
    <x v="1"/>
    <n v="42"/>
    <x v="2"/>
    <x v="1"/>
    <x v="2"/>
    <x v="9"/>
    <n v="1"/>
    <n v="13659"/>
    <n v="20"/>
    <n v="2731.8"/>
    <n v="1966.9"/>
    <n v="370"/>
    <n v="13264.1"/>
    <x v="2"/>
    <x v="1"/>
    <s v="Pune"/>
    <x v="0"/>
    <x v="0"/>
    <x v="9"/>
    <x v="0"/>
    <x v="0"/>
    <s v="Shipped"/>
  </r>
  <r>
    <s v="ORD00261"/>
    <x v="65"/>
    <s v="CUST916"/>
    <s v="Anjali"/>
    <x v="0"/>
    <n v="41"/>
    <x v="6"/>
    <x v="0"/>
    <x v="6"/>
    <x v="7"/>
    <n v="3"/>
    <n v="35927"/>
    <n v="15"/>
    <n v="16167.15"/>
    <n v="16490.490000000002"/>
    <n v="110"/>
    <n v="108214.34"/>
    <x v="1"/>
    <x v="0"/>
    <s v="Chandigarh"/>
    <x v="1"/>
    <x v="1"/>
    <x v="0"/>
    <x v="0"/>
    <x v="2"/>
    <s v="Delivered"/>
  </r>
  <r>
    <s v="ORD00262"/>
    <x v="104"/>
    <s v="CUST137"/>
    <s v="Rahul"/>
    <x v="0"/>
    <n v="51"/>
    <x v="2"/>
    <x v="1"/>
    <x v="2"/>
    <x v="7"/>
    <n v="2"/>
    <n v="8718"/>
    <n v="5"/>
    <n v="871.8"/>
    <n v="2981.56"/>
    <n v="320"/>
    <n v="19865.759999999998"/>
    <x v="2"/>
    <x v="0"/>
    <s v="Chandigarh"/>
    <x v="1"/>
    <x v="1"/>
    <x v="7"/>
    <x v="0"/>
    <x v="3"/>
    <s v="Cancelled"/>
  </r>
  <r>
    <s v="ORD00263"/>
    <x v="67"/>
    <s v="CUST655"/>
    <s v="Karan"/>
    <x v="0"/>
    <n v="50"/>
    <x v="6"/>
    <x v="0"/>
    <x v="6"/>
    <x v="8"/>
    <n v="4"/>
    <n v="10032"/>
    <n v="5"/>
    <n v="2006.4"/>
    <n v="6861.89"/>
    <n v="42"/>
    <n v="45025.49"/>
    <x v="0"/>
    <x v="0"/>
    <s v="Patiala"/>
    <x v="1"/>
    <x v="1"/>
    <x v="2"/>
    <x v="0"/>
    <x v="3"/>
    <s v="Returned"/>
  </r>
  <r>
    <s v="ORD00264"/>
    <x v="11"/>
    <s v="CUST566"/>
    <s v="Neha"/>
    <x v="1"/>
    <n v="59"/>
    <x v="5"/>
    <x v="0"/>
    <x v="5"/>
    <x v="0"/>
    <n v="4"/>
    <n v="9542"/>
    <n v="20"/>
    <n v="7633.6"/>
    <n v="5496.19"/>
    <n v="372"/>
    <n v="36402.589999999997"/>
    <x v="1"/>
    <x v="1"/>
    <s v="Lucknow"/>
    <x v="4"/>
    <x v="1"/>
    <x v="3"/>
    <x v="1"/>
    <x v="3"/>
    <s v="Shipped"/>
  </r>
  <r>
    <s v="ORD00265"/>
    <x v="6"/>
    <s v="CUST813"/>
    <s v="Riya"/>
    <x v="0"/>
    <n v="41"/>
    <x v="4"/>
    <x v="0"/>
    <x v="4"/>
    <x v="8"/>
    <n v="1"/>
    <n v="9992"/>
    <n v="10"/>
    <n v="999.2"/>
    <n v="1618.7"/>
    <n v="323"/>
    <n v="10934.5"/>
    <x v="0"/>
    <x v="1"/>
    <s v="Delhi"/>
    <x v="5"/>
    <x v="1"/>
    <x v="3"/>
    <x v="1"/>
    <x v="1"/>
    <s v="Cancelled"/>
  </r>
  <r>
    <s v="ORD00266"/>
    <x v="30"/>
    <s v="CUST111"/>
    <s v="Anjali"/>
    <x v="1"/>
    <n v="25"/>
    <x v="3"/>
    <x v="2"/>
    <x v="3"/>
    <x v="6"/>
    <n v="2"/>
    <n v="2594"/>
    <n v="5"/>
    <n v="259.39999999999998"/>
    <n v="887.15"/>
    <n v="259"/>
    <n v="6074.75"/>
    <x v="3"/>
    <x v="0"/>
    <s v="Jaipur"/>
    <x v="2"/>
    <x v="1"/>
    <x v="3"/>
    <x v="1"/>
    <x v="4"/>
    <s v="Returned"/>
  </r>
  <r>
    <s v="ORD00267"/>
    <x v="178"/>
    <s v="CUST919"/>
    <s v="Amit"/>
    <x v="1"/>
    <n v="27"/>
    <x v="2"/>
    <x v="1"/>
    <x v="2"/>
    <x v="4"/>
    <n v="3"/>
    <n v="33711"/>
    <n v="15"/>
    <n v="15169.95"/>
    <n v="15473.35"/>
    <n v="84"/>
    <n v="101520.4"/>
    <x v="0"/>
    <x v="0"/>
    <s v="Bangalore"/>
    <x v="3"/>
    <x v="2"/>
    <x v="4"/>
    <x v="1"/>
    <x v="4"/>
    <s v="Delivered"/>
  </r>
  <r>
    <s v="ORD00268"/>
    <x v="36"/>
    <s v="CUST583"/>
    <s v="Vikas"/>
    <x v="0"/>
    <n v="41"/>
    <x v="6"/>
    <x v="0"/>
    <x v="6"/>
    <x v="2"/>
    <n v="5"/>
    <n v="28384"/>
    <n v="20"/>
    <n v="28384"/>
    <n v="20436.48"/>
    <n v="302"/>
    <n v="134274.48000000001"/>
    <x v="0"/>
    <x v="1"/>
    <s v="Jaipur"/>
    <x v="2"/>
    <x v="1"/>
    <x v="5"/>
    <x v="0"/>
    <x v="3"/>
    <s v="Returned"/>
  </r>
  <r>
    <s v="ORD00269"/>
    <x v="172"/>
    <s v="CUST708"/>
    <s v="Karan"/>
    <x v="1"/>
    <n v="29"/>
    <x v="2"/>
    <x v="1"/>
    <x v="2"/>
    <x v="3"/>
    <n v="3"/>
    <n v="35019"/>
    <n v="15"/>
    <n v="15758.55"/>
    <n v="16073.72"/>
    <n v="151"/>
    <n v="105523.17"/>
    <x v="3"/>
    <x v="1"/>
    <s v="Delhi"/>
    <x v="5"/>
    <x v="1"/>
    <x v="2"/>
    <x v="0"/>
    <x v="4"/>
    <s v="Cancelled"/>
  </r>
  <r>
    <s v="ORD00270"/>
    <x v="108"/>
    <s v="CUST178"/>
    <s v="Anjali"/>
    <x v="1"/>
    <n v="59"/>
    <x v="0"/>
    <x v="0"/>
    <x v="0"/>
    <x v="0"/>
    <n v="3"/>
    <n v="19289"/>
    <n v="10"/>
    <n v="5786.7"/>
    <n v="9374.4500000000007"/>
    <n v="261"/>
    <n v="61715.75"/>
    <x v="0"/>
    <x v="0"/>
    <s v="Pune"/>
    <x v="0"/>
    <x v="0"/>
    <x v="1"/>
    <x v="0"/>
    <x v="3"/>
    <s v="Delivered"/>
  </r>
  <r>
    <s v="ORD00271"/>
    <x v="182"/>
    <s v="CUST737"/>
    <s v="Vikas"/>
    <x v="0"/>
    <n v="44"/>
    <x v="7"/>
    <x v="1"/>
    <x v="7"/>
    <x v="2"/>
    <n v="4"/>
    <n v="47723"/>
    <n v="10"/>
    <n v="19089.2"/>
    <n v="30924.5"/>
    <n v="497"/>
    <n v="203224.3"/>
    <x v="3"/>
    <x v="1"/>
    <s v="Mumbai"/>
    <x v="0"/>
    <x v="0"/>
    <x v="6"/>
    <x v="0"/>
    <x v="0"/>
    <s v="Delivered"/>
  </r>
  <r>
    <s v="ORD00272"/>
    <x v="15"/>
    <s v="CUST343"/>
    <s v="Arjun"/>
    <x v="0"/>
    <n v="44"/>
    <x v="1"/>
    <x v="0"/>
    <x v="1"/>
    <x v="1"/>
    <n v="5"/>
    <n v="36579"/>
    <n v="5"/>
    <n v="9144.75"/>
    <n v="31275.040000000001"/>
    <n v="326"/>
    <n v="205351.29"/>
    <x v="3"/>
    <x v="1"/>
    <s v="Lucknow"/>
    <x v="4"/>
    <x v="1"/>
    <x v="1"/>
    <x v="0"/>
    <x v="1"/>
    <s v="Cancelled"/>
  </r>
  <r>
    <s v="ORD00273"/>
    <x v="133"/>
    <s v="CUST187"/>
    <s v="Priya"/>
    <x v="1"/>
    <n v="28"/>
    <x v="0"/>
    <x v="0"/>
    <x v="0"/>
    <x v="8"/>
    <n v="2"/>
    <n v="30501"/>
    <n v="10"/>
    <n v="6100.2"/>
    <n v="9882.32"/>
    <n v="215"/>
    <n v="64999.12"/>
    <x v="2"/>
    <x v="1"/>
    <s v="Lucknow"/>
    <x v="4"/>
    <x v="1"/>
    <x v="6"/>
    <x v="0"/>
    <x v="2"/>
    <s v="Returned"/>
  </r>
  <r>
    <s v="ORD00274"/>
    <x v="74"/>
    <s v="CUST626"/>
    <s v="Neha"/>
    <x v="0"/>
    <n v="19"/>
    <x v="1"/>
    <x v="0"/>
    <x v="1"/>
    <x v="4"/>
    <n v="3"/>
    <n v="35905"/>
    <n v="20"/>
    <n v="21543"/>
    <n v="15510.96"/>
    <n v="69"/>
    <n v="101751.96"/>
    <x v="3"/>
    <x v="1"/>
    <s v="Bangalore"/>
    <x v="3"/>
    <x v="2"/>
    <x v="4"/>
    <x v="0"/>
    <x v="1"/>
    <s v="Returned"/>
  </r>
  <r>
    <s v="ORD00275"/>
    <x v="183"/>
    <s v="CUST776"/>
    <s v="Riya"/>
    <x v="1"/>
    <n v="38"/>
    <x v="9"/>
    <x v="0"/>
    <x v="9"/>
    <x v="1"/>
    <n v="3"/>
    <n v="16019"/>
    <n v="10"/>
    <n v="4805.7"/>
    <n v="7785.23"/>
    <n v="9"/>
    <n v="51045.53"/>
    <x v="3"/>
    <x v="1"/>
    <s v="Bangalore"/>
    <x v="3"/>
    <x v="2"/>
    <x v="1"/>
    <x v="0"/>
    <x v="1"/>
    <s v="Cancelled"/>
  </r>
  <r>
    <s v="ORD00276"/>
    <x v="184"/>
    <s v="CUST981"/>
    <s v="Karan"/>
    <x v="0"/>
    <n v="22"/>
    <x v="6"/>
    <x v="0"/>
    <x v="6"/>
    <x v="1"/>
    <n v="4"/>
    <n v="19232"/>
    <n v="10"/>
    <n v="7692.8"/>
    <n v="12462.34"/>
    <n v="295"/>
    <n v="81992.539999999994"/>
    <x v="2"/>
    <x v="1"/>
    <s v="Mumbai"/>
    <x v="0"/>
    <x v="0"/>
    <x v="4"/>
    <x v="0"/>
    <x v="4"/>
    <s v="Cancelled"/>
  </r>
  <r>
    <s v="ORD00277"/>
    <x v="185"/>
    <s v="CUST425"/>
    <s v="Arjun"/>
    <x v="0"/>
    <n v="57"/>
    <x v="4"/>
    <x v="0"/>
    <x v="4"/>
    <x v="5"/>
    <n v="3"/>
    <n v="26220"/>
    <n v="5"/>
    <n v="3933"/>
    <n v="13450.86"/>
    <n v="337"/>
    <n v="88514.86"/>
    <x v="3"/>
    <x v="0"/>
    <s v="Pune"/>
    <x v="0"/>
    <x v="0"/>
    <x v="7"/>
    <x v="1"/>
    <x v="4"/>
    <s v="Returned"/>
  </r>
  <r>
    <s v="ORD00278"/>
    <x v="186"/>
    <s v="CUST196"/>
    <s v="Sneha"/>
    <x v="1"/>
    <n v="60"/>
    <x v="0"/>
    <x v="0"/>
    <x v="0"/>
    <x v="8"/>
    <n v="2"/>
    <n v="8816"/>
    <n v="20"/>
    <n v="3526.4"/>
    <n v="2539.0100000000002"/>
    <n v="394"/>
    <n v="17038.61"/>
    <x v="1"/>
    <x v="0"/>
    <s v="Pune"/>
    <x v="0"/>
    <x v="0"/>
    <x v="8"/>
    <x v="0"/>
    <x v="1"/>
    <s v="Returned"/>
  </r>
  <r>
    <s v="ORD00279"/>
    <x v="187"/>
    <s v="CUST741"/>
    <s v="Amit"/>
    <x v="1"/>
    <n v="32"/>
    <x v="9"/>
    <x v="0"/>
    <x v="9"/>
    <x v="3"/>
    <n v="1"/>
    <n v="21091"/>
    <n v="10"/>
    <n v="2109.1"/>
    <n v="3416.74"/>
    <n v="177"/>
    <n v="22575.64"/>
    <x v="2"/>
    <x v="1"/>
    <s v="Lucknow"/>
    <x v="4"/>
    <x v="1"/>
    <x v="0"/>
    <x v="1"/>
    <x v="0"/>
    <s v="Delivered"/>
  </r>
  <r>
    <s v="ORD00280"/>
    <x v="54"/>
    <s v="CUST997"/>
    <s v="Arjun"/>
    <x v="0"/>
    <n v="19"/>
    <x v="6"/>
    <x v="0"/>
    <x v="6"/>
    <x v="3"/>
    <n v="2"/>
    <n v="46647"/>
    <n v="0"/>
    <n v="0"/>
    <n v="16792.919999999998"/>
    <n v="477"/>
    <n v="110563.92"/>
    <x v="0"/>
    <x v="0"/>
    <s v="Delhi"/>
    <x v="5"/>
    <x v="1"/>
    <x v="4"/>
    <x v="0"/>
    <x v="2"/>
    <s v="Cancelled"/>
  </r>
  <r>
    <s v="ORD00281"/>
    <x v="188"/>
    <s v="CUST112"/>
    <s v="Amit"/>
    <x v="1"/>
    <n v="57"/>
    <x v="0"/>
    <x v="0"/>
    <x v="0"/>
    <x v="1"/>
    <n v="1"/>
    <n v="46084"/>
    <n v="10"/>
    <n v="4608.3999999999996"/>
    <n v="7465.61"/>
    <n v="166"/>
    <n v="49107.21"/>
    <x v="0"/>
    <x v="1"/>
    <s v="Lucknow"/>
    <x v="4"/>
    <x v="1"/>
    <x v="1"/>
    <x v="1"/>
    <x v="3"/>
    <s v="Cancelled"/>
  </r>
  <r>
    <s v="ORD00282"/>
    <x v="189"/>
    <s v="CUST422"/>
    <s v="Riya"/>
    <x v="0"/>
    <n v="27"/>
    <x v="5"/>
    <x v="0"/>
    <x v="5"/>
    <x v="1"/>
    <n v="2"/>
    <n v="13526"/>
    <n v="0"/>
    <n v="0"/>
    <n v="4869.3599999999997"/>
    <n v="286"/>
    <n v="32207.360000000001"/>
    <x v="1"/>
    <x v="1"/>
    <s v="Lucknow"/>
    <x v="4"/>
    <x v="1"/>
    <x v="6"/>
    <x v="0"/>
    <x v="4"/>
    <s v="Delivered"/>
  </r>
  <r>
    <s v="ORD00283"/>
    <x v="74"/>
    <s v="CUST228"/>
    <s v="Sneha"/>
    <x v="0"/>
    <n v="23"/>
    <x v="6"/>
    <x v="0"/>
    <x v="6"/>
    <x v="8"/>
    <n v="2"/>
    <n v="24594"/>
    <n v="15"/>
    <n v="7378.2"/>
    <n v="7525.76"/>
    <n v="423"/>
    <n v="49758.559999999998"/>
    <x v="0"/>
    <x v="0"/>
    <s v="Lucknow"/>
    <x v="4"/>
    <x v="1"/>
    <x v="8"/>
    <x v="1"/>
    <x v="3"/>
    <s v="Cancelled"/>
  </r>
  <r>
    <s v="ORD00284"/>
    <x v="190"/>
    <s v="CUST243"/>
    <s v="Vikas"/>
    <x v="1"/>
    <n v="48"/>
    <x v="4"/>
    <x v="0"/>
    <x v="4"/>
    <x v="1"/>
    <n v="1"/>
    <n v="8792"/>
    <n v="20"/>
    <n v="1758.4"/>
    <n v="1266.05"/>
    <n v="83"/>
    <n v="8382.65"/>
    <x v="0"/>
    <x v="0"/>
    <s v="Pune"/>
    <x v="0"/>
    <x v="0"/>
    <x v="2"/>
    <x v="1"/>
    <x v="2"/>
    <s v="Cancelled"/>
  </r>
  <r>
    <s v="ORD00285"/>
    <x v="46"/>
    <s v="CUST455"/>
    <s v="Amit"/>
    <x v="0"/>
    <n v="44"/>
    <x v="6"/>
    <x v="0"/>
    <x v="6"/>
    <x v="4"/>
    <n v="2"/>
    <n v="39070"/>
    <n v="0"/>
    <n v="0"/>
    <n v="14065.2"/>
    <n v="255"/>
    <n v="92460.2"/>
    <x v="0"/>
    <x v="1"/>
    <s v="Mumbai"/>
    <x v="0"/>
    <x v="0"/>
    <x v="7"/>
    <x v="1"/>
    <x v="4"/>
    <s v="Cancelled"/>
  </r>
  <r>
    <s v="ORD00286"/>
    <x v="191"/>
    <s v="CUST360"/>
    <s v="Neha"/>
    <x v="1"/>
    <n v="29"/>
    <x v="4"/>
    <x v="0"/>
    <x v="4"/>
    <x v="0"/>
    <n v="2"/>
    <n v="4186"/>
    <n v="15"/>
    <n v="1255.8"/>
    <n v="1280.92"/>
    <n v="320"/>
    <n v="8717.1200000000008"/>
    <x v="3"/>
    <x v="1"/>
    <s v="Delhi"/>
    <x v="5"/>
    <x v="1"/>
    <x v="9"/>
    <x v="1"/>
    <x v="1"/>
    <s v="Delivered"/>
  </r>
  <r>
    <s v="ORD00287"/>
    <x v="109"/>
    <s v="CUST789"/>
    <s v="Amit"/>
    <x v="1"/>
    <n v="39"/>
    <x v="8"/>
    <x v="0"/>
    <x v="8"/>
    <x v="7"/>
    <n v="3"/>
    <n v="27724"/>
    <n v="0"/>
    <n v="0"/>
    <n v="14970.96"/>
    <n v="412"/>
    <n v="98554.96"/>
    <x v="1"/>
    <x v="1"/>
    <s v="Delhi"/>
    <x v="5"/>
    <x v="1"/>
    <x v="5"/>
    <x v="0"/>
    <x v="1"/>
    <s v="Cancelled"/>
  </r>
  <r>
    <s v="ORD00288"/>
    <x v="192"/>
    <s v="CUST460"/>
    <s v="Arjun"/>
    <x v="1"/>
    <n v="22"/>
    <x v="2"/>
    <x v="1"/>
    <x v="2"/>
    <x v="2"/>
    <n v="2"/>
    <n v="25863"/>
    <n v="15"/>
    <n v="7758.9"/>
    <n v="7914.08"/>
    <n v="282"/>
    <n v="52163.18"/>
    <x v="1"/>
    <x v="0"/>
    <s v="Patiala"/>
    <x v="1"/>
    <x v="1"/>
    <x v="5"/>
    <x v="0"/>
    <x v="1"/>
    <s v="Returned"/>
  </r>
  <r>
    <s v="ORD00289"/>
    <x v="193"/>
    <s v="CUST266"/>
    <s v="Arjun"/>
    <x v="1"/>
    <n v="45"/>
    <x v="4"/>
    <x v="0"/>
    <x v="4"/>
    <x v="4"/>
    <n v="3"/>
    <n v="5942"/>
    <n v="5"/>
    <n v="891.3"/>
    <n v="3048.25"/>
    <n v="248"/>
    <n v="20230.95"/>
    <x v="3"/>
    <x v="0"/>
    <s v="Patiala"/>
    <x v="1"/>
    <x v="1"/>
    <x v="6"/>
    <x v="1"/>
    <x v="2"/>
    <s v="Cancelled"/>
  </r>
  <r>
    <s v="ORD00290"/>
    <x v="194"/>
    <s v="CUST795"/>
    <s v="Anjali"/>
    <x v="1"/>
    <n v="54"/>
    <x v="1"/>
    <x v="0"/>
    <x v="1"/>
    <x v="1"/>
    <n v="2"/>
    <n v="5637"/>
    <n v="20"/>
    <n v="2254.8000000000002"/>
    <n v="1623.46"/>
    <n v="105"/>
    <n v="10747.66"/>
    <x v="1"/>
    <x v="0"/>
    <s v="Delhi"/>
    <x v="5"/>
    <x v="1"/>
    <x v="5"/>
    <x v="0"/>
    <x v="4"/>
    <s v="Shipped"/>
  </r>
  <r>
    <s v="ORD00291"/>
    <x v="195"/>
    <s v="CUST337"/>
    <s v="Neha"/>
    <x v="1"/>
    <n v="48"/>
    <x v="5"/>
    <x v="0"/>
    <x v="5"/>
    <x v="7"/>
    <n v="3"/>
    <n v="11265"/>
    <n v="15"/>
    <n v="5069.25"/>
    <n v="5170.6400000000003"/>
    <n v="234"/>
    <n v="34130.39"/>
    <x v="2"/>
    <x v="1"/>
    <s v="Pune"/>
    <x v="0"/>
    <x v="0"/>
    <x v="4"/>
    <x v="0"/>
    <x v="0"/>
    <s v="Shipped"/>
  </r>
  <r>
    <s v="ORD00292"/>
    <x v="146"/>
    <s v="CUST874"/>
    <s v="Priya"/>
    <x v="1"/>
    <n v="31"/>
    <x v="1"/>
    <x v="0"/>
    <x v="1"/>
    <x v="5"/>
    <n v="3"/>
    <n v="1419"/>
    <n v="10"/>
    <n v="425.7"/>
    <n v="689.63"/>
    <n v="407"/>
    <n v="4927.93"/>
    <x v="2"/>
    <x v="1"/>
    <s v="Jaipur"/>
    <x v="2"/>
    <x v="1"/>
    <x v="6"/>
    <x v="0"/>
    <x v="4"/>
    <s v="Cancelled"/>
  </r>
  <r>
    <s v="ORD00293"/>
    <x v="196"/>
    <s v="CUST936"/>
    <s v="Arjun"/>
    <x v="1"/>
    <n v="48"/>
    <x v="2"/>
    <x v="1"/>
    <x v="2"/>
    <x v="0"/>
    <n v="4"/>
    <n v="14676"/>
    <n v="5"/>
    <n v="2935.2"/>
    <n v="10038.379999999999"/>
    <n v="318"/>
    <n v="66125.179999999993"/>
    <x v="2"/>
    <x v="1"/>
    <s v="Lucknow"/>
    <x v="4"/>
    <x v="1"/>
    <x v="3"/>
    <x v="0"/>
    <x v="1"/>
    <s v="Delivered"/>
  </r>
  <r>
    <s v="ORD00294"/>
    <x v="151"/>
    <s v="CUST341"/>
    <s v="Arjun"/>
    <x v="0"/>
    <n v="48"/>
    <x v="2"/>
    <x v="1"/>
    <x v="2"/>
    <x v="9"/>
    <n v="1"/>
    <n v="31678"/>
    <n v="10"/>
    <n v="3167.8"/>
    <n v="5131.84"/>
    <n v="175"/>
    <n v="33817.040000000001"/>
    <x v="2"/>
    <x v="0"/>
    <s v="Patiala"/>
    <x v="1"/>
    <x v="1"/>
    <x v="9"/>
    <x v="1"/>
    <x v="4"/>
    <s v="Shipped"/>
  </r>
  <r>
    <s v="ORD00295"/>
    <x v="197"/>
    <s v="CUST947"/>
    <s v="Karan"/>
    <x v="1"/>
    <n v="32"/>
    <x v="2"/>
    <x v="1"/>
    <x v="2"/>
    <x v="8"/>
    <n v="4"/>
    <n v="11363"/>
    <n v="10"/>
    <n v="4545.2"/>
    <n v="7363.22"/>
    <n v="249"/>
    <n v="48519.02"/>
    <x v="0"/>
    <x v="1"/>
    <s v="Lucknow"/>
    <x v="4"/>
    <x v="1"/>
    <x v="7"/>
    <x v="0"/>
    <x v="2"/>
    <s v="Returned"/>
  </r>
  <r>
    <s v="ORD00296"/>
    <x v="106"/>
    <s v="CUST793"/>
    <s v="Vikas"/>
    <x v="1"/>
    <n v="40"/>
    <x v="2"/>
    <x v="1"/>
    <x v="2"/>
    <x v="8"/>
    <n v="5"/>
    <n v="27019"/>
    <n v="0"/>
    <n v="0"/>
    <n v="24317.1"/>
    <n v="462"/>
    <n v="159874.1"/>
    <x v="1"/>
    <x v="0"/>
    <s v="Delhi"/>
    <x v="5"/>
    <x v="1"/>
    <x v="4"/>
    <x v="1"/>
    <x v="1"/>
    <s v="Returned"/>
  </r>
  <r>
    <s v="ORD00297"/>
    <x v="198"/>
    <s v="CUST890"/>
    <s v="Vikas"/>
    <x v="1"/>
    <n v="22"/>
    <x v="1"/>
    <x v="0"/>
    <x v="1"/>
    <x v="2"/>
    <n v="3"/>
    <n v="20219"/>
    <n v="15"/>
    <n v="9098.5499999999993"/>
    <n v="9280.52"/>
    <n v="212"/>
    <n v="61050.97"/>
    <x v="3"/>
    <x v="1"/>
    <s v="Bangalore"/>
    <x v="3"/>
    <x v="2"/>
    <x v="4"/>
    <x v="0"/>
    <x v="1"/>
    <s v="Shipped"/>
  </r>
  <r>
    <s v="ORD00298"/>
    <x v="110"/>
    <s v="CUST308"/>
    <s v="Anjali"/>
    <x v="1"/>
    <n v="49"/>
    <x v="9"/>
    <x v="0"/>
    <x v="9"/>
    <x v="4"/>
    <n v="4"/>
    <n v="17648"/>
    <n v="20"/>
    <n v="14118.4"/>
    <n v="10165.25"/>
    <n v="6"/>
    <n v="66644.850000000006"/>
    <x v="2"/>
    <x v="1"/>
    <s v="Jaipur"/>
    <x v="2"/>
    <x v="1"/>
    <x v="2"/>
    <x v="1"/>
    <x v="3"/>
    <s v="Shipped"/>
  </r>
  <r>
    <s v="ORD00299"/>
    <x v="35"/>
    <s v="CUST899"/>
    <s v="Amit"/>
    <x v="0"/>
    <n v="54"/>
    <x v="8"/>
    <x v="0"/>
    <x v="8"/>
    <x v="7"/>
    <n v="5"/>
    <n v="2574"/>
    <n v="10"/>
    <n v="1287"/>
    <n v="2084.94"/>
    <n v="263"/>
    <n v="13930.94"/>
    <x v="3"/>
    <x v="1"/>
    <s v="Jaipur"/>
    <x v="2"/>
    <x v="1"/>
    <x v="7"/>
    <x v="0"/>
    <x v="4"/>
    <s v="Shipped"/>
  </r>
  <r>
    <s v="ORD00300"/>
    <x v="199"/>
    <s v="CUST637"/>
    <s v="Riya"/>
    <x v="1"/>
    <n v="51"/>
    <x v="7"/>
    <x v="1"/>
    <x v="7"/>
    <x v="8"/>
    <n v="1"/>
    <n v="41491"/>
    <n v="5"/>
    <n v="2074.5500000000002"/>
    <n v="7094.96"/>
    <n v="267"/>
    <n v="46778.41"/>
    <x v="3"/>
    <x v="0"/>
    <s v="Bangalore"/>
    <x v="3"/>
    <x v="2"/>
    <x v="7"/>
    <x v="1"/>
    <x v="0"/>
    <s v="Shipped"/>
  </r>
  <r>
    <s v="ORD00301"/>
    <x v="25"/>
    <s v="CUST353"/>
    <s v="Vikas"/>
    <x v="0"/>
    <n v="50"/>
    <x v="1"/>
    <x v="0"/>
    <x v="1"/>
    <x v="0"/>
    <n v="1"/>
    <n v="34811"/>
    <n v="0"/>
    <n v="0"/>
    <n v="6265.98"/>
    <n v="256"/>
    <n v="41332.980000000003"/>
    <x v="1"/>
    <x v="0"/>
    <s v="Patiala"/>
    <x v="1"/>
    <x v="1"/>
    <x v="9"/>
    <x v="1"/>
    <x v="2"/>
    <s v="Returned"/>
  </r>
  <r>
    <s v="ORD00302"/>
    <x v="200"/>
    <s v="CUST453"/>
    <s v="Arjun"/>
    <x v="1"/>
    <n v="46"/>
    <x v="0"/>
    <x v="0"/>
    <x v="0"/>
    <x v="5"/>
    <n v="2"/>
    <n v="42244"/>
    <n v="10"/>
    <n v="8448.7999999999993"/>
    <n v="13687.06"/>
    <n v="25"/>
    <n v="89751.26"/>
    <x v="2"/>
    <x v="0"/>
    <s v="Delhi"/>
    <x v="5"/>
    <x v="1"/>
    <x v="6"/>
    <x v="1"/>
    <x v="0"/>
    <s v="Returned"/>
  </r>
  <r>
    <s v="ORD00303"/>
    <x v="186"/>
    <s v="CUST119"/>
    <s v="Anjali"/>
    <x v="1"/>
    <n v="34"/>
    <x v="4"/>
    <x v="0"/>
    <x v="4"/>
    <x v="5"/>
    <n v="3"/>
    <n v="27252"/>
    <n v="20"/>
    <n v="16351.2"/>
    <n v="11772.86"/>
    <n v="470"/>
    <n v="77647.66"/>
    <x v="1"/>
    <x v="0"/>
    <s v="Mumbai"/>
    <x v="0"/>
    <x v="0"/>
    <x v="1"/>
    <x v="1"/>
    <x v="1"/>
    <s v="Cancelled"/>
  </r>
  <r>
    <s v="ORD00304"/>
    <x v="33"/>
    <s v="CUST144"/>
    <s v="Vikas"/>
    <x v="1"/>
    <n v="42"/>
    <x v="6"/>
    <x v="0"/>
    <x v="6"/>
    <x v="5"/>
    <n v="5"/>
    <n v="33762"/>
    <n v="0"/>
    <n v="0"/>
    <n v="30385.8"/>
    <n v="363"/>
    <n v="199558.8"/>
    <x v="0"/>
    <x v="1"/>
    <s v="Mumbai"/>
    <x v="0"/>
    <x v="0"/>
    <x v="7"/>
    <x v="0"/>
    <x v="0"/>
    <s v="Cancelled"/>
  </r>
  <r>
    <s v="ORD00305"/>
    <x v="201"/>
    <s v="CUST457"/>
    <s v="Anjali"/>
    <x v="1"/>
    <n v="42"/>
    <x v="5"/>
    <x v="0"/>
    <x v="5"/>
    <x v="7"/>
    <n v="2"/>
    <n v="22031"/>
    <n v="0"/>
    <n v="0"/>
    <n v="7931.16"/>
    <n v="84"/>
    <n v="52077.16"/>
    <x v="0"/>
    <x v="0"/>
    <s v="Bangalore"/>
    <x v="3"/>
    <x v="2"/>
    <x v="0"/>
    <x v="0"/>
    <x v="1"/>
    <s v="Returned"/>
  </r>
  <r>
    <s v="ORD00306"/>
    <x v="202"/>
    <s v="CUST753"/>
    <s v="Arjun"/>
    <x v="1"/>
    <n v="50"/>
    <x v="2"/>
    <x v="1"/>
    <x v="2"/>
    <x v="7"/>
    <n v="2"/>
    <n v="19288"/>
    <n v="5"/>
    <n v="1928.8"/>
    <n v="6596.5"/>
    <n v="389"/>
    <n v="43632.7"/>
    <x v="1"/>
    <x v="1"/>
    <s v="Lucknow"/>
    <x v="4"/>
    <x v="1"/>
    <x v="0"/>
    <x v="0"/>
    <x v="2"/>
    <s v="Cancelled"/>
  </r>
  <r>
    <s v="ORD00307"/>
    <x v="203"/>
    <s v="CUST705"/>
    <s v="Anjali"/>
    <x v="1"/>
    <n v="41"/>
    <x v="4"/>
    <x v="0"/>
    <x v="4"/>
    <x v="1"/>
    <n v="3"/>
    <n v="4554"/>
    <n v="0"/>
    <n v="0"/>
    <n v="2459.16"/>
    <n v="402"/>
    <n v="16523.16"/>
    <x v="2"/>
    <x v="0"/>
    <s v="Jaipur"/>
    <x v="2"/>
    <x v="1"/>
    <x v="2"/>
    <x v="0"/>
    <x v="3"/>
    <s v="Shipped"/>
  </r>
  <r>
    <s v="ORD00308"/>
    <x v="174"/>
    <s v="CUST989"/>
    <s v="Sneha"/>
    <x v="0"/>
    <n v="40"/>
    <x v="9"/>
    <x v="0"/>
    <x v="9"/>
    <x v="9"/>
    <n v="1"/>
    <n v="15911"/>
    <n v="0"/>
    <n v="0"/>
    <n v="2863.98"/>
    <n v="246"/>
    <n v="19020.98"/>
    <x v="3"/>
    <x v="0"/>
    <s v="Delhi"/>
    <x v="5"/>
    <x v="1"/>
    <x v="5"/>
    <x v="1"/>
    <x v="3"/>
    <s v="Delivered"/>
  </r>
  <r>
    <s v="ORD00309"/>
    <x v="24"/>
    <s v="CUST565"/>
    <s v="Neha"/>
    <x v="0"/>
    <n v="48"/>
    <x v="0"/>
    <x v="0"/>
    <x v="0"/>
    <x v="2"/>
    <n v="4"/>
    <n v="43550"/>
    <n v="10"/>
    <n v="17420"/>
    <n v="28220.400000000001"/>
    <n v="291"/>
    <n v="185291.4"/>
    <x v="2"/>
    <x v="1"/>
    <s v="Delhi"/>
    <x v="5"/>
    <x v="1"/>
    <x v="8"/>
    <x v="0"/>
    <x v="2"/>
    <s v="Delivered"/>
  </r>
  <r>
    <s v="ORD00310"/>
    <x v="143"/>
    <s v="CUST325"/>
    <s v="Priya"/>
    <x v="1"/>
    <n v="60"/>
    <x v="8"/>
    <x v="0"/>
    <x v="8"/>
    <x v="4"/>
    <n v="3"/>
    <n v="22416"/>
    <n v="0"/>
    <n v="0"/>
    <n v="12104.64"/>
    <n v="410"/>
    <n v="79762.64"/>
    <x v="2"/>
    <x v="0"/>
    <s v="Chandigarh"/>
    <x v="1"/>
    <x v="1"/>
    <x v="7"/>
    <x v="1"/>
    <x v="3"/>
    <s v="Returned"/>
  </r>
  <r>
    <s v="ORD00311"/>
    <x v="7"/>
    <s v="CUST742"/>
    <s v="Rahul"/>
    <x v="0"/>
    <n v="23"/>
    <x v="2"/>
    <x v="1"/>
    <x v="2"/>
    <x v="9"/>
    <n v="4"/>
    <n v="29172"/>
    <n v="15"/>
    <n v="17503.2"/>
    <n v="17853.259999999998"/>
    <n v="97"/>
    <n v="117135.06"/>
    <x v="2"/>
    <x v="1"/>
    <s v="Pune"/>
    <x v="0"/>
    <x v="0"/>
    <x v="1"/>
    <x v="1"/>
    <x v="2"/>
    <s v="Shipped"/>
  </r>
  <r>
    <s v="ORD00312"/>
    <x v="9"/>
    <s v="CUST795"/>
    <s v="Amit"/>
    <x v="0"/>
    <n v="35"/>
    <x v="8"/>
    <x v="0"/>
    <x v="8"/>
    <x v="0"/>
    <n v="5"/>
    <n v="44748"/>
    <n v="15"/>
    <n v="33561"/>
    <n v="34232.22"/>
    <n v="34"/>
    <n v="224445.22"/>
    <x v="1"/>
    <x v="1"/>
    <s v="Mumbai"/>
    <x v="0"/>
    <x v="0"/>
    <x v="0"/>
    <x v="0"/>
    <x v="2"/>
    <s v="Shipped"/>
  </r>
  <r>
    <s v="ORD00313"/>
    <x v="204"/>
    <s v="CUST970"/>
    <s v="Anjali"/>
    <x v="1"/>
    <n v="42"/>
    <x v="7"/>
    <x v="1"/>
    <x v="7"/>
    <x v="2"/>
    <n v="5"/>
    <n v="23381"/>
    <n v="5"/>
    <n v="5845.25"/>
    <n v="19990.759999999998"/>
    <n v="214"/>
    <n v="131264.51"/>
    <x v="2"/>
    <x v="0"/>
    <s v="Jaipur"/>
    <x v="2"/>
    <x v="1"/>
    <x v="2"/>
    <x v="1"/>
    <x v="1"/>
    <s v="Cancelled"/>
  </r>
  <r>
    <s v="ORD00314"/>
    <x v="137"/>
    <s v="CUST184"/>
    <s v="Amit"/>
    <x v="0"/>
    <n v="44"/>
    <x v="2"/>
    <x v="1"/>
    <x v="2"/>
    <x v="5"/>
    <n v="3"/>
    <n v="21630"/>
    <n v="15"/>
    <n v="9733.5"/>
    <n v="9928.17"/>
    <n v="379"/>
    <n v="65463.67"/>
    <x v="2"/>
    <x v="1"/>
    <s v="Pune"/>
    <x v="0"/>
    <x v="0"/>
    <x v="2"/>
    <x v="1"/>
    <x v="2"/>
    <s v="Shipped"/>
  </r>
  <r>
    <s v="ORD00315"/>
    <x v="23"/>
    <s v="CUST894"/>
    <s v="Arjun"/>
    <x v="1"/>
    <n v="40"/>
    <x v="5"/>
    <x v="0"/>
    <x v="5"/>
    <x v="9"/>
    <n v="2"/>
    <n v="41791"/>
    <n v="20"/>
    <n v="16716.400000000001"/>
    <n v="12035.81"/>
    <n v="371"/>
    <n v="79272.41"/>
    <x v="1"/>
    <x v="0"/>
    <s v="Chandigarh"/>
    <x v="1"/>
    <x v="1"/>
    <x v="5"/>
    <x v="1"/>
    <x v="2"/>
    <s v="Returned"/>
  </r>
  <r>
    <s v="ORD00316"/>
    <x v="205"/>
    <s v="CUST663"/>
    <s v="Anjali"/>
    <x v="1"/>
    <n v="40"/>
    <x v="5"/>
    <x v="0"/>
    <x v="5"/>
    <x v="8"/>
    <n v="2"/>
    <n v="5799"/>
    <n v="5"/>
    <n v="579.9"/>
    <n v="1983.26"/>
    <n v="221"/>
    <n v="13222.36"/>
    <x v="2"/>
    <x v="0"/>
    <s v="Chandigarh"/>
    <x v="1"/>
    <x v="1"/>
    <x v="8"/>
    <x v="0"/>
    <x v="0"/>
    <s v="Returned"/>
  </r>
  <r>
    <s v="ORD00317"/>
    <x v="47"/>
    <s v="CUST510"/>
    <s v="Priya"/>
    <x v="0"/>
    <n v="26"/>
    <x v="2"/>
    <x v="1"/>
    <x v="2"/>
    <x v="8"/>
    <n v="2"/>
    <n v="23634"/>
    <n v="5"/>
    <n v="2363.4"/>
    <n v="8082.83"/>
    <n v="450"/>
    <n v="53437.43"/>
    <x v="2"/>
    <x v="1"/>
    <s v="Bangalore"/>
    <x v="3"/>
    <x v="2"/>
    <x v="7"/>
    <x v="1"/>
    <x v="2"/>
    <s v="Returned"/>
  </r>
  <r>
    <s v="ORD00318"/>
    <x v="204"/>
    <s v="CUST358"/>
    <s v="Amit"/>
    <x v="1"/>
    <n v="51"/>
    <x v="9"/>
    <x v="0"/>
    <x v="9"/>
    <x v="5"/>
    <n v="3"/>
    <n v="21565"/>
    <n v="15"/>
    <n v="9704.25"/>
    <n v="9898.33"/>
    <n v="46"/>
    <n v="64935.08"/>
    <x v="3"/>
    <x v="0"/>
    <s v="Bangalore"/>
    <x v="3"/>
    <x v="2"/>
    <x v="3"/>
    <x v="0"/>
    <x v="2"/>
    <s v="Delivered"/>
  </r>
  <r>
    <s v="ORD00319"/>
    <x v="104"/>
    <s v="CUST603"/>
    <s v="Anjali"/>
    <x v="0"/>
    <n v="49"/>
    <x v="0"/>
    <x v="0"/>
    <x v="0"/>
    <x v="0"/>
    <n v="5"/>
    <n v="41024"/>
    <n v="20"/>
    <n v="41024"/>
    <n v="29537.279999999999"/>
    <n v="262"/>
    <n v="193895.28"/>
    <x v="0"/>
    <x v="1"/>
    <s v="Bangalore"/>
    <x v="3"/>
    <x v="2"/>
    <x v="8"/>
    <x v="1"/>
    <x v="1"/>
    <s v="Shipped"/>
  </r>
  <r>
    <s v="ORD00320"/>
    <x v="27"/>
    <s v="CUST234"/>
    <s v="Arjun"/>
    <x v="1"/>
    <n v="37"/>
    <x v="8"/>
    <x v="0"/>
    <x v="8"/>
    <x v="0"/>
    <n v="2"/>
    <n v="49704"/>
    <n v="20"/>
    <n v="19881.599999999999"/>
    <n v="14314.75"/>
    <n v="174"/>
    <n v="94015.15"/>
    <x v="1"/>
    <x v="0"/>
    <s v="Bangalore"/>
    <x v="3"/>
    <x v="2"/>
    <x v="6"/>
    <x v="1"/>
    <x v="3"/>
    <s v="Shipped"/>
  </r>
  <r>
    <s v="ORD00321"/>
    <x v="206"/>
    <s v="CUST370"/>
    <s v="Anjali"/>
    <x v="0"/>
    <n v="38"/>
    <x v="4"/>
    <x v="0"/>
    <x v="4"/>
    <x v="7"/>
    <n v="1"/>
    <n v="7179"/>
    <n v="15"/>
    <n v="1076.8499999999999"/>
    <n v="1098.3900000000001"/>
    <n v="459"/>
    <n v="7659.54"/>
    <x v="0"/>
    <x v="0"/>
    <s v="Mumbai"/>
    <x v="0"/>
    <x v="0"/>
    <x v="5"/>
    <x v="0"/>
    <x v="4"/>
    <s v="Shipped"/>
  </r>
  <r>
    <s v="ORD00322"/>
    <x v="207"/>
    <s v="CUST720"/>
    <s v="Priya"/>
    <x v="1"/>
    <n v="55"/>
    <x v="5"/>
    <x v="0"/>
    <x v="5"/>
    <x v="1"/>
    <n v="1"/>
    <n v="48043"/>
    <n v="5"/>
    <n v="2402.15"/>
    <n v="8215.35"/>
    <n v="151"/>
    <n v="54007.199999999997"/>
    <x v="2"/>
    <x v="1"/>
    <s v="Lucknow"/>
    <x v="4"/>
    <x v="1"/>
    <x v="2"/>
    <x v="0"/>
    <x v="3"/>
    <s v="Shipped"/>
  </r>
  <r>
    <s v="ORD00323"/>
    <x v="48"/>
    <s v="CUST508"/>
    <s v="Arjun"/>
    <x v="1"/>
    <n v="49"/>
    <x v="2"/>
    <x v="1"/>
    <x v="2"/>
    <x v="8"/>
    <n v="5"/>
    <n v="49415"/>
    <n v="0"/>
    <n v="0"/>
    <n v="44473.5"/>
    <n v="97"/>
    <n v="291645.5"/>
    <x v="3"/>
    <x v="0"/>
    <s v="Patiala"/>
    <x v="1"/>
    <x v="1"/>
    <x v="2"/>
    <x v="1"/>
    <x v="2"/>
    <s v="Cancelled"/>
  </r>
  <r>
    <s v="ORD00324"/>
    <x v="208"/>
    <s v="CUST943"/>
    <s v="Vikas"/>
    <x v="1"/>
    <n v="34"/>
    <x v="6"/>
    <x v="0"/>
    <x v="6"/>
    <x v="9"/>
    <n v="3"/>
    <n v="19786"/>
    <n v="10"/>
    <n v="5935.8"/>
    <n v="9616"/>
    <n v="78"/>
    <n v="63116.2"/>
    <x v="0"/>
    <x v="0"/>
    <s v="Mumbai"/>
    <x v="0"/>
    <x v="0"/>
    <x v="0"/>
    <x v="0"/>
    <x v="1"/>
    <s v="Delivered"/>
  </r>
  <r>
    <s v="ORD00325"/>
    <x v="12"/>
    <s v="CUST323"/>
    <s v="Karan"/>
    <x v="0"/>
    <n v="26"/>
    <x v="1"/>
    <x v="0"/>
    <x v="1"/>
    <x v="1"/>
    <n v="5"/>
    <n v="30964"/>
    <n v="20"/>
    <n v="30964"/>
    <n v="22294.080000000002"/>
    <n v="420"/>
    <n v="146570.07999999999"/>
    <x v="0"/>
    <x v="0"/>
    <s v="Chandigarh"/>
    <x v="1"/>
    <x v="1"/>
    <x v="5"/>
    <x v="0"/>
    <x v="1"/>
    <s v="Returned"/>
  </r>
  <r>
    <s v="ORD00326"/>
    <x v="193"/>
    <s v="CUST846"/>
    <s v="Karan"/>
    <x v="0"/>
    <n v="58"/>
    <x v="0"/>
    <x v="0"/>
    <x v="0"/>
    <x v="6"/>
    <n v="4"/>
    <n v="49969"/>
    <n v="5"/>
    <n v="9993.7999999999993"/>
    <n v="34178.800000000003"/>
    <n v="218"/>
    <n v="224279"/>
    <x v="3"/>
    <x v="0"/>
    <s v="Pune"/>
    <x v="0"/>
    <x v="0"/>
    <x v="7"/>
    <x v="1"/>
    <x v="0"/>
    <s v="Delivered"/>
  </r>
  <r>
    <s v="ORD00327"/>
    <x v="141"/>
    <s v="CUST186"/>
    <s v="Neha"/>
    <x v="1"/>
    <n v="33"/>
    <x v="7"/>
    <x v="1"/>
    <x v="7"/>
    <x v="0"/>
    <n v="2"/>
    <n v="42028"/>
    <n v="15"/>
    <n v="12608.4"/>
    <n v="12860.57"/>
    <n v="190"/>
    <n v="84498.17"/>
    <x v="2"/>
    <x v="0"/>
    <s v="Chandigarh"/>
    <x v="1"/>
    <x v="1"/>
    <x v="5"/>
    <x v="1"/>
    <x v="2"/>
    <s v="Cancelled"/>
  </r>
  <r>
    <s v="ORD00328"/>
    <x v="114"/>
    <s v="CUST337"/>
    <s v="Rahul"/>
    <x v="0"/>
    <n v="59"/>
    <x v="0"/>
    <x v="0"/>
    <x v="0"/>
    <x v="6"/>
    <n v="3"/>
    <n v="40430"/>
    <n v="20"/>
    <n v="24258"/>
    <n v="17465.759999999998"/>
    <n v="15"/>
    <n v="114512.76"/>
    <x v="0"/>
    <x v="0"/>
    <s v="Bangalore"/>
    <x v="3"/>
    <x v="2"/>
    <x v="4"/>
    <x v="0"/>
    <x v="1"/>
    <s v="Shipped"/>
  </r>
  <r>
    <s v="ORD00329"/>
    <x v="165"/>
    <s v="CUST203"/>
    <s v="Priya"/>
    <x v="0"/>
    <n v="60"/>
    <x v="1"/>
    <x v="0"/>
    <x v="1"/>
    <x v="8"/>
    <n v="5"/>
    <n v="34114"/>
    <n v="0"/>
    <n v="0"/>
    <n v="30702.6"/>
    <n v="3"/>
    <n v="201275.6"/>
    <x v="1"/>
    <x v="1"/>
    <s v="Bangalore"/>
    <x v="3"/>
    <x v="2"/>
    <x v="5"/>
    <x v="1"/>
    <x v="0"/>
    <s v="Returned"/>
  </r>
  <r>
    <s v="ORD00330"/>
    <x v="209"/>
    <s v="CUST372"/>
    <s v="Sneha"/>
    <x v="1"/>
    <n v="20"/>
    <x v="3"/>
    <x v="2"/>
    <x v="3"/>
    <x v="4"/>
    <n v="2"/>
    <n v="23052"/>
    <n v="20"/>
    <n v="9220.7999999999993"/>
    <n v="6638.98"/>
    <n v="141"/>
    <n v="43663.18"/>
    <x v="2"/>
    <x v="0"/>
    <s v="Mumbai"/>
    <x v="0"/>
    <x v="0"/>
    <x v="9"/>
    <x v="0"/>
    <x v="1"/>
    <s v="Delivered"/>
  </r>
  <r>
    <s v="ORD00331"/>
    <x v="116"/>
    <s v="CUST444"/>
    <s v="Neha"/>
    <x v="1"/>
    <n v="30"/>
    <x v="6"/>
    <x v="0"/>
    <x v="6"/>
    <x v="2"/>
    <n v="5"/>
    <n v="26141"/>
    <n v="0"/>
    <n v="0"/>
    <n v="23526.9"/>
    <n v="51"/>
    <n v="154282.9"/>
    <x v="3"/>
    <x v="1"/>
    <s v="Delhi"/>
    <x v="5"/>
    <x v="1"/>
    <x v="3"/>
    <x v="0"/>
    <x v="0"/>
    <s v="Delivered"/>
  </r>
  <r>
    <s v="ORD00332"/>
    <x v="171"/>
    <s v="CUST455"/>
    <s v="Riya"/>
    <x v="1"/>
    <n v="23"/>
    <x v="5"/>
    <x v="0"/>
    <x v="5"/>
    <x v="0"/>
    <n v="3"/>
    <n v="3051"/>
    <n v="15"/>
    <n v="1372.95"/>
    <n v="1400.41"/>
    <n v="107"/>
    <n v="9287.4599999999991"/>
    <x v="1"/>
    <x v="1"/>
    <s v="Lucknow"/>
    <x v="4"/>
    <x v="1"/>
    <x v="5"/>
    <x v="0"/>
    <x v="4"/>
    <s v="Shipped"/>
  </r>
  <r>
    <s v="ORD00333"/>
    <x v="138"/>
    <s v="CUST278"/>
    <s v="Rahul"/>
    <x v="0"/>
    <n v="27"/>
    <x v="6"/>
    <x v="0"/>
    <x v="6"/>
    <x v="0"/>
    <n v="1"/>
    <n v="48655"/>
    <n v="0"/>
    <n v="0"/>
    <n v="8757.9"/>
    <n v="391"/>
    <n v="57803.9"/>
    <x v="3"/>
    <x v="1"/>
    <s v="Patiala"/>
    <x v="1"/>
    <x v="1"/>
    <x v="0"/>
    <x v="0"/>
    <x v="3"/>
    <s v="Cancelled"/>
  </r>
  <r>
    <s v="ORD00334"/>
    <x v="98"/>
    <s v="CUST520"/>
    <s v="Riya"/>
    <x v="0"/>
    <n v="57"/>
    <x v="5"/>
    <x v="0"/>
    <x v="5"/>
    <x v="8"/>
    <n v="4"/>
    <n v="1414"/>
    <n v="20"/>
    <n v="1131.2"/>
    <n v="814.46"/>
    <n v="128"/>
    <n v="5467.26"/>
    <x v="2"/>
    <x v="0"/>
    <s v="Pune"/>
    <x v="0"/>
    <x v="0"/>
    <x v="3"/>
    <x v="0"/>
    <x v="3"/>
    <s v="Returned"/>
  </r>
  <r>
    <s v="ORD00335"/>
    <x v="210"/>
    <s v="CUST678"/>
    <s v="Arjun"/>
    <x v="0"/>
    <n v="53"/>
    <x v="1"/>
    <x v="0"/>
    <x v="1"/>
    <x v="2"/>
    <n v="2"/>
    <n v="48474"/>
    <n v="10"/>
    <n v="9694.7999999999993"/>
    <n v="15705.58"/>
    <n v="419"/>
    <n v="103377.78"/>
    <x v="1"/>
    <x v="1"/>
    <s v="Bangalore"/>
    <x v="3"/>
    <x v="2"/>
    <x v="4"/>
    <x v="1"/>
    <x v="3"/>
    <s v="Delivered"/>
  </r>
  <r>
    <s v="ORD00336"/>
    <x v="211"/>
    <s v="CUST631"/>
    <s v="Sneha"/>
    <x v="0"/>
    <n v="60"/>
    <x v="6"/>
    <x v="0"/>
    <x v="6"/>
    <x v="2"/>
    <n v="2"/>
    <n v="4505"/>
    <n v="15"/>
    <n v="1351.5"/>
    <n v="1378.53"/>
    <n v="135"/>
    <n v="9172.0300000000007"/>
    <x v="1"/>
    <x v="1"/>
    <s v="Chandigarh"/>
    <x v="1"/>
    <x v="1"/>
    <x v="6"/>
    <x v="0"/>
    <x v="0"/>
    <s v="Returned"/>
  </r>
  <r>
    <s v="ORD00337"/>
    <x v="160"/>
    <s v="CUST976"/>
    <s v="Neha"/>
    <x v="1"/>
    <n v="35"/>
    <x v="5"/>
    <x v="0"/>
    <x v="5"/>
    <x v="0"/>
    <n v="2"/>
    <n v="24276"/>
    <n v="0"/>
    <n v="0"/>
    <n v="8739.36"/>
    <n v="242"/>
    <n v="57533.36"/>
    <x v="3"/>
    <x v="0"/>
    <s v="Mumbai"/>
    <x v="0"/>
    <x v="0"/>
    <x v="8"/>
    <x v="1"/>
    <x v="3"/>
    <s v="Shipped"/>
  </r>
  <r>
    <s v="ORD00338"/>
    <x v="58"/>
    <s v="CUST579"/>
    <s v="Karan"/>
    <x v="1"/>
    <n v="60"/>
    <x v="2"/>
    <x v="1"/>
    <x v="2"/>
    <x v="0"/>
    <n v="3"/>
    <n v="2724"/>
    <n v="15"/>
    <n v="1225.8"/>
    <n v="1250.32"/>
    <n v="21"/>
    <n v="8217.52"/>
    <x v="1"/>
    <x v="0"/>
    <s v="Bangalore"/>
    <x v="3"/>
    <x v="2"/>
    <x v="9"/>
    <x v="1"/>
    <x v="2"/>
    <s v="Delivered"/>
  </r>
  <r>
    <s v="ORD00339"/>
    <x v="20"/>
    <s v="CUST712"/>
    <s v="Vikas"/>
    <x v="0"/>
    <n v="36"/>
    <x v="0"/>
    <x v="0"/>
    <x v="0"/>
    <x v="7"/>
    <n v="4"/>
    <n v="37327"/>
    <n v="15"/>
    <n v="22396.2"/>
    <n v="22844.12"/>
    <n v="36"/>
    <n v="149791.92000000001"/>
    <x v="3"/>
    <x v="1"/>
    <s v="Lucknow"/>
    <x v="4"/>
    <x v="1"/>
    <x v="3"/>
    <x v="0"/>
    <x v="1"/>
    <s v="Returned"/>
  </r>
  <r>
    <s v="ORD00340"/>
    <x v="155"/>
    <s v="CUST421"/>
    <s v="Anjali"/>
    <x v="0"/>
    <n v="28"/>
    <x v="5"/>
    <x v="0"/>
    <x v="5"/>
    <x v="6"/>
    <n v="5"/>
    <n v="26465"/>
    <n v="5"/>
    <n v="6616.25"/>
    <n v="22627.58"/>
    <n v="473"/>
    <n v="148809.32999999999"/>
    <x v="0"/>
    <x v="1"/>
    <s v="Mumbai"/>
    <x v="0"/>
    <x v="0"/>
    <x v="0"/>
    <x v="0"/>
    <x v="4"/>
    <s v="Cancelled"/>
  </r>
  <r>
    <s v="ORD00341"/>
    <x v="200"/>
    <s v="CUST272"/>
    <s v="Arjun"/>
    <x v="1"/>
    <n v="37"/>
    <x v="3"/>
    <x v="2"/>
    <x v="3"/>
    <x v="3"/>
    <n v="2"/>
    <n v="27129"/>
    <n v="15"/>
    <n v="8138.7"/>
    <n v="8301.4699999999993"/>
    <n v="47"/>
    <n v="54467.77"/>
    <x v="3"/>
    <x v="0"/>
    <s v="Lucknow"/>
    <x v="4"/>
    <x v="1"/>
    <x v="2"/>
    <x v="0"/>
    <x v="1"/>
    <s v="Cancelled"/>
  </r>
  <r>
    <s v="ORD00342"/>
    <x v="212"/>
    <s v="CUST610"/>
    <s v="Riya"/>
    <x v="1"/>
    <n v="44"/>
    <x v="8"/>
    <x v="0"/>
    <x v="8"/>
    <x v="3"/>
    <n v="2"/>
    <n v="37005"/>
    <n v="0"/>
    <n v="0"/>
    <n v="13321.8"/>
    <n v="458"/>
    <n v="87789.8"/>
    <x v="0"/>
    <x v="0"/>
    <s v="Mumbai"/>
    <x v="0"/>
    <x v="0"/>
    <x v="6"/>
    <x v="1"/>
    <x v="1"/>
    <s v="Returned"/>
  </r>
  <r>
    <s v="ORD00343"/>
    <x v="213"/>
    <s v="CUST455"/>
    <s v="Priya"/>
    <x v="0"/>
    <n v="36"/>
    <x v="0"/>
    <x v="0"/>
    <x v="0"/>
    <x v="4"/>
    <n v="1"/>
    <n v="42523"/>
    <n v="10"/>
    <n v="4252.3"/>
    <n v="6888.73"/>
    <n v="150"/>
    <n v="45309.43"/>
    <x v="0"/>
    <x v="0"/>
    <s v="Jaipur"/>
    <x v="2"/>
    <x v="1"/>
    <x v="7"/>
    <x v="1"/>
    <x v="2"/>
    <s v="Cancelled"/>
  </r>
  <r>
    <s v="ORD00344"/>
    <x v="214"/>
    <s v="CUST221"/>
    <s v="Rahul"/>
    <x v="1"/>
    <n v="45"/>
    <x v="1"/>
    <x v="0"/>
    <x v="1"/>
    <x v="2"/>
    <n v="4"/>
    <n v="20804"/>
    <n v="0"/>
    <n v="0"/>
    <n v="14978.88"/>
    <n v="308"/>
    <n v="98502.88"/>
    <x v="2"/>
    <x v="0"/>
    <s v="Patiala"/>
    <x v="1"/>
    <x v="1"/>
    <x v="1"/>
    <x v="0"/>
    <x v="0"/>
    <s v="Returned"/>
  </r>
  <r>
    <s v="ORD00345"/>
    <x v="215"/>
    <s v="CUST568"/>
    <s v="Sneha"/>
    <x v="1"/>
    <n v="28"/>
    <x v="5"/>
    <x v="0"/>
    <x v="5"/>
    <x v="1"/>
    <n v="1"/>
    <n v="15992"/>
    <n v="5"/>
    <n v="799.6"/>
    <n v="2734.63"/>
    <n v="229"/>
    <n v="18156.03"/>
    <x v="3"/>
    <x v="1"/>
    <s v="Pune"/>
    <x v="0"/>
    <x v="0"/>
    <x v="7"/>
    <x v="0"/>
    <x v="4"/>
    <s v="Cancelled"/>
  </r>
  <r>
    <s v="ORD00346"/>
    <x v="216"/>
    <s v="CUST666"/>
    <s v="Karan"/>
    <x v="1"/>
    <n v="25"/>
    <x v="2"/>
    <x v="1"/>
    <x v="2"/>
    <x v="1"/>
    <n v="5"/>
    <n v="11797"/>
    <n v="0"/>
    <n v="0"/>
    <n v="10617.3"/>
    <n v="45"/>
    <n v="69647.3"/>
    <x v="2"/>
    <x v="1"/>
    <s v="Mumbai"/>
    <x v="0"/>
    <x v="0"/>
    <x v="2"/>
    <x v="0"/>
    <x v="1"/>
    <s v="Delivered"/>
  </r>
  <r>
    <s v="ORD00347"/>
    <x v="217"/>
    <s v="CUST269"/>
    <s v="Riya"/>
    <x v="1"/>
    <n v="27"/>
    <x v="3"/>
    <x v="2"/>
    <x v="3"/>
    <x v="9"/>
    <n v="1"/>
    <n v="46166"/>
    <n v="15"/>
    <n v="6924.9"/>
    <n v="7063.4"/>
    <n v="461"/>
    <n v="46765.5"/>
    <x v="2"/>
    <x v="0"/>
    <s v="Pune"/>
    <x v="0"/>
    <x v="0"/>
    <x v="3"/>
    <x v="1"/>
    <x v="4"/>
    <s v="Returned"/>
  </r>
  <r>
    <s v="ORD00348"/>
    <x v="210"/>
    <s v="CUST911"/>
    <s v="Arjun"/>
    <x v="0"/>
    <n v="37"/>
    <x v="5"/>
    <x v="0"/>
    <x v="5"/>
    <x v="1"/>
    <n v="1"/>
    <n v="36991"/>
    <n v="10"/>
    <n v="3699.1"/>
    <n v="5992.54"/>
    <n v="357"/>
    <n v="39641.440000000002"/>
    <x v="2"/>
    <x v="1"/>
    <s v="Delhi"/>
    <x v="5"/>
    <x v="1"/>
    <x v="0"/>
    <x v="0"/>
    <x v="3"/>
    <s v="Delivered"/>
  </r>
  <r>
    <s v="ORD00349"/>
    <x v="154"/>
    <s v="CUST860"/>
    <s v="Sneha"/>
    <x v="0"/>
    <n v="30"/>
    <x v="2"/>
    <x v="1"/>
    <x v="2"/>
    <x v="8"/>
    <n v="4"/>
    <n v="28780"/>
    <n v="15"/>
    <n v="17268"/>
    <n v="17613.36"/>
    <n v="127"/>
    <n v="115592.36"/>
    <x v="3"/>
    <x v="1"/>
    <s v="Patiala"/>
    <x v="1"/>
    <x v="1"/>
    <x v="4"/>
    <x v="1"/>
    <x v="3"/>
    <s v="Delivered"/>
  </r>
  <r>
    <s v="ORD00350"/>
    <x v="10"/>
    <s v="CUST936"/>
    <s v="Arjun"/>
    <x v="0"/>
    <n v="54"/>
    <x v="6"/>
    <x v="0"/>
    <x v="6"/>
    <x v="4"/>
    <n v="4"/>
    <n v="18388"/>
    <n v="20"/>
    <n v="14710.4"/>
    <n v="10591.49"/>
    <n v="469"/>
    <n v="69902.09"/>
    <x v="3"/>
    <x v="1"/>
    <s v="Mumbai"/>
    <x v="0"/>
    <x v="0"/>
    <x v="1"/>
    <x v="1"/>
    <x v="1"/>
    <s v="Shipped"/>
  </r>
  <r>
    <s v="ORD00351"/>
    <x v="85"/>
    <s v="CUST213"/>
    <s v="Riya"/>
    <x v="1"/>
    <n v="50"/>
    <x v="1"/>
    <x v="0"/>
    <x v="1"/>
    <x v="1"/>
    <n v="4"/>
    <n v="31950"/>
    <n v="0"/>
    <n v="0"/>
    <n v="23004"/>
    <n v="50"/>
    <n v="150854"/>
    <x v="3"/>
    <x v="0"/>
    <s v="Mumbai"/>
    <x v="0"/>
    <x v="0"/>
    <x v="4"/>
    <x v="0"/>
    <x v="1"/>
    <s v="Cancelled"/>
  </r>
  <r>
    <s v="ORD00352"/>
    <x v="218"/>
    <s v="CUST200"/>
    <s v="Riya"/>
    <x v="0"/>
    <n v="38"/>
    <x v="1"/>
    <x v="0"/>
    <x v="1"/>
    <x v="4"/>
    <n v="1"/>
    <n v="35608"/>
    <n v="20"/>
    <n v="7121.6"/>
    <n v="5127.55"/>
    <n v="412"/>
    <n v="34025.949999999997"/>
    <x v="3"/>
    <x v="1"/>
    <s v="Patiala"/>
    <x v="1"/>
    <x v="1"/>
    <x v="3"/>
    <x v="1"/>
    <x v="2"/>
    <s v="Shipped"/>
  </r>
  <r>
    <s v="ORD00353"/>
    <x v="111"/>
    <s v="CUST380"/>
    <s v="Neha"/>
    <x v="0"/>
    <n v="56"/>
    <x v="0"/>
    <x v="0"/>
    <x v="0"/>
    <x v="5"/>
    <n v="5"/>
    <n v="23093"/>
    <n v="0"/>
    <n v="0"/>
    <n v="20783.7"/>
    <n v="59"/>
    <n v="136307.70000000001"/>
    <x v="1"/>
    <x v="1"/>
    <s v="Jaipur"/>
    <x v="2"/>
    <x v="1"/>
    <x v="4"/>
    <x v="0"/>
    <x v="2"/>
    <s v="Cancelled"/>
  </r>
  <r>
    <s v="ORD00354"/>
    <x v="219"/>
    <s v="CUST509"/>
    <s v="Neha"/>
    <x v="1"/>
    <n v="54"/>
    <x v="5"/>
    <x v="0"/>
    <x v="5"/>
    <x v="5"/>
    <n v="4"/>
    <n v="27882"/>
    <n v="10"/>
    <n v="11152.8"/>
    <n v="18067.54"/>
    <n v="288"/>
    <n v="118730.74"/>
    <x v="0"/>
    <x v="1"/>
    <s v="Mumbai"/>
    <x v="0"/>
    <x v="0"/>
    <x v="5"/>
    <x v="1"/>
    <x v="0"/>
    <s v="Returned"/>
  </r>
  <r>
    <s v="ORD00355"/>
    <x v="131"/>
    <s v="CUST408"/>
    <s v="Priya"/>
    <x v="1"/>
    <n v="39"/>
    <x v="8"/>
    <x v="0"/>
    <x v="8"/>
    <x v="8"/>
    <n v="2"/>
    <n v="44930"/>
    <n v="10"/>
    <n v="8986"/>
    <n v="14557.32"/>
    <n v="262"/>
    <n v="95693.32"/>
    <x v="2"/>
    <x v="0"/>
    <s v="Pune"/>
    <x v="0"/>
    <x v="0"/>
    <x v="1"/>
    <x v="0"/>
    <x v="0"/>
    <s v="Shipped"/>
  </r>
  <r>
    <s v="ORD00356"/>
    <x v="220"/>
    <s v="CUST923"/>
    <s v="Neha"/>
    <x v="1"/>
    <n v="51"/>
    <x v="9"/>
    <x v="0"/>
    <x v="9"/>
    <x v="1"/>
    <n v="2"/>
    <n v="32991"/>
    <n v="5"/>
    <n v="3299.1"/>
    <n v="11282.92"/>
    <n v="307"/>
    <n v="74272.820000000007"/>
    <x v="2"/>
    <x v="1"/>
    <s v="Mumbai"/>
    <x v="0"/>
    <x v="0"/>
    <x v="4"/>
    <x v="1"/>
    <x v="1"/>
    <s v="Returned"/>
  </r>
  <r>
    <s v="ORD00357"/>
    <x v="221"/>
    <s v="CUST813"/>
    <s v="Anjali"/>
    <x v="1"/>
    <n v="41"/>
    <x v="1"/>
    <x v="0"/>
    <x v="1"/>
    <x v="3"/>
    <n v="5"/>
    <n v="45961"/>
    <n v="15"/>
    <n v="34470.75"/>
    <n v="35160.17"/>
    <n v="329"/>
    <n v="230823.42"/>
    <x v="2"/>
    <x v="0"/>
    <s v="Bangalore"/>
    <x v="3"/>
    <x v="2"/>
    <x v="3"/>
    <x v="1"/>
    <x v="0"/>
    <s v="Cancelled"/>
  </r>
  <r>
    <s v="ORD00358"/>
    <x v="103"/>
    <s v="CUST792"/>
    <s v="Rahul"/>
    <x v="1"/>
    <n v="35"/>
    <x v="5"/>
    <x v="0"/>
    <x v="5"/>
    <x v="3"/>
    <n v="1"/>
    <n v="31904"/>
    <n v="5"/>
    <n v="1595.2"/>
    <n v="5455.58"/>
    <n v="374"/>
    <n v="36138.379999999997"/>
    <x v="2"/>
    <x v="1"/>
    <s v="Bangalore"/>
    <x v="3"/>
    <x v="2"/>
    <x v="4"/>
    <x v="1"/>
    <x v="3"/>
    <s v="Returned"/>
  </r>
  <r>
    <s v="ORD00359"/>
    <x v="222"/>
    <s v="CUST810"/>
    <s v="Anjali"/>
    <x v="1"/>
    <n v="46"/>
    <x v="8"/>
    <x v="0"/>
    <x v="8"/>
    <x v="7"/>
    <n v="1"/>
    <n v="33120"/>
    <n v="0"/>
    <n v="0"/>
    <n v="5961.6"/>
    <n v="154"/>
    <n v="39235.599999999999"/>
    <x v="3"/>
    <x v="1"/>
    <s v="Bangalore"/>
    <x v="3"/>
    <x v="2"/>
    <x v="9"/>
    <x v="1"/>
    <x v="1"/>
    <s v="Cancelled"/>
  </r>
  <r>
    <s v="ORD00360"/>
    <x v="106"/>
    <s v="CUST364"/>
    <s v="Priya"/>
    <x v="1"/>
    <n v="47"/>
    <x v="1"/>
    <x v="0"/>
    <x v="1"/>
    <x v="4"/>
    <n v="2"/>
    <n v="39261"/>
    <n v="0"/>
    <n v="0"/>
    <n v="14133.96"/>
    <n v="437"/>
    <n v="93092.96"/>
    <x v="2"/>
    <x v="1"/>
    <s v="Bangalore"/>
    <x v="3"/>
    <x v="2"/>
    <x v="6"/>
    <x v="1"/>
    <x v="0"/>
    <s v="Returned"/>
  </r>
  <r>
    <s v="ORD00361"/>
    <x v="144"/>
    <s v="CUST474"/>
    <s v="Amit"/>
    <x v="1"/>
    <n v="56"/>
    <x v="3"/>
    <x v="2"/>
    <x v="3"/>
    <x v="1"/>
    <n v="4"/>
    <n v="20027"/>
    <n v="10"/>
    <n v="8010.8"/>
    <n v="12977.5"/>
    <n v="0"/>
    <n v="85074.7"/>
    <x v="1"/>
    <x v="1"/>
    <s v="Delhi"/>
    <x v="5"/>
    <x v="1"/>
    <x v="0"/>
    <x v="0"/>
    <x v="4"/>
    <s v="Shipped"/>
  </r>
  <r>
    <s v="ORD00362"/>
    <x v="184"/>
    <s v="CUST932"/>
    <s v="Vikas"/>
    <x v="0"/>
    <n v="33"/>
    <x v="9"/>
    <x v="0"/>
    <x v="9"/>
    <x v="3"/>
    <n v="2"/>
    <n v="29124"/>
    <n v="0"/>
    <n v="0"/>
    <n v="10484.64"/>
    <n v="260"/>
    <n v="68992.639999999999"/>
    <x v="0"/>
    <x v="1"/>
    <s v="Delhi"/>
    <x v="5"/>
    <x v="1"/>
    <x v="6"/>
    <x v="0"/>
    <x v="4"/>
    <s v="Cancelled"/>
  </r>
  <r>
    <s v="ORD00363"/>
    <x v="223"/>
    <s v="CUST719"/>
    <s v="Karan"/>
    <x v="0"/>
    <n v="24"/>
    <x v="3"/>
    <x v="2"/>
    <x v="3"/>
    <x v="8"/>
    <n v="3"/>
    <n v="34423"/>
    <n v="10"/>
    <n v="10326.9"/>
    <n v="16729.580000000002"/>
    <n v="223"/>
    <n v="109894.68"/>
    <x v="3"/>
    <x v="0"/>
    <s v="Lucknow"/>
    <x v="4"/>
    <x v="1"/>
    <x v="5"/>
    <x v="1"/>
    <x v="1"/>
    <s v="Shipped"/>
  </r>
  <r>
    <s v="ORD00364"/>
    <x v="171"/>
    <s v="CUST631"/>
    <s v="Anjali"/>
    <x v="1"/>
    <n v="36"/>
    <x v="4"/>
    <x v="0"/>
    <x v="4"/>
    <x v="9"/>
    <n v="4"/>
    <n v="33019"/>
    <n v="20"/>
    <n v="26415.200000000001"/>
    <n v="19018.939999999999"/>
    <n v="47"/>
    <n v="124726.74"/>
    <x v="2"/>
    <x v="1"/>
    <s v="Mumbai"/>
    <x v="0"/>
    <x v="0"/>
    <x v="1"/>
    <x v="0"/>
    <x v="2"/>
    <s v="Shipped"/>
  </r>
  <r>
    <s v="ORD00365"/>
    <x v="224"/>
    <s v="CUST721"/>
    <s v="Anjali"/>
    <x v="1"/>
    <n v="40"/>
    <x v="1"/>
    <x v="0"/>
    <x v="1"/>
    <x v="4"/>
    <n v="3"/>
    <n v="42953"/>
    <n v="5"/>
    <n v="6442.95"/>
    <n v="22034.89"/>
    <n v="312"/>
    <n v="144762.94"/>
    <x v="0"/>
    <x v="1"/>
    <s v="Delhi"/>
    <x v="5"/>
    <x v="1"/>
    <x v="3"/>
    <x v="1"/>
    <x v="0"/>
    <s v="Shipped"/>
  </r>
  <r>
    <s v="ORD00366"/>
    <x v="154"/>
    <s v="CUST980"/>
    <s v="Riya"/>
    <x v="0"/>
    <n v="34"/>
    <x v="7"/>
    <x v="1"/>
    <x v="7"/>
    <x v="0"/>
    <n v="4"/>
    <n v="20988"/>
    <n v="10"/>
    <n v="8395.2000000000007"/>
    <n v="13600.22"/>
    <n v="300"/>
    <n v="89457.02"/>
    <x v="1"/>
    <x v="1"/>
    <s v="Lucknow"/>
    <x v="4"/>
    <x v="1"/>
    <x v="6"/>
    <x v="0"/>
    <x v="3"/>
    <s v="Shipped"/>
  </r>
  <r>
    <s v="ORD00367"/>
    <x v="60"/>
    <s v="CUST713"/>
    <s v="Vikas"/>
    <x v="0"/>
    <n v="40"/>
    <x v="1"/>
    <x v="0"/>
    <x v="1"/>
    <x v="0"/>
    <n v="5"/>
    <n v="29902"/>
    <n v="0"/>
    <n v="0"/>
    <n v="26911.8"/>
    <n v="252"/>
    <n v="176673.8"/>
    <x v="1"/>
    <x v="0"/>
    <s v="Lucknow"/>
    <x v="4"/>
    <x v="1"/>
    <x v="1"/>
    <x v="0"/>
    <x v="2"/>
    <s v="Shipped"/>
  </r>
  <r>
    <s v="ORD00368"/>
    <x v="220"/>
    <s v="CUST227"/>
    <s v="Vikas"/>
    <x v="1"/>
    <n v="35"/>
    <x v="5"/>
    <x v="0"/>
    <x v="5"/>
    <x v="0"/>
    <n v="5"/>
    <n v="8265"/>
    <n v="20"/>
    <n v="8265"/>
    <n v="5950.8"/>
    <n v="487"/>
    <n v="39497.800000000003"/>
    <x v="3"/>
    <x v="1"/>
    <s v="Jaipur"/>
    <x v="2"/>
    <x v="1"/>
    <x v="5"/>
    <x v="1"/>
    <x v="2"/>
    <s v="Delivered"/>
  </r>
  <r>
    <s v="ORD00369"/>
    <x v="214"/>
    <s v="CUST262"/>
    <s v="Rahul"/>
    <x v="0"/>
    <n v="31"/>
    <x v="9"/>
    <x v="0"/>
    <x v="9"/>
    <x v="1"/>
    <n v="1"/>
    <n v="44313"/>
    <n v="10"/>
    <n v="4431.3"/>
    <n v="7178.71"/>
    <n v="103"/>
    <n v="47163.41"/>
    <x v="1"/>
    <x v="0"/>
    <s v="Bangalore"/>
    <x v="3"/>
    <x v="2"/>
    <x v="0"/>
    <x v="1"/>
    <x v="4"/>
    <s v="Shipped"/>
  </r>
  <r>
    <s v="ORD00370"/>
    <x v="58"/>
    <s v="CUST356"/>
    <s v="Karan"/>
    <x v="1"/>
    <n v="35"/>
    <x v="5"/>
    <x v="0"/>
    <x v="5"/>
    <x v="8"/>
    <n v="5"/>
    <n v="30235"/>
    <n v="20"/>
    <n v="30235"/>
    <n v="21769.200000000001"/>
    <n v="120"/>
    <n v="142829.20000000001"/>
    <x v="2"/>
    <x v="0"/>
    <s v="Lucknow"/>
    <x v="4"/>
    <x v="1"/>
    <x v="1"/>
    <x v="0"/>
    <x v="0"/>
    <s v="Cancelled"/>
  </r>
  <r>
    <s v="ORD00371"/>
    <x v="225"/>
    <s v="CUST878"/>
    <s v="Priya"/>
    <x v="1"/>
    <n v="40"/>
    <x v="6"/>
    <x v="0"/>
    <x v="6"/>
    <x v="6"/>
    <n v="1"/>
    <n v="47817"/>
    <n v="20"/>
    <n v="9563.4"/>
    <n v="6885.65"/>
    <n v="434"/>
    <n v="45573.25"/>
    <x v="2"/>
    <x v="0"/>
    <s v="Mumbai"/>
    <x v="0"/>
    <x v="0"/>
    <x v="0"/>
    <x v="0"/>
    <x v="2"/>
    <s v="Delivered"/>
  </r>
  <r>
    <s v="ORD00372"/>
    <x v="125"/>
    <s v="CUST118"/>
    <s v="Riya"/>
    <x v="1"/>
    <n v="18"/>
    <x v="2"/>
    <x v="1"/>
    <x v="2"/>
    <x v="5"/>
    <n v="3"/>
    <n v="3210"/>
    <n v="0"/>
    <n v="0"/>
    <n v="1733.4"/>
    <n v="177"/>
    <n v="11540.4"/>
    <x v="0"/>
    <x v="0"/>
    <s v="Patiala"/>
    <x v="1"/>
    <x v="1"/>
    <x v="5"/>
    <x v="0"/>
    <x v="0"/>
    <s v="Returned"/>
  </r>
  <r>
    <s v="ORD00373"/>
    <x v="226"/>
    <s v="CUST684"/>
    <s v="Karan"/>
    <x v="0"/>
    <n v="37"/>
    <x v="3"/>
    <x v="2"/>
    <x v="3"/>
    <x v="7"/>
    <n v="3"/>
    <n v="9055"/>
    <n v="0"/>
    <n v="0"/>
    <n v="4889.7"/>
    <n v="444"/>
    <n v="32498.7"/>
    <x v="0"/>
    <x v="0"/>
    <s v="Lucknow"/>
    <x v="4"/>
    <x v="1"/>
    <x v="1"/>
    <x v="0"/>
    <x v="2"/>
    <s v="Shipped"/>
  </r>
  <r>
    <s v="ORD00374"/>
    <x v="227"/>
    <s v="CUST840"/>
    <s v="Neha"/>
    <x v="0"/>
    <n v="48"/>
    <x v="9"/>
    <x v="0"/>
    <x v="9"/>
    <x v="7"/>
    <n v="5"/>
    <n v="28376"/>
    <n v="10"/>
    <n v="14188"/>
    <n v="22984.560000000001"/>
    <n v="491"/>
    <n v="151167.56"/>
    <x v="2"/>
    <x v="0"/>
    <s v="Lucknow"/>
    <x v="4"/>
    <x v="1"/>
    <x v="9"/>
    <x v="1"/>
    <x v="1"/>
    <s v="Shipped"/>
  </r>
  <r>
    <s v="ORD00375"/>
    <x v="228"/>
    <s v="CUST350"/>
    <s v="Neha"/>
    <x v="1"/>
    <n v="59"/>
    <x v="3"/>
    <x v="2"/>
    <x v="3"/>
    <x v="7"/>
    <n v="1"/>
    <n v="32505"/>
    <n v="20"/>
    <n v="6501"/>
    <n v="4680.72"/>
    <n v="395"/>
    <n v="31079.72"/>
    <x v="1"/>
    <x v="0"/>
    <s v="Delhi"/>
    <x v="5"/>
    <x v="1"/>
    <x v="2"/>
    <x v="0"/>
    <x v="0"/>
    <s v="Returned"/>
  </r>
  <r>
    <s v="ORD00376"/>
    <x v="229"/>
    <s v="CUST824"/>
    <s v="Priya"/>
    <x v="0"/>
    <n v="37"/>
    <x v="9"/>
    <x v="0"/>
    <x v="9"/>
    <x v="2"/>
    <n v="4"/>
    <n v="38052"/>
    <n v="15"/>
    <n v="22831.200000000001"/>
    <n v="23287.82"/>
    <n v="488"/>
    <n v="153152.62"/>
    <x v="3"/>
    <x v="1"/>
    <s v="Delhi"/>
    <x v="5"/>
    <x v="1"/>
    <x v="5"/>
    <x v="1"/>
    <x v="2"/>
    <s v="Delivered"/>
  </r>
  <r>
    <s v="ORD00377"/>
    <x v="230"/>
    <s v="CUST810"/>
    <s v="Anjali"/>
    <x v="0"/>
    <n v="50"/>
    <x v="6"/>
    <x v="0"/>
    <x v="6"/>
    <x v="9"/>
    <n v="1"/>
    <n v="44961"/>
    <n v="5"/>
    <n v="2248.0500000000002"/>
    <n v="7688.33"/>
    <n v="362"/>
    <n v="50763.28"/>
    <x v="1"/>
    <x v="1"/>
    <s v="Lucknow"/>
    <x v="4"/>
    <x v="1"/>
    <x v="7"/>
    <x v="0"/>
    <x v="3"/>
    <s v="Shipped"/>
  </r>
  <r>
    <s v="ORD00378"/>
    <x v="182"/>
    <s v="CUST423"/>
    <s v="Sneha"/>
    <x v="0"/>
    <n v="30"/>
    <x v="6"/>
    <x v="0"/>
    <x v="6"/>
    <x v="8"/>
    <n v="2"/>
    <n v="33846"/>
    <n v="0"/>
    <n v="0"/>
    <n v="12184.56"/>
    <n v="189"/>
    <n v="80065.56"/>
    <x v="3"/>
    <x v="0"/>
    <s v="Lucknow"/>
    <x v="4"/>
    <x v="1"/>
    <x v="9"/>
    <x v="1"/>
    <x v="3"/>
    <s v="Delivered"/>
  </r>
  <r>
    <s v="ORD00379"/>
    <x v="231"/>
    <s v="CUST911"/>
    <s v="Sneha"/>
    <x v="1"/>
    <n v="43"/>
    <x v="5"/>
    <x v="0"/>
    <x v="5"/>
    <x v="7"/>
    <n v="4"/>
    <n v="10257"/>
    <n v="15"/>
    <n v="6154.2"/>
    <n v="6277.28"/>
    <n v="295"/>
    <n v="41446.080000000002"/>
    <x v="0"/>
    <x v="1"/>
    <s v="Chandigarh"/>
    <x v="1"/>
    <x v="1"/>
    <x v="5"/>
    <x v="0"/>
    <x v="3"/>
    <s v="Returned"/>
  </r>
  <r>
    <s v="ORD00380"/>
    <x v="196"/>
    <s v="CUST362"/>
    <s v="Riya"/>
    <x v="0"/>
    <n v="26"/>
    <x v="9"/>
    <x v="0"/>
    <x v="9"/>
    <x v="2"/>
    <n v="5"/>
    <n v="35399"/>
    <n v="0"/>
    <n v="0"/>
    <n v="31859.1"/>
    <n v="222"/>
    <n v="209076.1"/>
    <x v="1"/>
    <x v="1"/>
    <s v="Bangalore"/>
    <x v="3"/>
    <x v="2"/>
    <x v="9"/>
    <x v="1"/>
    <x v="1"/>
    <s v="Shipped"/>
  </r>
  <r>
    <s v="ORD00381"/>
    <x v="208"/>
    <s v="CUST618"/>
    <s v="Riya"/>
    <x v="0"/>
    <n v="48"/>
    <x v="3"/>
    <x v="2"/>
    <x v="3"/>
    <x v="7"/>
    <n v="3"/>
    <n v="38354"/>
    <n v="5"/>
    <n v="5753.1"/>
    <n v="19675.599999999999"/>
    <n v="229"/>
    <n v="129213.5"/>
    <x v="0"/>
    <x v="0"/>
    <s v="Pune"/>
    <x v="0"/>
    <x v="0"/>
    <x v="2"/>
    <x v="1"/>
    <x v="2"/>
    <s v="Returned"/>
  </r>
  <r>
    <s v="ORD00382"/>
    <x v="232"/>
    <s v="CUST933"/>
    <s v="Rahul"/>
    <x v="0"/>
    <n v="25"/>
    <x v="5"/>
    <x v="0"/>
    <x v="5"/>
    <x v="6"/>
    <n v="3"/>
    <n v="41789"/>
    <n v="10"/>
    <n v="12536.7"/>
    <n v="20309.45"/>
    <n v="460"/>
    <n v="133599.75"/>
    <x v="0"/>
    <x v="1"/>
    <s v="Pune"/>
    <x v="0"/>
    <x v="0"/>
    <x v="0"/>
    <x v="1"/>
    <x v="1"/>
    <s v="Shipped"/>
  </r>
  <r>
    <s v="ORD00383"/>
    <x v="150"/>
    <s v="CUST842"/>
    <s v="Karan"/>
    <x v="1"/>
    <n v="50"/>
    <x v="7"/>
    <x v="1"/>
    <x v="7"/>
    <x v="0"/>
    <n v="5"/>
    <n v="40354"/>
    <n v="15"/>
    <n v="30265.5"/>
    <n v="30870.81"/>
    <n v="5"/>
    <n v="202380.31"/>
    <x v="0"/>
    <x v="0"/>
    <s v="Patiala"/>
    <x v="1"/>
    <x v="1"/>
    <x v="7"/>
    <x v="0"/>
    <x v="4"/>
    <s v="Shipped"/>
  </r>
  <r>
    <s v="ORD00384"/>
    <x v="151"/>
    <s v="CUST823"/>
    <s v="Anjali"/>
    <x v="0"/>
    <n v="57"/>
    <x v="5"/>
    <x v="0"/>
    <x v="5"/>
    <x v="6"/>
    <n v="3"/>
    <n v="44552"/>
    <n v="20"/>
    <n v="26731.200000000001"/>
    <n v="19246.46"/>
    <n v="222"/>
    <n v="126393.26"/>
    <x v="1"/>
    <x v="0"/>
    <s v="Patiala"/>
    <x v="1"/>
    <x v="1"/>
    <x v="9"/>
    <x v="1"/>
    <x v="0"/>
    <s v="Delivered"/>
  </r>
  <r>
    <s v="ORD00385"/>
    <x v="233"/>
    <s v="CUST259"/>
    <s v="Neha"/>
    <x v="1"/>
    <n v="57"/>
    <x v="4"/>
    <x v="0"/>
    <x v="4"/>
    <x v="3"/>
    <n v="4"/>
    <n v="6838"/>
    <n v="5"/>
    <n v="1367.6"/>
    <n v="4677.1899999999996"/>
    <n v="1"/>
    <n v="30662.59"/>
    <x v="2"/>
    <x v="0"/>
    <s v="Delhi"/>
    <x v="5"/>
    <x v="1"/>
    <x v="0"/>
    <x v="0"/>
    <x v="3"/>
    <s v="Shipped"/>
  </r>
  <r>
    <s v="ORD00386"/>
    <x v="205"/>
    <s v="CUST289"/>
    <s v="Anjali"/>
    <x v="0"/>
    <n v="50"/>
    <x v="2"/>
    <x v="1"/>
    <x v="2"/>
    <x v="7"/>
    <n v="5"/>
    <n v="38147"/>
    <n v="15"/>
    <n v="28610.25"/>
    <n v="29182.45"/>
    <n v="184"/>
    <n v="191491.20000000001"/>
    <x v="2"/>
    <x v="0"/>
    <s v="Mumbai"/>
    <x v="0"/>
    <x v="0"/>
    <x v="8"/>
    <x v="1"/>
    <x v="4"/>
    <s v="Shipped"/>
  </r>
  <r>
    <s v="ORD00387"/>
    <x v="234"/>
    <s v="CUST854"/>
    <s v="Vikas"/>
    <x v="1"/>
    <n v="37"/>
    <x v="1"/>
    <x v="0"/>
    <x v="1"/>
    <x v="0"/>
    <n v="4"/>
    <n v="47651"/>
    <n v="5"/>
    <n v="9530.2000000000007"/>
    <n v="32593.279999999999"/>
    <n v="270"/>
    <n v="213937.08"/>
    <x v="0"/>
    <x v="0"/>
    <s v="Bangalore"/>
    <x v="3"/>
    <x v="2"/>
    <x v="3"/>
    <x v="1"/>
    <x v="2"/>
    <s v="Cancelled"/>
  </r>
  <r>
    <s v="ORD00388"/>
    <x v="235"/>
    <s v="CUST913"/>
    <s v="Arjun"/>
    <x v="0"/>
    <n v="51"/>
    <x v="3"/>
    <x v="2"/>
    <x v="3"/>
    <x v="5"/>
    <n v="1"/>
    <n v="35776"/>
    <n v="15"/>
    <n v="5366.4"/>
    <n v="5473.73"/>
    <n v="211"/>
    <n v="36094.33"/>
    <x v="2"/>
    <x v="0"/>
    <s v="Mumbai"/>
    <x v="0"/>
    <x v="0"/>
    <x v="0"/>
    <x v="1"/>
    <x v="2"/>
    <s v="Delivered"/>
  </r>
  <r>
    <s v="ORD00389"/>
    <x v="236"/>
    <s v="CUST779"/>
    <s v="Karan"/>
    <x v="1"/>
    <n v="48"/>
    <x v="9"/>
    <x v="0"/>
    <x v="9"/>
    <x v="1"/>
    <n v="5"/>
    <n v="38786"/>
    <n v="20"/>
    <n v="38786"/>
    <n v="27925.919999999998"/>
    <n v="346"/>
    <n v="183415.92"/>
    <x v="0"/>
    <x v="0"/>
    <s v="Bangalore"/>
    <x v="3"/>
    <x v="2"/>
    <x v="3"/>
    <x v="0"/>
    <x v="2"/>
    <s v="Delivered"/>
  </r>
  <r>
    <s v="ORD00390"/>
    <x v="237"/>
    <s v="CUST986"/>
    <s v="Arjun"/>
    <x v="1"/>
    <n v="39"/>
    <x v="0"/>
    <x v="0"/>
    <x v="0"/>
    <x v="0"/>
    <n v="4"/>
    <n v="44570"/>
    <n v="15"/>
    <n v="26742"/>
    <n v="27276.84"/>
    <n v="441"/>
    <n v="179255.84"/>
    <x v="0"/>
    <x v="0"/>
    <s v="Lucknow"/>
    <x v="4"/>
    <x v="1"/>
    <x v="8"/>
    <x v="1"/>
    <x v="4"/>
    <s v="Returned"/>
  </r>
  <r>
    <s v="ORD00391"/>
    <x v="109"/>
    <s v="CUST595"/>
    <s v="Anjali"/>
    <x v="1"/>
    <n v="27"/>
    <x v="7"/>
    <x v="1"/>
    <x v="7"/>
    <x v="2"/>
    <n v="2"/>
    <n v="17897"/>
    <n v="15"/>
    <n v="5369.1"/>
    <n v="5476.48"/>
    <n v="381"/>
    <n v="36282.379999999997"/>
    <x v="2"/>
    <x v="0"/>
    <s v="Jaipur"/>
    <x v="2"/>
    <x v="1"/>
    <x v="9"/>
    <x v="0"/>
    <x v="3"/>
    <s v="Delivered"/>
  </r>
  <r>
    <s v="ORD00392"/>
    <x v="238"/>
    <s v="CUST238"/>
    <s v="Riya"/>
    <x v="1"/>
    <n v="29"/>
    <x v="7"/>
    <x v="1"/>
    <x v="7"/>
    <x v="9"/>
    <n v="2"/>
    <n v="19659"/>
    <n v="5"/>
    <n v="1965.9"/>
    <n v="6723.38"/>
    <n v="60"/>
    <n v="44135.48"/>
    <x v="2"/>
    <x v="1"/>
    <s v="Chandigarh"/>
    <x v="1"/>
    <x v="1"/>
    <x v="6"/>
    <x v="1"/>
    <x v="2"/>
    <s v="Delivered"/>
  </r>
  <r>
    <s v="ORD00393"/>
    <x v="181"/>
    <s v="CUST677"/>
    <s v="Neha"/>
    <x v="0"/>
    <n v="19"/>
    <x v="1"/>
    <x v="0"/>
    <x v="1"/>
    <x v="9"/>
    <n v="2"/>
    <n v="5458"/>
    <n v="10"/>
    <n v="1091.5999999999999"/>
    <n v="1768.39"/>
    <n v="260"/>
    <n v="11852.79"/>
    <x v="2"/>
    <x v="1"/>
    <s v="Lucknow"/>
    <x v="4"/>
    <x v="1"/>
    <x v="4"/>
    <x v="1"/>
    <x v="0"/>
    <s v="Cancelled"/>
  </r>
  <r>
    <s v="ORD00394"/>
    <x v="239"/>
    <s v="CUST686"/>
    <s v="Amit"/>
    <x v="1"/>
    <n v="39"/>
    <x v="2"/>
    <x v="1"/>
    <x v="2"/>
    <x v="1"/>
    <n v="5"/>
    <n v="11477"/>
    <n v="20"/>
    <n v="11477"/>
    <n v="8263.44"/>
    <n v="383"/>
    <n v="54554.44"/>
    <x v="3"/>
    <x v="0"/>
    <s v="Delhi"/>
    <x v="5"/>
    <x v="1"/>
    <x v="6"/>
    <x v="0"/>
    <x v="0"/>
    <s v="Cancelled"/>
  </r>
  <r>
    <s v="ORD00395"/>
    <x v="240"/>
    <s v="CUST976"/>
    <s v="Sneha"/>
    <x v="1"/>
    <n v="56"/>
    <x v="8"/>
    <x v="0"/>
    <x v="8"/>
    <x v="8"/>
    <n v="5"/>
    <n v="8130"/>
    <n v="0"/>
    <n v="0"/>
    <n v="7317"/>
    <n v="365"/>
    <n v="48332"/>
    <x v="2"/>
    <x v="0"/>
    <s v="Jaipur"/>
    <x v="2"/>
    <x v="1"/>
    <x v="8"/>
    <x v="1"/>
    <x v="2"/>
    <s v="Cancelled"/>
  </r>
  <r>
    <s v="ORD00396"/>
    <x v="228"/>
    <s v="CUST626"/>
    <s v="Karan"/>
    <x v="1"/>
    <n v="45"/>
    <x v="7"/>
    <x v="1"/>
    <x v="7"/>
    <x v="3"/>
    <n v="5"/>
    <n v="49785"/>
    <n v="10"/>
    <n v="24892.5"/>
    <n v="40325.85"/>
    <n v="307"/>
    <n v="264665.34999999998"/>
    <x v="1"/>
    <x v="0"/>
    <s v="Jaipur"/>
    <x v="2"/>
    <x v="1"/>
    <x v="3"/>
    <x v="1"/>
    <x v="0"/>
    <s v="Returned"/>
  </r>
  <r>
    <s v="ORD00397"/>
    <x v="241"/>
    <s v="CUST271"/>
    <s v="Priya"/>
    <x v="1"/>
    <n v="45"/>
    <x v="0"/>
    <x v="0"/>
    <x v="0"/>
    <x v="6"/>
    <n v="1"/>
    <n v="45045"/>
    <n v="10"/>
    <n v="4504.5"/>
    <n v="7297.29"/>
    <n v="227"/>
    <n v="48064.79"/>
    <x v="0"/>
    <x v="1"/>
    <s v="Patiala"/>
    <x v="1"/>
    <x v="1"/>
    <x v="5"/>
    <x v="1"/>
    <x v="1"/>
    <s v="Shipped"/>
  </r>
  <r>
    <s v="ORD00398"/>
    <x v="242"/>
    <s v="CUST254"/>
    <s v="Priya"/>
    <x v="0"/>
    <n v="32"/>
    <x v="3"/>
    <x v="2"/>
    <x v="3"/>
    <x v="2"/>
    <n v="2"/>
    <n v="37886"/>
    <n v="20"/>
    <n v="15154.4"/>
    <n v="10911.17"/>
    <n v="333"/>
    <n v="71861.77"/>
    <x v="2"/>
    <x v="1"/>
    <s v="Delhi"/>
    <x v="5"/>
    <x v="1"/>
    <x v="8"/>
    <x v="1"/>
    <x v="0"/>
    <s v="Delivered"/>
  </r>
  <r>
    <s v="ORD00399"/>
    <x v="243"/>
    <s v="CUST999"/>
    <s v="Priya"/>
    <x v="0"/>
    <n v="41"/>
    <x v="8"/>
    <x v="0"/>
    <x v="8"/>
    <x v="7"/>
    <n v="1"/>
    <n v="10479"/>
    <n v="20"/>
    <n v="2095.8000000000002"/>
    <n v="1508.98"/>
    <n v="259"/>
    <n v="10151.18"/>
    <x v="3"/>
    <x v="0"/>
    <s v="Jaipur"/>
    <x v="2"/>
    <x v="1"/>
    <x v="7"/>
    <x v="0"/>
    <x v="3"/>
    <s v="Returned"/>
  </r>
  <r>
    <s v="ORD00400"/>
    <x v="89"/>
    <s v="CUST317"/>
    <s v="Riya"/>
    <x v="0"/>
    <n v="39"/>
    <x v="3"/>
    <x v="2"/>
    <x v="3"/>
    <x v="2"/>
    <n v="2"/>
    <n v="25677"/>
    <n v="20"/>
    <n v="10270.799999999999"/>
    <n v="7394.98"/>
    <n v="360"/>
    <n v="48838.18"/>
    <x v="1"/>
    <x v="1"/>
    <s v="Mumbai"/>
    <x v="0"/>
    <x v="0"/>
    <x v="1"/>
    <x v="1"/>
    <x v="1"/>
    <s v="Cancelled"/>
  </r>
  <r>
    <s v="ORD00401"/>
    <x v="115"/>
    <s v="CUST465"/>
    <s v="Arjun"/>
    <x v="1"/>
    <n v="45"/>
    <x v="7"/>
    <x v="1"/>
    <x v="7"/>
    <x v="9"/>
    <n v="1"/>
    <n v="38257"/>
    <n v="0"/>
    <n v="0"/>
    <n v="6886.26"/>
    <n v="77"/>
    <n v="45220.26"/>
    <x v="2"/>
    <x v="1"/>
    <s v="Chandigarh"/>
    <x v="1"/>
    <x v="1"/>
    <x v="8"/>
    <x v="0"/>
    <x v="0"/>
    <s v="Shipped"/>
  </r>
  <r>
    <s v="ORD00402"/>
    <x v="244"/>
    <s v="CUST747"/>
    <s v="Riya"/>
    <x v="0"/>
    <n v="18"/>
    <x v="3"/>
    <x v="2"/>
    <x v="3"/>
    <x v="4"/>
    <n v="3"/>
    <n v="42836"/>
    <n v="5"/>
    <n v="6425.4"/>
    <n v="21974.87"/>
    <n v="203"/>
    <n v="144260.47"/>
    <x v="2"/>
    <x v="1"/>
    <s v="Patiala"/>
    <x v="1"/>
    <x v="1"/>
    <x v="6"/>
    <x v="0"/>
    <x v="0"/>
    <s v="Returned"/>
  </r>
  <r>
    <s v="ORD00403"/>
    <x v="181"/>
    <s v="CUST285"/>
    <s v="Amit"/>
    <x v="1"/>
    <n v="33"/>
    <x v="9"/>
    <x v="0"/>
    <x v="9"/>
    <x v="2"/>
    <n v="5"/>
    <n v="6082"/>
    <n v="10"/>
    <n v="3041"/>
    <n v="4926.42"/>
    <n v="451"/>
    <n v="32746.42"/>
    <x v="2"/>
    <x v="1"/>
    <s v="Bangalore"/>
    <x v="3"/>
    <x v="2"/>
    <x v="4"/>
    <x v="0"/>
    <x v="1"/>
    <s v="Cancelled"/>
  </r>
  <r>
    <s v="ORD00404"/>
    <x v="245"/>
    <s v="CUST445"/>
    <s v="Amit"/>
    <x v="0"/>
    <n v="45"/>
    <x v="6"/>
    <x v="0"/>
    <x v="6"/>
    <x v="3"/>
    <n v="1"/>
    <n v="31058"/>
    <n v="20"/>
    <n v="6211.6"/>
    <n v="4472.3500000000004"/>
    <n v="107"/>
    <n v="29425.75"/>
    <x v="0"/>
    <x v="0"/>
    <s v="Pune"/>
    <x v="0"/>
    <x v="0"/>
    <x v="9"/>
    <x v="0"/>
    <x v="0"/>
    <s v="Delivered"/>
  </r>
  <r>
    <s v="ORD00405"/>
    <x v="246"/>
    <s v="CUST598"/>
    <s v="Arjun"/>
    <x v="0"/>
    <n v="20"/>
    <x v="0"/>
    <x v="0"/>
    <x v="0"/>
    <x v="3"/>
    <n v="5"/>
    <n v="23952"/>
    <n v="15"/>
    <n v="17964"/>
    <n v="18323.28"/>
    <n v="235"/>
    <n v="120354.28"/>
    <x v="2"/>
    <x v="0"/>
    <s v="Pune"/>
    <x v="0"/>
    <x v="0"/>
    <x v="6"/>
    <x v="0"/>
    <x v="3"/>
    <s v="Cancelled"/>
  </r>
  <r>
    <s v="ORD00406"/>
    <x v="247"/>
    <s v="CUST304"/>
    <s v="Riya"/>
    <x v="0"/>
    <n v="48"/>
    <x v="1"/>
    <x v="0"/>
    <x v="1"/>
    <x v="7"/>
    <n v="3"/>
    <n v="38091"/>
    <n v="20"/>
    <n v="22854.6"/>
    <n v="16455.310000000001"/>
    <n v="45"/>
    <n v="107918.71"/>
    <x v="1"/>
    <x v="1"/>
    <s v="Patiala"/>
    <x v="1"/>
    <x v="1"/>
    <x v="1"/>
    <x v="0"/>
    <x v="2"/>
    <s v="Shipped"/>
  </r>
  <r>
    <s v="ORD00407"/>
    <x v="33"/>
    <s v="CUST997"/>
    <s v="Neha"/>
    <x v="1"/>
    <n v="52"/>
    <x v="5"/>
    <x v="0"/>
    <x v="5"/>
    <x v="7"/>
    <n v="3"/>
    <n v="26216"/>
    <n v="20"/>
    <n v="15729.6"/>
    <n v="11325.31"/>
    <n v="81"/>
    <n v="74324.710000000006"/>
    <x v="0"/>
    <x v="0"/>
    <s v="Mumbai"/>
    <x v="0"/>
    <x v="0"/>
    <x v="3"/>
    <x v="1"/>
    <x v="2"/>
    <s v="Cancelled"/>
  </r>
  <r>
    <s v="ORD00408"/>
    <x v="171"/>
    <s v="CUST660"/>
    <s v="Rahul"/>
    <x v="0"/>
    <n v="27"/>
    <x v="9"/>
    <x v="0"/>
    <x v="9"/>
    <x v="9"/>
    <n v="1"/>
    <n v="39817"/>
    <n v="0"/>
    <n v="0"/>
    <n v="7167.06"/>
    <n v="338"/>
    <n v="47322.06"/>
    <x v="3"/>
    <x v="0"/>
    <s v="Patiala"/>
    <x v="1"/>
    <x v="1"/>
    <x v="8"/>
    <x v="0"/>
    <x v="2"/>
    <s v="Delivered"/>
  </r>
  <r>
    <s v="ORD00409"/>
    <x v="62"/>
    <s v="CUST881"/>
    <s v="Karan"/>
    <x v="1"/>
    <n v="21"/>
    <x v="8"/>
    <x v="0"/>
    <x v="8"/>
    <x v="9"/>
    <n v="2"/>
    <n v="13948"/>
    <n v="20"/>
    <n v="5579.2"/>
    <n v="4017.02"/>
    <n v="146"/>
    <n v="26479.82"/>
    <x v="2"/>
    <x v="0"/>
    <s v="Mumbai"/>
    <x v="0"/>
    <x v="0"/>
    <x v="9"/>
    <x v="1"/>
    <x v="0"/>
    <s v="Delivered"/>
  </r>
  <r>
    <s v="ORD00410"/>
    <x v="248"/>
    <s v="CUST394"/>
    <s v="Rahul"/>
    <x v="1"/>
    <n v="26"/>
    <x v="3"/>
    <x v="2"/>
    <x v="3"/>
    <x v="9"/>
    <n v="2"/>
    <n v="23299"/>
    <n v="10"/>
    <n v="4659.8"/>
    <n v="7548.88"/>
    <n v="416"/>
    <n v="49903.08"/>
    <x v="0"/>
    <x v="1"/>
    <s v="Bangalore"/>
    <x v="3"/>
    <x v="2"/>
    <x v="0"/>
    <x v="1"/>
    <x v="2"/>
    <s v="Cancelled"/>
  </r>
  <r>
    <s v="ORD00411"/>
    <x v="19"/>
    <s v="CUST749"/>
    <s v="Arjun"/>
    <x v="0"/>
    <n v="32"/>
    <x v="5"/>
    <x v="0"/>
    <x v="5"/>
    <x v="1"/>
    <n v="2"/>
    <n v="32677"/>
    <n v="10"/>
    <n v="6535.4"/>
    <n v="10587.35"/>
    <n v="159"/>
    <n v="69564.95"/>
    <x v="3"/>
    <x v="0"/>
    <s v="Mumbai"/>
    <x v="0"/>
    <x v="0"/>
    <x v="2"/>
    <x v="1"/>
    <x v="1"/>
    <s v="Delivered"/>
  </r>
  <r>
    <s v="ORD00412"/>
    <x v="249"/>
    <s v="CUST950"/>
    <s v="Anjali"/>
    <x v="0"/>
    <n v="21"/>
    <x v="2"/>
    <x v="1"/>
    <x v="2"/>
    <x v="3"/>
    <n v="2"/>
    <n v="31723"/>
    <n v="15"/>
    <n v="9516.9"/>
    <n v="9707.24"/>
    <n v="178"/>
    <n v="63814.34"/>
    <x v="1"/>
    <x v="1"/>
    <s v="Lucknow"/>
    <x v="4"/>
    <x v="1"/>
    <x v="9"/>
    <x v="0"/>
    <x v="2"/>
    <s v="Returned"/>
  </r>
  <r>
    <s v="ORD00413"/>
    <x v="161"/>
    <s v="CUST825"/>
    <s v="Neha"/>
    <x v="1"/>
    <n v="18"/>
    <x v="5"/>
    <x v="0"/>
    <x v="5"/>
    <x v="5"/>
    <n v="3"/>
    <n v="32699"/>
    <n v="15"/>
    <n v="14714.55"/>
    <n v="15008.84"/>
    <n v="232"/>
    <n v="98623.29"/>
    <x v="3"/>
    <x v="0"/>
    <s v="Bangalore"/>
    <x v="3"/>
    <x v="2"/>
    <x v="1"/>
    <x v="0"/>
    <x v="0"/>
    <s v="Shipped"/>
  </r>
  <r>
    <s v="ORD00414"/>
    <x v="250"/>
    <s v="CUST144"/>
    <s v="Sneha"/>
    <x v="1"/>
    <n v="40"/>
    <x v="3"/>
    <x v="2"/>
    <x v="3"/>
    <x v="7"/>
    <n v="5"/>
    <n v="13093"/>
    <n v="15"/>
    <n v="9819.75"/>
    <n v="10016.15"/>
    <n v="119"/>
    <n v="65780.399999999994"/>
    <x v="1"/>
    <x v="0"/>
    <s v="Mumbai"/>
    <x v="0"/>
    <x v="0"/>
    <x v="7"/>
    <x v="1"/>
    <x v="2"/>
    <s v="Returned"/>
  </r>
  <r>
    <s v="ORD00415"/>
    <x v="251"/>
    <s v="CUST282"/>
    <s v="Karan"/>
    <x v="0"/>
    <n v="44"/>
    <x v="9"/>
    <x v="0"/>
    <x v="9"/>
    <x v="3"/>
    <n v="1"/>
    <n v="29058"/>
    <n v="15"/>
    <n v="4358.7"/>
    <n v="4445.87"/>
    <n v="483"/>
    <n v="29628.17"/>
    <x v="0"/>
    <x v="1"/>
    <s v="Patiala"/>
    <x v="1"/>
    <x v="1"/>
    <x v="1"/>
    <x v="1"/>
    <x v="2"/>
    <s v="Cancelled"/>
  </r>
  <r>
    <s v="ORD00416"/>
    <x v="133"/>
    <s v="CUST151"/>
    <s v="Arjun"/>
    <x v="0"/>
    <n v="34"/>
    <x v="5"/>
    <x v="0"/>
    <x v="5"/>
    <x v="6"/>
    <n v="4"/>
    <n v="893"/>
    <n v="15"/>
    <n v="535.79999999999995"/>
    <n v="546.52"/>
    <n v="235"/>
    <n v="3817.72"/>
    <x v="1"/>
    <x v="1"/>
    <s v="Lucknow"/>
    <x v="4"/>
    <x v="1"/>
    <x v="2"/>
    <x v="0"/>
    <x v="4"/>
    <s v="Cancelled"/>
  </r>
  <r>
    <s v="ORD00417"/>
    <x v="252"/>
    <s v="CUST564"/>
    <s v="Karan"/>
    <x v="0"/>
    <n v="43"/>
    <x v="2"/>
    <x v="1"/>
    <x v="2"/>
    <x v="2"/>
    <n v="2"/>
    <n v="30884"/>
    <n v="15"/>
    <n v="9265.2000000000007"/>
    <n v="9450.5"/>
    <n v="377"/>
    <n v="62330.3"/>
    <x v="2"/>
    <x v="0"/>
    <s v="Chandigarh"/>
    <x v="1"/>
    <x v="1"/>
    <x v="1"/>
    <x v="0"/>
    <x v="4"/>
    <s v="Cancelled"/>
  </r>
  <r>
    <s v="ORD00418"/>
    <x v="77"/>
    <s v="CUST776"/>
    <s v="Priya"/>
    <x v="0"/>
    <n v="32"/>
    <x v="6"/>
    <x v="0"/>
    <x v="6"/>
    <x v="5"/>
    <n v="1"/>
    <n v="18649"/>
    <n v="10"/>
    <n v="1864.9"/>
    <n v="3021.14"/>
    <n v="223"/>
    <n v="20028.240000000002"/>
    <x v="0"/>
    <x v="1"/>
    <s v="Delhi"/>
    <x v="5"/>
    <x v="1"/>
    <x v="9"/>
    <x v="1"/>
    <x v="2"/>
    <s v="Cancelled"/>
  </r>
  <r>
    <s v="ORD00419"/>
    <x v="253"/>
    <s v="CUST407"/>
    <s v="Rahul"/>
    <x v="1"/>
    <n v="57"/>
    <x v="0"/>
    <x v="0"/>
    <x v="0"/>
    <x v="4"/>
    <n v="4"/>
    <n v="25831"/>
    <n v="0"/>
    <n v="0"/>
    <n v="18598.32"/>
    <n v="290"/>
    <n v="122212.32"/>
    <x v="2"/>
    <x v="1"/>
    <s v="Pune"/>
    <x v="0"/>
    <x v="0"/>
    <x v="7"/>
    <x v="0"/>
    <x v="4"/>
    <s v="Cancelled"/>
  </r>
  <r>
    <s v="ORD00420"/>
    <x v="179"/>
    <s v="CUST173"/>
    <s v="Riya"/>
    <x v="1"/>
    <n v="22"/>
    <x v="7"/>
    <x v="1"/>
    <x v="7"/>
    <x v="2"/>
    <n v="3"/>
    <n v="5184"/>
    <n v="10"/>
    <n v="1555.2"/>
    <n v="2519.42"/>
    <n v="384"/>
    <n v="16900.22"/>
    <x v="0"/>
    <x v="1"/>
    <s v="Patiala"/>
    <x v="1"/>
    <x v="1"/>
    <x v="3"/>
    <x v="1"/>
    <x v="3"/>
    <s v="Shipped"/>
  </r>
  <r>
    <s v="ORD00421"/>
    <x v="85"/>
    <s v="CUST876"/>
    <s v="Arjun"/>
    <x v="0"/>
    <n v="30"/>
    <x v="2"/>
    <x v="1"/>
    <x v="2"/>
    <x v="5"/>
    <n v="2"/>
    <n v="6464"/>
    <n v="5"/>
    <n v="646.4"/>
    <n v="2210.69"/>
    <n v="494"/>
    <n v="14986.29"/>
    <x v="1"/>
    <x v="1"/>
    <s v="Patiala"/>
    <x v="1"/>
    <x v="1"/>
    <x v="9"/>
    <x v="0"/>
    <x v="0"/>
    <s v="Shipped"/>
  </r>
  <r>
    <s v="ORD00422"/>
    <x v="234"/>
    <s v="CUST814"/>
    <s v="Rahul"/>
    <x v="1"/>
    <n v="19"/>
    <x v="4"/>
    <x v="0"/>
    <x v="4"/>
    <x v="7"/>
    <n v="1"/>
    <n v="41930"/>
    <n v="20"/>
    <n v="8386"/>
    <n v="6037.92"/>
    <n v="39"/>
    <n v="39620.92"/>
    <x v="3"/>
    <x v="1"/>
    <s v="Lucknow"/>
    <x v="4"/>
    <x v="1"/>
    <x v="0"/>
    <x v="0"/>
    <x v="3"/>
    <s v="Cancelled"/>
  </r>
  <r>
    <s v="ORD00423"/>
    <x v="171"/>
    <s v="CUST867"/>
    <s v="Priya"/>
    <x v="0"/>
    <n v="30"/>
    <x v="7"/>
    <x v="1"/>
    <x v="7"/>
    <x v="8"/>
    <n v="2"/>
    <n v="602"/>
    <n v="5"/>
    <n v="60.2"/>
    <n v="205.88"/>
    <n v="330"/>
    <n v="1679.68"/>
    <x v="0"/>
    <x v="1"/>
    <s v="Pune"/>
    <x v="0"/>
    <x v="0"/>
    <x v="1"/>
    <x v="1"/>
    <x v="3"/>
    <s v="Delivered"/>
  </r>
  <r>
    <s v="ORD00424"/>
    <x v="254"/>
    <s v="CUST212"/>
    <s v="Riya"/>
    <x v="0"/>
    <n v="44"/>
    <x v="3"/>
    <x v="2"/>
    <x v="3"/>
    <x v="8"/>
    <n v="4"/>
    <n v="32958"/>
    <n v="15"/>
    <n v="19774.8"/>
    <n v="20170.3"/>
    <n v="359"/>
    <n v="132586.5"/>
    <x v="0"/>
    <x v="1"/>
    <s v="Delhi"/>
    <x v="5"/>
    <x v="1"/>
    <x v="1"/>
    <x v="0"/>
    <x v="3"/>
    <s v="Returned"/>
  </r>
  <r>
    <s v="ORD00425"/>
    <x v="161"/>
    <s v="CUST649"/>
    <s v="Vikas"/>
    <x v="0"/>
    <n v="29"/>
    <x v="0"/>
    <x v="0"/>
    <x v="0"/>
    <x v="0"/>
    <n v="1"/>
    <n v="22795"/>
    <n v="20"/>
    <n v="4559"/>
    <n v="3282.48"/>
    <n v="408"/>
    <n v="21926.48"/>
    <x v="1"/>
    <x v="1"/>
    <s v="Bangalore"/>
    <x v="3"/>
    <x v="2"/>
    <x v="3"/>
    <x v="0"/>
    <x v="0"/>
    <s v="Delivered"/>
  </r>
  <r>
    <s v="ORD00426"/>
    <x v="255"/>
    <s v="CUST119"/>
    <s v="Arjun"/>
    <x v="1"/>
    <n v="34"/>
    <x v="8"/>
    <x v="0"/>
    <x v="8"/>
    <x v="3"/>
    <n v="2"/>
    <n v="44955"/>
    <n v="15"/>
    <n v="13486.5"/>
    <n v="13756.23"/>
    <n v="122"/>
    <n v="90301.73"/>
    <x v="0"/>
    <x v="0"/>
    <s v="Chandigarh"/>
    <x v="1"/>
    <x v="1"/>
    <x v="9"/>
    <x v="0"/>
    <x v="3"/>
    <s v="Delivered"/>
  </r>
  <r>
    <s v="ORD00427"/>
    <x v="256"/>
    <s v="CUST108"/>
    <s v="Sneha"/>
    <x v="0"/>
    <n v="32"/>
    <x v="7"/>
    <x v="1"/>
    <x v="7"/>
    <x v="3"/>
    <n v="3"/>
    <n v="29894"/>
    <n v="5"/>
    <n v="4484.1000000000004"/>
    <n v="15335.62"/>
    <n v="374"/>
    <n v="100907.52"/>
    <x v="1"/>
    <x v="0"/>
    <s v="Pune"/>
    <x v="0"/>
    <x v="0"/>
    <x v="9"/>
    <x v="0"/>
    <x v="1"/>
    <s v="Delivered"/>
  </r>
  <r>
    <s v="ORD00428"/>
    <x v="101"/>
    <s v="CUST739"/>
    <s v="Rahul"/>
    <x v="0"/>
    <n v="53"/>
    <x v="9"/>
    <x v="0"/>
    <x v="9"/>
    <x v="4"/>
    <n v="1"/>
    <n v="18999"/>
    <n v="20"/>
    <n v="3799.8"/>
    <n v="2735.86"/>
    <n v="252"/>
    <n v="18187.060000000001"/>
    <x v="2"/>
    <x v="0"/>
    <s v="Patiala"/>
    <x v="1"/>
    <x v="1"/>
    <x v="0"/>
    <x v="1"/>
    <x v="4"/>
    <s v="Returned"/>
  </r>
  <r>
    <s v="ORD00429"/>
    <x v="58"/>
    <s v="CUST649"/>
    <s v="Rahul"/>
    <x v="0"/>
    <n v="20"/>
    <x v="2"/>
    <x v="1"/>
    <x v="2"/>
    <x v="1"/>
    <n v="2"/>
    <n v="5211"/>
    <n v="10"/>
    <n v="1042.2"/>
    <n v="1688.36"/>
    <n v="185"/>
    <n v="11253.16"/>
    <x v="2"/>
    <x v="1"/>
    <s v="Lucknow"/>
    <x v="4"/>
    <x v="1"/>
    <x v="9"/>
    <x v="0"/>
    <x v="3"/>
    <s v="Shipped"/>
  </r>
  <r>
    <s v="ORD00430"/>
    <x v="106"/>
    <s v="CUST191"/>
    <s v="Neha"/>
    <x v="1"/>
    <n v="26"/>
    <x v="8"/>
    <x v="0"/>
    <x v="8"/>
    <x v="2"/>
    <n v="2"/>
    <n v="35117"/>
    <n v="20"/>
    <n v="14046.8"/>
    <n v="10113.700000000001"/>
    <n v="188"/>
    <n v="66488.899999999994"/>
    <x v="0"/>
    <x v="0"/>
    <s v="Bangalore"/>
    <x v="3"/>
    <x v="2"/>
    <x v="6"/>
    <x v="0"/>
    <x v="4"/>
    <s v="Returned"/>
  </r>
  <r>
    <s v="ORD00431"/>
    <x v="220"/>
    <s v="CUST850"/>
    <s v="Rahul"/>
    <x v="1"/>
    <n v="22"/>
    <x v="0"/>
    <x v="0"/>
    <x v="0"/>
    <x v="5"/>
    <n v="5"/>
    <n v="49331"/>
    <n v="10"/>
    <n v="24665.5"/>
    <n v="39958.11"/>
    <n v="272"/>
    <n v="262219.61"/>
    <x v="1"/>
    <x v="1"/>
    <s v="Delhi"/>
    <x v="5"/>
    <x v="1"/>
    <x v="4"/>
    <x v="0"/>
    <x v="2"/>
    <s v="Delivered"/>
  </r>
  <r>
    <s v="ORD00432"/>
    <x v="193"/>
    <s v="CUST746"/>
    <s v="Priya"/>
    <x v="0"/>
    <n v="22"/>
    <x v="9"/>
    <x v="0"/>
    <x v="9"/>
    <x v="6"/>
    <n v="4"/>
    <n v="41823"/>
    <n v="5"/>
    <n v="8364.6"/>
    <n v="28606.93"/>
    <n v="269"/>
    <n v="187803.33"/>
    <x v="3"/>
    <x v="0"/>
    <s v="Bangalore"/>
    <x v="3"/>
    <x v="2"/>
    <x v="2"/>
    <x v="1"/>
    <x v="4"/>
    <s v="Returned"/>
  </r>
  <r>
    <s v="ORD00433"/>
    <x v="6"/>
    <s v="CUST320"/>
    <s v="Karan"/>
    <x v="1"/>
    <n v="60"/>
    <x v="4"/>
    <x v="0"/>
    <x v="4"/>
    <x v="7"/>
    <n v="2"/>
    <n v="34809"/>
    <n v="15"/>
    <n v="10442.700000000001"/>
    <n v="10651.55"/>
    <n v="154"/>
    <n v="69980.850000000006"/>
    <x v="0"/>
    <x v="1"/>
    <s v="Patiala"/>
    <x v="1"/>
    <x v="1"/>
    <x v="6"/>
    <x v="0"/>
    <x v="4"/>
    <s v="Returned"/>
  </r>
  <r>
    <s v="ORD00434"/>
    <x v="17"/>
    <s v="CUST277"/>
    <s v="Amit"/>
    <x v="0"/>
    <n v="50"/>
    <x v="4"/>
    <x v="0"/>
    <x v="4"/>
    <x v="5"/>
    <n v="3"/>
    <n v="4209"/>
    <n v="10"/>
    <n v="1262.7"/>
    <n v="2045.57"/>
    <n v="362"/>
    <n v="13771.87"/>
    <x v="0"/>
    <x v="0"/>
    <s v="Chandigarh"/>
    <x v="1"/>
    <x v="1"/>
    <x v="7"/>
    <x v="1"/>
    <x v="1"/>
    <s v="Shipped"/>
  </r>
  <r>
    <s v="ORD00435"/>
    <x v="257"/>
    <s v="CUST851"/>
    <s v="Neha"/>
    <x v="1"/>
    <n v="44"/>
    <x v="1"/>
    <x v="0"/>
    <x v="1"/>
    <x v="4"/>
    <n v="1"/>
    <n v="42001"/>
    <n v="5"/>
    <n v="2100.0500000000002"/>
    <n v="7182.17"/>
    <n v="105"/>
    <n v="47188.12"/>
    <x v="0"/>
    <x v="0"/>
    <s v="Bangalore"/>
    <x v="3"/>
    <x v="2"/>
    <x v="9"/>
    <x v="0"/>
    <x v="1"/>
    <s v="Cancelled"/>
  </r>
  <r>
    <s v="ORD00436"/>
    <x v="111"/>
    <s v="CUST914"/>
    <s v="Priya"/>
    <x v="1"/>
    <n v="18"/>
    <x v="6"/>
    <x v="0"/>
    <x v="6"/>
    <x v="1"/>
    <n v="3"/>
    <n v="49226"/>
    <n v="20"/>
    <n v="29535.599999999999"/>
    <n v="21265.63"/>
    <n v="215"/>
    <n v="139623.03"/>
    <x v="2"/>
    <x v="1"/>
    <s v="Chandigarh"/>
    <x v="1"/>
    <x v="1"/>
    <x v="5"/>
    <x v="1"/>
    <x v="4"/>
    <s v="Cancelled"/>
  </r>
  <r>
    <s v="ORD00437"/>
    <x v="258"/>
    <s v="CUST567"/>
    <s v="Amit"/>
    <x v="0"/>
    <n v="21"/>
    <x v="5"/>
    <x v="0"/>
    <x v="5"/>
    <x v="3"/>
    <n v="1"/>
    <n v="5104"/>
    <n v="20"/>
    <n v="1020.8"/>
    <n v="734.98"/>
    <n v="17"/>
    <n v="4835.18"/>
    <x v="0"/>
    <x v="0"/>
    <s v="Chandigarh"/>
    <x v="1"/>
    <x v="1"/>
    <x v="9"/>
    <x v="1"/>
    <x v="4"/>
    <s v="Shipped"/>
  </r>
  <r>
    <s v="ORD00438"/>
    <x v="259"/>
    <s v="CUST550"/>
    <s v="Rahul"/>
    <x v="0"/>
    <n v="38"/>
    <x v="9"/>
    <x v="0"/>
    <x v="9"/>
    <x v="2"/>
    <n v="5"/>
    <n v="27737"/>
    <n v="5"/>
    <n v="6934.25"/>
    <n v="23715.13"/>
    <n v="280"/>
    <n v="155745.89000000001"/>
    <x v="1"/>
    <x v="1"/>
    <s v="Pune"/>
    <x v="0"/>
    <x v="0"/>
    <x v="0"/>
    <x v="1"/>
    <x v="3"/>
    <s v="Delivered"/>
  </r>
  <r>
    <s v="ORD00439"/>
    <x v="260"/>
    <s v="CUST645"/>
    <s v="Priya"/>
    <x v="1"/>
    <n v="31"/>
    <x v="0"/>
    <x v="0"/>
    <x v="0"/>
    <x v="3"/>
    <n v="2"/>
    <n v="2476"/>
    <n v="5"/>
    <n v="247.6"/>
    <n v="846.79"/>
    <n v="332"/>
    <n v="5883.19"/>
    <x v="3"/>
    <x v="0"/>
    <s v="Chandigarh"/>
    <x v="1"/>
    <x v="1"/>
    <x v="3"/>
    <x v="0"/>
    <x v="1"/>
    <s v="Returned"/>
  </r>
  <r>
    <s v="ORD00440"/>
    <x v="209"/>
    <s v="CUST690"/>
    <s v="Vikas"/>
    <x v="1"/>
    <n v="46"/>
    <x v="2"/>
    <x v="1"/>
    <x v="2"/>
    <x v="4"/>
    <n v="5"/>
    <n v="41823"/>
    <n v="10"/>
    <n v="20911.5"/>
    <n v="33876.629999999997"/>
    <n v="228"/>
    <n v="222308.13"/>
    <x v="2"/>
    <x v="0"/>
    <s v="Jaipur"/>
    <x v="2"/>
    <x v="1"/>
    <x v="0"/>
    <x v="0"/>
    <x v="4"/>
    <s v="Cancelled"/>
  </r>
  <r>
    <s v="ORD00441"/>
    <x v="219"/>
    <s v="CUST578"/>
    <s v="Sneha"/>
    <x v="0"/>
    <n v="28"/>
    <x v="0"/>
    <x v="0"/>
    <x v="0"/>
    <x v="6"/>
    <n v="4"/>
    <n v="24006"/>
    <n v="0"/>
    <n v="0"/>
    <n v="17284.32"/>
    <n v="134"/>
    <n v="113442.32"/>
    <x v="1"/>
    <x v="0"/>
    <s v="Pune"/>
    <x v="0"/>
    <x v="0"/>
    <x v="9"/>
    <x v="1"/>
    <x v="4"/>
    <s v="Delivered"/>
  </r>
  <r>
    <s v="ORD00442"/>
    <x v="137"/>
    <s v="CUST272"/>
    <s v="Rahul"/>
    <x v="1"/>
    <n v="44"/>
    <x v="5"/>
    <x v="0"/>
    <x v="5"/>
    <x v="0"/>
    <n v="5"/>
    <n v="23260"/>
    <n v="10"/>
    <n v="11630"/>
    <n v="18840.599999999999"/>
    <n v="403"/>
    <n v="123913.60000000001"/>
    <x v="3"/>
    <x v="0"/>
    <s v="Patiala"/>
    <x v="1"/>
    <x v="1"/>
    <x v="3"/>
    <x v="1"/>
    <x v="2"/>
    <s v="Cancelled"/>
  </r>
  <r>
    <s v="ORD00443"/>
    <x v="160"/>
    <s v="CUST109"/>
    <s v="Neha"/>
    <x v="1"/>
    <n v="36"/>
    <x v="1"/>
    <x v="0"/>
    <x v="1"/>
    <x v="8"/>
    <n v="5"/>
    <n v="3544"/>
    <n v="0"/>
    <n v="0"/>
    <n v="3189.6"/>
    <n v="294"/>
    <n v="21203.599999999999"/>
    <x v="0"/>
    <x v="1"/>
    <s v="Bangalore"/>
    <x v="3"/>
    <x v="2"/>
    <x v="9"/>
    <x v="1"/>
    <x v="0"/>
    <s v="Shipped"/>
  </r>
  <r>
    <s v="ORD00444"/>
    <x v="87"/>
    <s v="CUST435"/>
    <s v="Karan"/>
    <x v="1"/>
    <n v="57"/>
    <x v="4"/>
    <x v="0"/>
    <x v="4"/>
    <x v="7"/>
    <n v="3"/>
    <n v="45381"/>
    <n v="15"/>
    <n v="20421.45"/>
    <n v="20829.88"/>
    <n v="110"/>
    <n v="136661.43"/>
    <x v="2"/>
    <x v="0"/>
    <s v="Lucknow"/>
    <x v="4"/>
    <x v="1"/>
    <x v="4"/>
    <x v="1"/>
    <x v="3"/>
    <s v="Returned"/>
  </r>
  <r>
    <s v="ORD00445"/>
    <x v="220"/>
    <s v="CUST772"/>
    <s v="Rahul"/>
    <x v="0"/>
    <n v="52"/>
    <x v="8"/>
    <x v="0"/>
    <x v="8"/>
    <x v="9"/>
    <n v="1"/>
    <n v="12252"/>
    <n v="5"/>
    <n v="612.6"/>
    <n v="2095.09"/>
    <n v="379"/>
    <n v="14113.49"/>
    <x v="0"/>
    <x v="1"/>
    <s v="Mumbai"/>
    <x v="0"/>
    <x v="0"/>
    <x v="6"/>
    <x v="0"/>
    <x v="0"/>
    <s v="Shipped"/>
  </r>
  <r>
    <s v="ORD00446"/>
    <x v="242"/>
    <s v="CUST456"/>
    <s v="Sneha"/>
    <x v="1"/>
    <n v="47"/>
    <x v="3"/>
    <x v="2"/>
    <x v="3"/>
    <x v="7"/>
    <n v="4"/>
    <n v="30619"/>
    <n v="0"/>
    <n v="0"/>
    <n v="22045.68"/>
    <n v="231"/>
    <n v="144752.68"/>
    <x v="1"/>
    <x v="0"/>
    <s v="Patiala"/>
    <x v="1"/>
    <x v="1"/>
    <x v="1"/>
    <x v="0"/>
    <x v="2"/>
    <s v="Returned"/>
  </r>
  <r>
    <s v="ORD00447"/>
    <x v="174"/>
    <s v="CUST907"/>
    <s v="Neha"/>
    <x v="1"/>
    <n v="20"/>
    <x v="0"/>
    <x v="0"/>
    <x v="0"/>
    <x v="1"/>
    <n v="1"/>
    <n v="23553"/>
    <n v="20"/>
    <n v="4710.6000000000004"/>
    <n v="3391.63"/>
    <n v="243"/>
    <n v="22477.03"/>
    <x v="1"/>
    <x v="0"/>
    <s v="Mumbai"/>
    <x v="0"/>
    <x v="0"/>
    <x v="6"/>
    <x v="1"/>
    <x v="1"/>
    <s v="Shipped"/>
  </r>
  <r>
    <s v="ORD00448"/>
    <x v="9"/>
    <s v="CUST207"/>
    <s v="Karan"/>
    <x v="1"/>
    <n v="52"/>
    <x v="1"/>
    <x v="0"/>
    <x v="1"/>
    <x v="1"/>
    <n v="2"/>
    <n v="6603"/>
    <n v="5"/>
    <n v="660.3"/>
    <n v="2258.23"/>
    <n v="343"/>
    <n v="15146.93"/>
    <x v="1"/>
    <x v="0"/>
    <s v="Pune"/>
    <x v="0"/>
    <x v="0"/>
    <x v="5"/>
    <x v="1"/>
    <x v="3"/>
    <s v="Returned"/>
  </r>
  <r>
    <s v="ORD00449"/>
    <x v="4"/>
    <s v="CUST934"/>
    <s v="Arjun"/>
    <x v="1"/>
    <n v="28"/>
    <x v="3"/>
    <x v="2"/>
    <x v="3"/>
    <x v="1"/>
    <n v="4"/>
    <n v="22851"/>
    <n v="20"/>
    <n v="18280.8"/>
    <n v="13162.18"/>
    <n v="359"/>
    <n v="86644.38"/>
    <x v="1"/>
    <x v="0"/>
    <s v="Bangalore"/>
    <x v="3"/>
    <x v="2"/>
    <x v="5"/>
    <x v="1"/>
    <x v="3"/>
    <s v="Returned"/>
  </r>
  <r>
    <s v="ORD00450"/>
    <x v="76"/>
    <s v="CUST764"/>
    <s v="Rahul"/>
    <x v="0"/>
    <n v="36"/>
    <x v="8"/>
    <x v="0"/>
    <x v="8"/>
    <x v="3"/>
    <n v="1"/>
    <n v="25609"/>
    <n v="5"/>
    <n v="1280.45"/>
    <n v="4379.1400000000003"/>
    <n v="97"/>
    <n v="28804.69"/>
    <x v="2"/>
    <x v="0"/>
    <s v="Patiala"/>
    <x v="1"/>
    <x v="1"/>
    <x v="0"/>
    <x v="0"/>
    <x v="4"/>
    <s v="Returned"/>
  </r>
  <r>
    <s v="ORD00451"/>
    <x v="136"/>
    <s v="CUST804"/>
    <s v="Rahul"/>
    <x v="1"/>
    <n v="39"/>
    <x v="0"/>
    <x v="0"/>
    <x v="0"/>
    <x v="5"/>
    <n v="2"/>
    <n v="14636"/>
    <n v="5"/>
    <n v="1463.6"/>
    <n v="5005.51"/>
    <n v="189"/>
    <n v="33002.910000000003"/>
    <x v="3"/>
    <x v="1"/>
    <s v="Mumbai"/>
    <x v="0"/>
    <x v="0"/>
    <x v="9"/>
    <x v="0"/>
    <x v="1"/>
    <s v="Returned"/>
  </r>
  <r>
    <s v="ORD00452"/>
    <x v="136"/>
    <s v="CUST633"/>
    <s v="Vikas"/>
    <x v="1"/>
    <n v="47"/>
    <x v="1"/>
    <x v="0"/>
    <x v="1"/>
    <x v="2"/>
    <n v="2"/>
    <n v="38206"/>
    <n v="0"/>
    <n v="0"/>
    <n v="13754.16"/>
    <n v="460"/>
    <n v="90626.16"/>
    <x v="0"/>
    <x v="0"/>
    <s v="Delhi"/>
    <x v="5"/>
    <x v="1"/>
    <x v="5"/>
    <x v="0"/>
    <x v="4"/>
    <s v="Returned"/>
  </r>
  <r>
    <s v="ORD00453"/>
    <x v="116"/>
    <s v="CUST838"/>
    <s v="Arjun"/>
    <x v="1"/>
    <n v="52"/>
    <x v="0"/>
    <x v="0"/>
    <x v="0"/>
    <x v="2"/>
    <n v="4"/>
    <n v="16160"/>
    <n v="20"/>
    <n v="12928"/>
    <n v="9308.16"/>
    <n v="422"/>
    <n v="61442.16"/>
    <x v="0"/>
    <x v="1"/>
    <s v="Bangalore"/>
    <x v="3"/>
    <x v="2"/>
    <x v="8"/>
    <x v="0"/>
    <x v="0"/>
    <s v="Cancelled"/>
  </r>
  <r>
    <s v="ORD00454"/>
    <x v="261"/>
    <s v="CUST448"/>
    <s v="Anjali"/>
    <x v="0"/>
    <n v="32"/>
    <x v="9"/>
    <x v="0"/>
    <x v="9"/>
    <x v="7"/>
    <n v="5"/>
    <n v="31197"/>
    <n v="15"/>
    <n v="23397.75"/>
    <n v="23865.7"/>
    <n v="389"/>
    <n v="156841.95000000001"/>
    <x v="0"/>
    <x v="1"/>
    <s v="Lucknow"/>
    <x v="4"/>
    <x v="1"/>
    <x v="4"/>
    <x v="0"/>
    <x v="2"/>
    <s v="Delivered"/>
  </r>
  <r>
    <s v="ORD00455"/>
    <x v="37"/>
    <s v="CUST889"/>
    <s v="Anjali"/>
    <x v="0"/>
    <n v="29"/>
    <x v="0"/>
    <x v="0"/>
    <x v="0"/>
    <x v="2"/>
    <n v="4"/>
    <n v="10812"/>
    <n v="0"/>
    <n v="0"/>
    <n v="7784.64"/>
    <n v="76"/>
    <n v="51108.639999999999"/>
    <x v="0"/>
    <x v="0"/>
    <s v="Delhi"/>
    <x v="5"/>
    <x v="1"/>
    <x v="4"/>
    <x v="1"/>
    <x v="3"/>
    <s v="Cancelled"/>
  </r>
  <r>
    <s v="ORD00456"/>
    <x v="231"/>
    <s v="CUST772"/>
    <s v="Rahul"/>
    <x v="0"/>
    <n v="40"/>
    <x v="9"/>
    <x v="0"/>
    <x v="9"/>
    <x v="9"/>
    <n v="1"/>
    <n v="13238"/>
    <n v="20"/>
    <n v="2647.6"/>
    <n v="1906.27"/>
    <n v="33"/>
    <n v="12529.67"/>
    <x v="0"/>
    <x v="1"/>
    <s v="Bangalore"/>
    <x v="3"/>
    <x v="2"/>
    <x v="5"/>
    <x v="1"/>
    <x v="0"/>
    <s v="Cancelled"/>
  </r>
  <r>
    <s v="ORD00457"/>
    <x v="262"/>
    <s v="CUST174"/>
    <s v="Amit"/>
    <x v="1"/>
    <n v="44"/>
    <x v="6"/>
    <x v="0"/>
    <x v="6"/>
    <x v="3"/>
    <n v="2"/>
    <n v="19330"/>
    <n v="5"/>
    <n v="1933"/>
    <n v="6610.86"/>
    <n v="455"/>
    <n v="43792.86"/>
    <x v="3"/>
    <x v="0"/>
    <s v="Lucknow"/>
    <x v="4"/>
    <x v="1"/>
    <x v="3"/>
    <x v="1"/>
    <x v="3"/>
    <s v="Delivered"/>
  </r>
  <r>
    <s v="ORD00458"/>
    <x v="120"/>
    <s v="CUST208"/>
    <s v="Karan"/>
    <x v="0"/>
    <n v="26"/>
    <x v="4"/>
    <x v="0"/>
    <x v="4"/>
    <x v="1"/>
    <n v="5"/>
    <n v="36209"/>
    <n v="10"/>
    <n v="18104.5"/>
    <n v="29329.29"/>
    <n v="361"/>
    <n v="192630.79"/>
    <x v="1"/>
    <x v="1"/>
    <s v="Jaipur"/>
    <x v="2"/>
    <x v="1"/>
    <x v="2"/>
    <x v="0"/>
    <x v="3"/>
    <s v="Shipped"/>
  </r>
  <r>
    <s v="ORD00459"/>
    <x v="12"/>
    <s v="CUST503"/>
    <s v="Rahul"/>
    <x v="1"/>
    <n v="48"/>
    <x v="2"/>
    <x v="1"/>
    <x v="2"/>
    <x v="4"/>
    <n v="1"/>
    <n v="29971"/>
    <n v="10"/>
    <n v="2997.1"/>
    <n v="4855.3"/>
    <n v="401"/>
    <n v="32230.2"/>
    <x v="3"/>
    <x v="1"/>
    <s v="Mumbai"/>
    <x v="0"/>
    <x v="0"/>
    <x v="2"/>
    <x v="1"/>
    <x v="4"/>
    <s v="Shipped"/>
  </r>
  <r>
    <s v="ORD00460"/>
    <x v="121"/>
    <s v="CUST569"/>
    <s v="Anjali"/>
    <x v="1"/>
    <n v="24"/>
    <x v="9"/>
    <x v="0"/>
    <x v="9"/>
    <x v="3"/>
    <n v="2"/>
    <n v="32711"/>
    <n v="10"/>
    <n v="6542.2"/>
    <n v="10598.36"/>
    <n v="374"/>
    <n v="69852.160000000003"/>
    <x v="2"/>
    <x v="1"/>
    <s v="Lucknow"/>
    <x v="4"/>
    <x v="1"/>
    <x v="7"/>
    <x v="1"/>
    <x v="4"/>
    <s v="Cancelled"/>
  </r>
  <r>
    <s v="ORD00461"/>
    <x v="44"/>
    <s v="CUST359"/>
    <s v="Anjali"/>
    <x v="0"/>
    <n v="38"/>
    <x v="9"/>
    <x v="0"/>
    <x v="9"/>
    <x v="2"/>
    <n v="2"/>
    <n v="8328"/>
    <n v="5"/>
    <n v="832.8"/>
    <n v="2848.18"/>
    <n v="251"/>
    <n v="18922.38"/>
    <x v="0"/>
    <x v="1"/>
    <s v="Bangalore"/>
    <x v="3"/>
    <x v="2"/>
    <x v="2"/>
    <x v="1"/>
    <x v="3"/>
    <s v="Shipped"/>
  </r>
  <r>
    <s v="ORD00462"/>
    <x v="25"/>
    <s v="CUST698"/>
    <s v="Vikas"/>
    <x v="0"/>
    <n v="31"/>
    <x v="6"/>
    <x v="0"/>
    <x v="6"/>
    <x v="9"/>
    <n v="4"/>
    <n v="35256"/>
    <n v="10"/>
    <n v="14102.4"/>
    <n v="22845.89"/>
    <n v="104"/>
    <n v="149871.49"/>
    <x v="3"/>
    <x v="1"/>
    <s v="Patiala"/>
    <x v="1"/>
    <x v="1"/>
    <x v="7"/>
    <x v="1"/>
    <x v="4"/>
    <s v="Returned"/>
  </r>
  <r>
    <s v="ORD00463"/>
    <x v="227"/>
    <s v="CUST957"/>
    <s v="Amit"/>
    <x v="1"/>
    <n v="28"/>
    <x v="0"/>
    <x v="0"/>
    <x v="0"/>
    <x v="3"/>
    <n v="2"/>
    <n v="45154"/>
    <n v="20"/>
    <n v="18061.599999999999"/>
    <n v="13004.35"/>
    <n v="214"/>
    <n v="85464.75"/>
    <x v="3"/>
    <x v="0"/>
    <s v="Mumbai"/>
    <x v="0"/>
    <x v="0"/>
    <x v="4"/>
    <x v="0"/>
    <x v="3"/>
    <s v="Delivered"/>
  </r>
  <r>
    <s v="ORD00464"/>
    <x v="124"/>
    <s v="CUST272"/>
    <s v="Karan"/>
    <x v="0"/>
    <n v="41"/>
    <x v="0"/>
    <x v="0"/>
    <x v="0"/>
    <x v="1"/>
    <n v="4"/>
    <n v="12691"/>
    <n v="5"/>
    <n v="2538.1999999999998"/>
    <n v="8680.64"/>
    <n v="366"/>
    <n v="57272.44"/>
    <x v="1"/>
    <x v="1"/>
    <s v="Bangalore"/>
    <x v="3"/>
    <x v="2"/>
    <x v="2"/>
    <x v="1"/>
    <x v="1"/>
    <s v="Shipped"/>
  </r>
  <r>
    <s v="ORD00465"/>
    <x v="70"/>
    <s v="CUST382"/>
    <s v="Rahul"/>
    <x v="0"/>
    <n v="57"/>
    <x v="2"/>
    <x v="1"/>
    <x v="2"/>
    <x v="8"/>
    <n v="1"/>
    <n v="34542"/>
    <n v="20"/>
    <n v="6908.4"/>
    <n v="4974.05"/>
    <n v="179"/>
    <n v="32786.65"/>
    <x v="3"/>
    <x v="1"/>
    <s v="Jaipur"/>
    <x v="2"/>
    <x v="1"/>
    <x v="6"/>
    <x v="0"/>
    <x v="2"/>
    <s v="Cancelled"/>
  </r>
  <r>
    <s v="ORD00466"/>
    <x v="105"/>
    <s v="CUST391"/>
    <s v="Karan"/>
    <x v="1"/>
    <n v="21"/>
    <x v="9"/>
    <x v="0"/>
    <x v="9"/>
    <x v="4"/>
    <n v="2"/>
    <n v="43091"/>
    <n v="5"/>
    <n v="4309.1000000000004"/>
    <n v="14737.12"/>
    <n v="410"/>
    <n v="97020.02"/>
    <x v="1"/>
    <x v="1"/>
    <s v="Pune"/>
    <x v="0"/>
    <x v="0"/>
    <x v="0"/>
    <x v="1"/>
    <x v="2"/>
    <s v="Shipped"/>
  </r>
  <r>
    <s v="ORD00467"/>
    <x v="208"/>
    <s v="CUST932"/>
    <s v="Rahul"/>
    <x v="0"/>
    <n v="53"/>
    <x v="7"/>
    <x v="1"/>
    <x v="7"/>
    <x v="1"/>
    <n v="4"/>
    <n v="8212"/>
    <n v="5"/>
    <n v="1642.4"/>
    <n v="5617.01"/>
    <n v="456"/>
    <n v="37278.61"/>
    <x v="3"/>
    <x v="0"/>
    <s v="Patiala"/>
    <x v="1"/>
    <x v="1"/>
    <x v="8"/>
    <x v="1"/>
    <x v="2"/>
    <s v="Delivered"/>
  </r>
  <r>
    <s v="ORD00468"/>
    <x v="47"/>
    <s v="CUST150"/>
    <s v="Priya"/>
    <x v="0"/>
    <n v="41"/>
    <x v="7"/>
    <x v="1"/>
    <x v="7"/>
    <x v="0"/>
    <n v="2"/>
    <n v="20842"/>
    <n v="5"/>
    <n v="2084.1999999999998"/>
    <n v="7127.96"/>
    <n v="476"/>
    <n v="47203.76"/>
    <x v="3"/>
    <x v="0"/>
    <s v="Jaipur"/>
    <x v="2"/>
    <x v="1"/>
    <x v="4"/>
    <x v="0"/>
    <x v="4"/>
    <s v="Delivered"/>
  </r>
  <r>
    <s v="ORD00469"/>
    <x v="160"/>
    <s v="CUST330"/>
    <s v="Sneha"/>
    <x v="0"/>
    <n v="24"/>
    <x v="1"/>
    <x v="0"/>
    <x v="1"/>
    <x v="1"/>
    <n v="1"/>
    <n v="47724"/>
    <n v="0"/>
    <n v="0"/>
    <n v="8590.32"/>
    <n v="1"/>
    <n v="56315.32"/>
    <x v="0"/>
    <x v="1"/>
    <s v="Delhi"/>
    <x v="5"/>
    <x v="1"/>
    <x v="7"/>
    <x v="1"/>
    <x v="4"/>
    <s v="Returned"/>
  </r>
  <r>
    <s v="ORD00470"/>
    <x v="263"/>
    <s v="CUST732"/>
    <s v="Rahul"/>
    <x v="0"/>
    <n v="40"/>
    <x v="5"/>
    <x v="0"/>
    <x v="5"/>
    <x v="7"/>
    <n v="4"/>
    <n v="10839"/>
    <n v="0"/>
    <n v="0"/>
    <n v="7804.08"/>
    <n v="263"/>
    <n v="51423.08"/>
    <x v="3"/>
    <x v="1"/>
    <s v="Patiala"/>
    <x v="1"/>
    <x v="1"/>
    <x v="3"/>
    <x v="1"/>
    <x v="2"/>
    <s v="Delivered"/>
  </r>
  <r>
    <s v="ORD00471"/>
    <x v="30"/>
    <s v="CUST155"/>
    <s v="Amit"/>
    <x v="0"/>
    <n v="59"/>
    <x v="0"/>
    <x v="0"/>
    <x v="0"/>
    <x v="3"/>
    <n v="3"/>
    <n v="26534"/>
    <n v="20"/>
    <n v="15920.4"/>
    <n v="11462.69"/>
    <n v="204"/>
    <n v="75348.289999999994"/>
    <x v="1"/>
    <x v="0"/>
    <s v="Patiala"/>
    <x v="1"/>
    <x v="1"/>
    <x v="0"/>
    <x v="0"/>
    <x v="3"/>
    <s v="Shipped"/>
  </r>
  <r>
    <s v="ORD00472"/>
    <x v="264"/>
    <s v="CUST813"/>
    <s v="Amit"/>
    <x v="0"/>
    <n v="30"/>
    <x v="8"/>
    <x v="0"/>
    <x v="8"/>
    <x v="2"/>
    <n v="4"/>
    <n v="31580"/>
    <n v="0"/>
    <n v="0"/>
    <n v="22737.599999999999"/>
    <n v="323"/>
    <n v="149380.6"/>
    <x v="3"/>
    <x v="1"/>
    <s v="Mumbai"/>
    <x v="0"/>
    <x v="0"/>
    <x v="7"/>
    <x v="1"/>
    <x v="1"/>
    <s v="Returned"/>
  </r>
  <r>
    <s v="ORD00473"/>
    <x v="265"/>
    <s v="CUST586"/>
    <s v="Priya"/>
    <x v="1"/>
    <n v="42"/>
    <x v="1"/>
    <x v="0"/>
    <x v="1"/>
    <x v="7"/>
    <n v="2"/>
    <n v="35161"/>
    <n v="15"/>
    <n v="10548.3"/>
    <n v="10759.27"/>
    <n v="349"/>
    <n v="70881.97"/>
    <x v="1"/>
    <x v="1"/>
    <s v="Jaipur"/>
    <x v="2"/>
    <x v="1"/>
    <x v="2"/>
    <x v="0"/>
    <x v="2"/>
    <s v="Cancelled"/>
  </r>
  <r>
    <s v="ORD00474"/>
    <x v="65"/>
    <s v="CUST156"/>
    <s v="Anjali"/>
    <x v="0"/>
    <n v="46"/>
    <x v="8"/>
    <x v="0"/>
    <x v="8"/>
    <x v="4"/>
    <n v="3"/>
    <n v="48636"/>
    <n v="0"/>
    <n v="0"/>
    <n v="26263.439999999999"/>
    <n v="268"/>
    <n v="172439.44"/>
    <x v="2"/>
    <x v="0"/>
    <s v="Pune"/>
    <x v="0"/>
    <x v="0"/>
    <x v="4"/>
    <x v="0"/>
    <x v="3"/>
    <s v="Cancelled"/>
  </r>
  <r>
    <s v="ORD00475"/>
    <x v="237"/>
    <s v="CUST781"/>
    <s v="Anjali"/>
    <x v="1"/>
    <n v="31"/>
    <x v="3"/>
    <x v="2"/>
    <x v="3"/>
    <x v="4"/>
    <n v="2"/>
    <n v="31744"/>
    <n v="20"/>
    <n v="12697.6"/>
    <n v="9142.27"/>
    <n v="209"/>
    <n v="60141.67"/>
    <x v="3"/>
    <x v="0"/>
    <s v="Chandigarh"/>
    <x v="1"/>
    <x v="1"/>
    <x v="5"/>
    <x v="0"/>
    <x v="4"/>
    <s v="Shipped"/>
  </r>
  <r>
    <s v="ORD00476"/>
    <x v="221"/>
    <s v="CUST381"/>
    <s v="Priya"/>
    <x v="1"/>
    <n v="32"/>
    <x v="0"/>
    <x v="0"/>
    <x v="0"/>
    <x v="5"/>
    <n v="4"/>
    <n v="31822"/>
    <n v="0"/>
    <n v="0"/>
    <n v="22911.84"/>
    <n v="60"/>
    <n v="150259.84"/>
    <x v="1"/>
    <x v="1"/>
    <s v="Lucknow"/>
    <x v="4"/>
    <x v="1"/>
    <x v="0"/>
    <x v="0"/>
    <x v="3"/>
    <s v="Returned"/>
  </r>
  <r>
    <s v="ORD00477"/>
    <x v="10"/>
    <s v="CUST124"/>
    <s v="Riya"/>
    <x v="0"/>
    <n v="33"/>
    <x v="7"/>
    <x v="1"/>
    <x v="7"/>
    <x v="1"/>
    <n v="4"/>
    <n v="2368"/>
    <n v="20"/>
    <n v="1894.4"/>
    <n v="1363.97"/>
    <n v="373"/>
    <n v="9314.57"/>
    <x v="1"/>
    <x v="0"/>
    <s v="Jaipur"/>
    <x v="2"/>
    <x v="1"/>
    <x v="4"/>
    <x v="1"/>
    <x v="0"/>
    <s v="Returned"/>
  </r>
  <r>
    <s v="ORD00478"/>
    <x v="266"/>
    <s v="CUST363"/>
    <s v="Priya"/>
    <x v="0"/>
    <n v="20"/>
    <x v="7"/>
    <x v="1"/>
    <x v="7"/>
    <x v="0"/>
    <n v="5"/>
    <n v="48760"/>
    <n v="5"/>
    <n v="12190"/>
    <n v="41689.800000000003"/>
    <n v="420"/>
    <n v="273719.8"/>
    <x v="0"/>
    <x v="0"/>
    <s v="Lucknow"/>
    <x v="4"/>
    <x v="1"/>
    <x v="5"/>
    <x v="1"/>
    <x v="1"/>
    <s v="Returned"/>
  </r>
  <r>
    <s v="ORD00479"/>
    <x v="70"/>
    <s v="CUST349"/>
    <s v="Amit"/>
    <x v="1"/>
    <n v="38"/>
    <x v="0"/>
    <x v="0"/>
    <x v="0"/>
    <x v="2"/>
    <n v="5"/>
    <n v="39991"/>
    <n v="10"/>
    <n v="19995.5"/>
    <n v="32392.71"/>
    <n v="310"/>
    <n v="212662.21"/>
    <x v="0"/>
    <x v="0"/>
    <s v="Pune"/>
    <x v="0"/>
    <x v="0"/>
    <x v="6"/>
    <x v="0"/>
    <x v="4"/>
    <s v="Returned"/>
  </r>
  <r>
    <s v="ORD00480"/>
    <x v="60"/>
    <s v="CUST970"/>
    <s v="Vikas"/>
    <x v="1"/>
    <n v="53"/>
    <x v="5"/>
    <x v="0"/>
    <x v="5"/>
    <x v="6"/>
    <n v="1"/>
    <n v="47402"/>
    <n v="5"/>
    <n v="2370.1"/>
    <n v="8105.74"/>
    <n v="192"/>
    <n v="53329.64"/>
    <x v="2"/>
    <x v="1"/>
    <s v="Chandigarh"/>
    <x v="1"/>
    <x v="1"/>
    <x v="8"/>
    <x v="0"/>
    <x v="2"/>
    <s v="Cancelled"/>
  </r>
  <r>
    <s v="ORD00481"/>
    <x v="65"/>
    <s v="CUST614"/>
    <s v="Priya"/>
    <x v="1"/>
    <n v="34"/>
    <x v="6"/>
    <x v="0"/>
    <x v="6"/>
    <x v="8"/>
    <n v="3"/>
    <n v="42924"/>
    <n v="20"/>
    <n v="25754.400000000001"/>
    <n v="18543.169999999998"/>
    <n v="373"/>
    <n v="121933.77"/>
    <x v="2"/>
    <x v="0"/>
    <s v="Patiala"/>
    <x v="1"/>
    <x v="1"/>
    <x v="9"/>
    <x v="1"/>
    <x v="1"/>
    <s v="Shipped"/>
  </r>
  <r>
    <s v="ORD00482"/>
    <x v="267"/>
    <s v="CUST239"/>
    <s v="Anjali"/>
    <x v="1"/>
    <n v="29"/>
    <x v="1"/>
    <x v="0"/>
    <x v="1"/>
    <x v="2"/>
    <n v="2"/>
    <n v="43493"/>
    <n v="5"/>
    <n v="4349.3"/>
    <n v="14874.61"/>
    <n v="499"/>
    <n v="98010.31"/>
    <x v="3"/>
    <x v="1"/>
    <s v="Mumbai"/>
    <x v="0"/>
    <x v="0"/>
    <x v="3"/>
    <x v="1"/>
    <x v="1"/>
    <s v="Delivered"/>
  </r>
  <r>
    <s v="ORD00483"/>
    <x v="49"/>
    <s v="CUST477"/>
    <s v="Neha"/>
    <x v="0"/>
    <n v="52"/>
    <x v="7"/>
    <x v="1"/>
    <x v="7"/>
    <x v="4"/>
    <n v="1"/>
    <n v="23370"/>
    <n v="0"/>
    <n v="0"/>
    <n v="4206.6000000000004"/>
    <n v="413"/>
    <n v="27989.599999999999"/>
    <x v="3"/>
    <x v="1"/>
    <s v="Bangalore"/>
    <x v="3"/>
    <x v="2"/>
    <x v="4"/>
    <x v="0"/>
    <x v="1"/>
    <s v="Returned"/>
  </r>
  <r>
    <s v="ORD00484"/>
    <x v="173"/>
    <s v="CUST128"/>
    <s v="Neha"/>
    <x v="1"/>
    <n v="58"/>
    <x v="0"/>
    <x v="0"/>
    <x v="0"/>
    <x v="1"/>
    <n v="3"/>
    <n v="47124"/>
    <n v="10"/>
    <n v="14137.2"/>
    <n v="22902.26"/>
    <n v="40"/>
    <n v="150177.06"/>
    <x v="2"/>
    <x v="1"/>
    <s v="Delhi"/>
    <x v="5"/>
    <x v="1"/>
    <x v="1"/>
    <x v="0"/>
    <x v="3"/>
    <s v="Shipped"/>
  </r>
  <r>
    <s v="ORD00485"/>
    <x v="268"/>
    <s v="CUST113"/>
    <s v="Karan"/>
    <x v="0"/>
    <n v="30"/>
    <x v="9"/>
    <x v="0"/>
    <x v="9"/>
    <x v="9"/>
    <n v="1"/>
    <n v="27733"/>
    <n v="5"/>
    <n v="1386.65"/>
    <n v="4742.34"/>
    <n v="481"/>
    <n v="31569.69"/>
    <x v="3"/>
    <x v="0"/>
    <s v="Pune"/>
    <x v="0"/>
    <x v="0"/>
    <x v="6"/>
    <x v="0"/>
    <x v="3"/>
    <s v="Delivered"/>
  </r>
  <r>
    <s v="ORD00486"/>
    <x v="38"/>
    <s v="CUST364"/>
    <s v="Neha"/>
    <x v="0"/>
    <n v="26"/>
    <x v="4"/>
    <x v="0"/>
    <x v="4"/>
    <x v="9"/>
    <n v="1"/>
    <n v="16619"/>
    <n v="5"/>
    <n v="830.95"/>
    <n v="2841.85"/>
    <n v="416"/>
    <n v="19045.900000000001"/>
    <x v="2"/>
    <x v="0"/>
    <s v="Bangalore"/>
    <x v="3"/>
    <x v="2"/>
    <x v="1"/>
    <x v="0"/>
    <x v="0"/>
    <s v="Returned"/>
  </r>
  <r>
    <s v="ORD00487"/>
    <x v="118"/>
    <s v="CUST930"/>
    <s v="Rahul"/>
    <x v="1"/>
    <n v="39"/>
    <x v="7"/>
    <x v="1"/>
    <x v="7"/>
    <x v="6"/>
    <n v="3"/>
    <n v="16882"/>
    <n v="10"/>
    <n v="5064.6000000000004"/>
    <n v="8204.65"/>
    <n v="146"/>
    <n v="53932.05"/>
    <x v="0"/>
    <x v="1"/>
    <s v="Delhi"/>
    <x v="5"/>
    <x v="1"/>
    <x v="9"/>
    <x v="0"/>
    <x v="4"/>
    <s v="Shipped"/>
  </r>
  <r>
    <s v="ORD00488"/>
    <x v="6"/>
    <s v="CUST494"/>
    <s v="Amit"/>
    <x v="0"/>
    <n v="52"/>
    <x v="4"/>
    <x v="0"/>
    <x v="4"/>
    <x v="7"/>
    <n v="3"/>
    <n v="42848"/>
    <n v="15"/>
    <n v="19281.599999999999"/>
    <n v="19667.23"/>
    <n v="22"/>
    <n v="128951.63"/>
    <x v="2"/>
    <x v="0"/>
    <s v="Patiala"/>
    <x v="1"/>
    <x v="1"/>
    <x v="2"/>
    <x v="0"/>
    <x v="2"/>
    <s v="Returned"/>
  </r>
  <r>
    <s v="ORD00489"/>
    <x v="51"/>
    <s v="CUST202"/>
    <s v="Sneha"/>
    <x v="1"/>
    <n v="25"/>
    <x v="3"/>
    <x v="2"/>
    <x v="3"/>
    <x v="2"/>
    <n v="3"/>
    <n v="17988"/>
    <n v="10"/>
    <n v="5396.4"/>
    <n v="8742.17"/>
    <n v="462"/>
    <n v="57771.77"/>
    <x v="3"/>
    <x v="0"/>
    <s v="Jaipur"/>
    <x v="2"/>
    <x v="1"/>
    <x v="3"/>
    <x v="0"/>
    <x v="2"/>
    <s v="Shipped"/>
  </r>
  <r>
    <s v="ORD00490"/>
    <x v="32"/>
    <s v="CUST228"/>
    <s v="Vikas"/>
    <x v="1"/>
    <n v="51"/>
    <x v="7"/>
    <x v="1"/>
    <x v="7"/>
    <x v="5"/>
    <n v="4"/>
    <n v="20757"/>
    <n v="0"/>
    <n v="0"/>
    <n v="14945.04"/>
    <n v="65"/>
    <n v="98038.04"/>
    <x v="2"/>
    <x v="0"/>
    <s v="Patiala"/>
    <x v="1"/>
    <x v="1"/>
    <x v="4"/>
    <x v="1"/>
    <x v="1"/>
    <s v="Cancelled"/>
  </r>
  <r>
    <s v="ORD00491"/>
    <x v="137"/>
    <s v="CUST636"/>
    <s v="Arjun"/>
    <x v="1"/>
    <n v="54"/>
    <x v="8"/>
    <x v="0"/>
    <x v="8"/>
    <x v="4"/>
    <n v="2"/>
    <n v="36202"/>
    <n v="10"/>
    <n v="7240.4"/>
    <n v="11729.45"/>
    <n v="49"/>
    <n v="76942.05"/>
    <x v="2"/>
    <x v="1"/>
    <s v="Delhi"/>
    <x v="5"/>
    <x v="1"/>
    <x v="3"/>
    <x v="1"/>
    <x v="3"/>
    <s v="Cancelled"/>
  </r>
  <r>
    <s v="ORD00492"/>
    <x v="269"/>
    <s v="CUST362"/>
    <s v="Amit"/>
    <x v="1"/>
    <n v="55"/>
    <x v="5"/>
    <x v="0"/>
    <x v="5"/>
    <x v="2"/>
    <n v="5"/>
    <n v="8252"/>
    <n v="20"/>
    <n v="8252"/>
    <n v="5941.44"/>
    <n v="389"/>
    <n v="39338.44"/>
    <x v="2"/>
    <x v="0"/>
    <s v="Pune"/>
    <x v="0"/>
    <x v="0"/>
    <x v="8"/>
    <x v="1"/>
    <x v="3"/>
    <s v="Shipped"/>
  </r>
  <r>
    <s v="ORD00493"/>
    <x v="40"/>
    <s v="CUST228"/>
    <s v="Amit"/>
    <x v="0"/>
    <n v="50"/>
    <x v="3"/>
    <x v="2"/>
    <x v="3"/>
    <x v="2"/>
    <n v="1"/>
    <n v="49467"/>
    <n v="20"/>
    <n v="9893.4"/>
    <n v="7123.25"/>
    <n v="217"/>
    <n v="46913.85"/>
    <x v="2"/>
    <x v="1"/>
    <s v="Bangalore"/>
    <x v="3"/>
    <x v="2"/>
    <x v="8"/>
    <x v="0"/>
    <x v="3"/>
    <s v="Cancelled"/>
  </r>
  <r>
    <s v="ORD00494"/>
    <x v="115"/>
    <s v="CUST395"/>
    <s v="Neha"/>
    <x v="0"/>
    <n v="55"/>
    <x v="2"/>
    <x v="1"/>
    <x v="2"/>
    <x v="5"/>
    <n v="4"/>
    <n v="21774"/>
    <n v="20"/>
    <n v="17419.2"/>
    <n v="12541.82"/>
    <n v="11"/>
    <n v="82229.62"/>
    <x v="2"/>
    <x v="1"/>
    <s v="Lucknow"/>
    <x v="4"/>
    <x v="1"/>
    <x v="8"/>
    <x v="1"/>
    <x v="0"/>
    <s v="Shipped"/>
  </r>
  <r>
    <s v="ORD00495"/>
    <x v="148"/>
    <s v="CUST540"/>
    <s v="Amit"/>
    <x v="1"/>
    <n v="54"/>
    <x v="4"/>
    <x v="0"/>
    <x v="4"/>
    <x v="6"/>
    <n v="4"/>
    <n v="47507"/>
    <n v="5"/>
    <n v="9501.4"/>
    <n v="32494.79"/>
    <n v="181"/>
    <n v="213202.39"/>
    <x v="0"/>
    <x v="1"/>
    <s v="Lucknow"/>
    <x v="4"/>
    <x v="1"/>
    <x v="5"/>
    <x v="1"/>
    <x v="2"/>
    <s v="Shipped"/>
  </r>
  <r>
    <s v="ORD00496"/>
    <x v="260"/>
    <s v="CUST302"/>
    <s v="Sneha"/>
    <x v="1"/>
    <n v="29"/>
    <x v="9"/>
    <x v="0"/>
    <x v="9"/>
    <x v="6"/>
    <n v="3"/>
    <n v="36790"/>
    <n v="10"/>
    <n v="11037"/>
    <n v="17879.939999999999"/>
    <n v="0"/>
    <n v="117212.94"/>
    <x v="0"/>
    <x v="1"/>
    <s v="Lucknow"/>
    <x v="4"/>
    <x v="1"/>
    <x v="5"/>
    <x v="0"/>
    <x v="0"/>
    <s v="Shipped"/>
  </r>
  <r>
    <s v="ORD00497"/>
    <x v="116"/>
    <s v="CUST549"/>
    <s v="Vikas"/>
    <x v="0"/>
    <n v="22"/>
    <x v="4"/>
    <x v="0"/>
    <x v="4"/>
    <x v="2"/>
    <n v="1"/>
    <n v="29785"/>
    <n v="20"/>
    <n v="5957"/>
    <n v="4289.04"/>
    <n v="223"/>
    <n v="28340.04"/>
    <x v="0"/>
    <x v="1"/>
    <s v="Pune"/>
    <x v="0"/>
    <x v="0"/>
    <x v="0"/>
    <x v="1"/>
    <x v="0"/>
    <s v="Shipped"/>
  </r>
  <r>
    <s v="ORD00498"/>
    <x v="20"/>
    <s v="CUST384"/>
    <s v="Sneha"/>
    <x v="0"/>
    <n v="21"/>
    <x v="6"/>
    <x v="0"/>
    <x v="6"/>
    <x v="4"/>
    <n v="3"/>
    <n v="44354"/>
    <n v="0"/>
    <n v="0"/>
    <n v="23951.16"/>
    <n v="395"/>
    <n v="157408.16"/>
    <x v="2"/>
    <x v="0"/>
    <s v="Patiala"/>
    <x v="1"/>
    <x v="1"/>
    <x v="1"/>
    <x v="1"/>
    <x v="3"/>
    <s v="Returned"/>
  </r>
  <r>
    <s v="ORD00499"/>
    <x v="270"/>
    <s v="CUST559"/>
    <s v="Amit"/>
    <x v="0"/>
    <n v="26"/>
    <x v="3"/>
    <x v="2"/>
    <x v="3"/>
    <x v="3"/>
    <n v="4"/>
    <n v="42490"/>
    <n v="10"/>
    <n v="16996"/>
    <n v="27533.52"/>
    <n v="135"/>
    <n v="180632.52"/>
    <x v="2"/>
    <x v="1"/>
    <s v="Delhi"/>
    <x v="5"/>
    <x v="1"/>
    <x v="2"/>
    <x v="0"/>
    <x v="3"/>
    <s v="Shipped"/>
  </r>
  <r>
    <s v="ORD00500"/>
    <x v="21"/>
    <s v="CUST936"/>
    <s v="Riya"/>
    <x v="1"/>
    <n v="28"/>
    <x v="6"/>
    <x v="0"/>
    <x v="6"/>
    <x v="8"/>
    <n v="1"/>
    <n v="7815"/>
    <n v="0"/>
    <n v="0"/>
    <n v="1406.7"/>
    <n v="306"/>
    <n v="9527.7000000000007"/>
    <x v="1"/>
    <x v="1"/>
    <s v="Delhi"/>
    <x v="5"/>
    <x v="1"/>
    <x v="5"/>
    <x v="1"/>
    <x v="0"/>
    <s v="Delivered"/>
  </r>
  <r>
    <s v="ORD00501"/>
    <x v="129"/>
    <s v="CUST497"/>
    <s v="Anjali"/>
    <x v="0"/>
    <n v="47"/>
    <x v="6"/>
    <x v="0"/>
    <x v="6"/>
    <x v="6"/>
    <n v="1"/>
    <n v="36934"/>
    <n v="20"/>
    <n v="7386.8"/>
    <n v="5318.5"/>
    <n v="83"/>
    <n v="34948.699999999997"/>
    <x v="2"/>
    <x v="0"/>
    <s v="Pune"/>
    <x v="0"/>
    <x v="0"/>
    <x v="1"/>
    <x v="0"/>
    <x v="3"/>
    <s v="Returned"/>
  </r>
  <r>
    <s v="ORD00502"/>
    <x v="152"/>
    <s v="CUST999"/>
    <s v="Vikas"/>
    <x v="1"/>
    <n v="25"/>
    <x v="5"/>
    <x v="0"/>
    <x v="5"/>
    <x v="0"/>
    <n v="4"/>
    <n v="22888"/>
    <n v="0"/>
    <n v="0"/>
    <n v="16479.36"/>
    <n v="377"/>
    <n v="108408.36"/>
    <x v="3"/>
    <x v="0"/>
    <s v="Patiala"/>
    <x v="1"/>
    <x v="1"/>
    <x v="3"/>
    <x v="0"/>
    <x v="0"/>
    <s v="Delivered"/>
  </r>
  <r>
    <s v="ORD00503"/>
    <x v="232"/>
    <s v="CUST157"/>
    <s v="Rahul"/>
    <x v="1"/>
    <n v="27"/>
    <x v="7"/>
    <x v="1"/>
    <x v="7"/>
    <x v="2"/>
    <n v="4"/>
    <n v="36131"/>
    <n v="0"/>
    <n v="0"/>
    <n v="26014.32"/>
    <n v="402"/>
    <n v="170940.32"/>
    <x v="1"/>
    <x v="1"/>
    <s v="Patiala"/>
    <x v="1"/>
    <x v="1"/>
    <x v="1"/>
    <x v="0"/>
    <x v="1"/>
    <s v="Cancelled"/>
  </r>
  <r>
    <s v="ORD00504"/>
    <x v="90"/>
    <s v="CUST469"/>
    <s v="Vikas"/>
    <x v="1"/>
    <n v="43"/>
    <x v="1"/>
    <x v="0"/>
    <x v="1"/>
    <x v="1"/>
    <n v="2"/>
    <n v="1030"/>
    <n v="0"/>
    <n v="0"/>
    <n v="370.8"/>
    <n v="174"/>
    <n v="2604.8000000000002"/>
    <x v="1"/>
    <x v="0"/>
    <s v="Mumbai"/>
    <x v="0"/>
    <x v="0"/>
    <x v="5"/>
    <x v="1"/>
    <x v="2"/>
    <s v="Shipped"/>
  </r>
  <r>
    <s v="ORD00505"/>
    <x v="204"/>
    <s v="CUST453"/>
    <s v="Sneha"/>
    <x v="0"/>
    <n v="55"/>
    <x v="3"/>
    <x v="2"/>
    <x v="3"/>
    <x v="0"/>
    <n v="3"/>
    <n v="22483"/>
    <n v="15"/>
    <n v="10117.35"/>
    <n v="10319.700000000001"/>
    <n v="275"/>
    <n v="67926.350000000006"/>
    <x v="2"/>
    <x v="0"/>
    <s v="Pune"/>
    <x v="0"/>
    <x v="0"/>
    <x v="5"/>
    <x v="0"/>
    <x v="4"/>
    <s v="Cancelled"/>
  </r>
  <r>
    <s v="ORD00506"/>
    <x v="184"/>
    <s v="CUST947"/>
    <s v="Rahul"/>
    <x v="1"/>
    <n v="26"/>
    <x v="5"/>
    <x v="0"/>
    <x v="5"/>
    <x v="1"/>
    <n v="4"/>
    <n v="7865"/>
    <n v="0"/>
    <n v="0"/>
    <n v="5662.8"/>
    <n v="311"/>
    <n v="37433.800000000003"/>
    <x v="0"/>
    <x v="0"/>
    <s v="Delhi"/>
    <x v="5"/>
    <x v="1"/>
    <x v="6"/>
    <x v="0"/>
    <x v="3"/>
    <s v="Cancelled"/>
  </r>
  <r>
    <s v="ORD00507"/>
    <x v="42"/>
    <s v="CUST523"/>
    <s v="Vikas"/>
    <x v="0"/>
    <n v="27"/>
    <x v="7"/>
    <x v="1"/>
    <x v="7"/>
    <x v="5"/>
    <n v="5"/>
    <n v="20520"/>
    <n v="20"/>
    <n v="20520"/>
    <n v="14774.4"/>
    <n v="70"/>
    <n v="96924.4"/>
    <x v="0"/>
    <x v="1"/>
    <s v="Lucknow"/>
    <x v="4"/>
    <x v="1"/>
    <x v="3"/>
    <x v="0"/>
    <x v="4"/>
    <s v="Shipped"/>
  </r>
  <r>
    <s v="ORD00508"/>
    <x v="271"/>
    <s v="CUST968"/>
    <s v="Neha"/>
    <x v="1"/>
    <n v="32"/>
    <x v="8"/>
    <x v="0"/>
    <x v="8"/>
    <x v="3"/>
    <n v="3"/>
    <n v="31680"/>
    <n v="0"/>
    <n v="0"/>
    <n v="17107.2"/>
    <n v="218"/>
    <n v="112365.2"/>
    <x v="3"/>
    <x v="1"/>
    <s v="Chandigarh"/>
    <x v="1"/>
    <x v="1"/>
    <x v="5"/>
    <x v="0"/>
    <x v="4"/>
    <s v="Returned"/>
  </r>
  <r>
    <s v="ORD00509"/>
    <x v="179"/>
    <s v="CUST258"/>
    <s v="Priya"/>
    <x v="0"/>
    <n v="56"/>
    <x v="4"/>
    <x v="0"/>
    <x v="4"/>
    <x v="1"/>
    <n v="5"/>
    <n v="9895"/>
    <n v="20"/>
    <n v="9895"/>
    <n v="7124.4"/>
    <n v="285"/>
    <n v="46989.4"/>
    <x v="1"/>
    <x v="1"/>
    <s v="Chandigarh"/>
    <x v="1"/>
    <x v="1"/>
    <x v="3"/>
    <x v="0"/>
    <x v="3"/>
    <s v="Cancelled"/>
  </r>
  <r>
    <s v="ORD00510"/>
    <x v="272"/>
    <s v="CUST266"/>
    <s v="Karan"/>
    <x v="0"/>
    <n v="48"/>
    <x v="0"/>
    <x v="0"/>
    <x v="0"/>
    <x v="9"/>
    <n v="4"/>
    <n v="11370"/>
    <n v="10"/>
    <n v="4548"/>
    <n v="7367.76"/>
    <n v="129"/>
    <n v="48428.76"/>
    <x v="3"/>
    <x v="1"/>
    <s v="Pune"/>
    <x v="0"/>
    <x v="0"/>
    <x v="1"/>
    <x v="1"/>
    <x v="1"/>
    <s v="Delivered"/>
  </r>
  <r>
    <s v="ORD00511"/>
    <x v="218"/>
    <s v="CUST140"/>
    <s v="Neha"/>
    <x v="1"/>
    <n v="51"/>
    <x v="7"/>
    <x v="1"/>
    <x v="7"/>
    <x v="8"/>
    <n v="1"/>
    <n v="47284"/>
    <n v="15"/>
    <n v="7092.6"/>
    <n v="7234.45"/>
    <n v="432"/>
    <n v="47857.85"/>
    <x v="0"/>
    <x v="0"/>
    <s v="Jaipur"/>
    <x v="2"/>
    <x v="1"/>
    <x v="7"/>
    <x v="0"/>
    <x v="1"/>
    <s v="Shipped"/>
  </r>
  <r>
    <s v="ORD00512"/>
    <x v="115"/>
    <s v="CUST676"/>
    <s v="Riya"/>
    <x v="0"/>
    <n v="49"/>
    <x v="6"/>
    <x v="0"/>
    <x v="6"/>
    <x v="2"/>
    <n v="5"/>
    <n v="15893"/>
    <n v="15"/>
    <n v="11919.75"/>
    <n v="12158.15"/>
    <n v="282"/>
    <n v="79985.399999999994"/>
    <x v="0"/>
    <x v="0"/>
    <s v="Bangalore"/>
    <x v="3"/>
    <x v="2"/>
    <x v="7"/>
    <x v="1"/>
    <x v="1"/>
    <s v="Shipped"/>
  </r>
  <r>
    <s v="ORD00513"/>
    <x v="118"/>
    <s v="CUST214"/>
    <s v="Rahul"/>
    <x v="1"/>
    <n v="24"/>
    <x v="4"/>
    <x v="0"/>
    <x v="4"/>
    <x v="6"/>
    <n v="5"/>
    <n v="27748"/>
    <n v="10"/>
    <n v="13874"/>
    <n v="22475.88"/>
    <n v="237"/>
    <n v="147578.88"/>
    <x v="0"/>
    <x v="0"/>
    <s v="Jaipur"/>
    <x v="2"/>
    <x v="1"/>
    <x v="7"/>
    <x v="1"/>
    <x v="2"/>
    <s v="Shipped"/>
  </r>
  <r>
    <s v="ORD00514"/>
    <x v="238"/>
    <s v="CUST420"/>
    <s v="Karan"/>
    <x v="1"/>
    <n v="30"/>
    <x v="3"/>
    <x v="2"/>
    <x v="3"/>
    <x v="6"/>
    <n v="1"/>
    <n v="48180"/>
    <n v="0"/>
    <n v="0"/>
    <n v="8672.4"/>
    <n v="48"/>
    <n v="56900.4"/>
    <x v="0"/>
    <x v="1"/>
    <s v="Pune"/>
    <x v="0"/>
    <x v="0"/>
    <x v="5"/>
    <x v="0"/>
    <x v="3"/>
    <s v="Delivered"/>
  </r>
  <r>
    <s v="ORD00515"/>
    <x v="273"/>
    <s v="CUST167"/>
    <s v="Sneha"/>
    <x v="0"/>
    <n v="49"/>
    <x v="7"/>
    <x v="1"/>
    <x v="7"/>
    <x v="9"/>
    <n v="3"/>
    <n v="13292"/>
    <n v="15"/>
    <n v="5981.4"/>
    <n v="6101.03"/>
    <n v="233"/>
    <n v="40228.629999999997"/>
    <x v="3"/>
    <x v="0"/>
    <s v="Patiala"/>
    <x v="1"/>
    <x v="1"/>
    <x v="0"/>
    <x v="0"/>
    <x v="1"/>
    <s v="Cancelled"/>
  </r>
  <r>
    <s v="ORD00516"/>
    <x v="39"/>
    <s v="CUST735"/>
    <s v="Vikas"/>
    <x v="0"/>
    <n v="19"/>
    <x v="8"/>
    <x v="0"/>
    <x v="8"/>
    <x v="9"/>
    <n v="4"/>
    <n v="48469"/>
    <n v="20"/>
    <n v="38775.199999999997"/>
    <n v="27918.14"/>
    <n v="368"/>
    <n v="183386.94"/>
    <x v="1"/>
    <x v="1"/>
    <s v="Mumbai"/>
    <x v="0"/>
    <x v="0"/>
    <x v="4"/>
    <x v="0"/>
    <x v="2"/>
    <s v="Shipped"/>
  </r>
  <r>
    <s v="ORD00517"/>
    <x v="144"/>
    <s v="CUST722"/>
    <s v="Riya"/>
    <x v="1"/>
    <n v="53"/>
    <x v="9"/>
    <x v="0"/>
    <x v="9"/>
    <x v="4"/>
    <n v="5"/>
    <n v="31571"/>
    <n v="5"/>
    <n v="7892.75"/>
    <n v="26993.200000000001"/>
    <n v="388"/>
    <n v="177343.45"/>
    <x v="2"/>
    <x v="1"/>
    <s v="Delhi"/>
    <x v="5"/>
    <x v="1"/>
    <x v="9"/>
    <x v="0"/>
    <x v="2"/>
    <s v="Returned"/>
  </r>
  <r>
    <s v="ORD00518"/>
    <x v="209"/>
    <s v="CUST326"/>
    <s v="Riya"/>
    <x v="1"/>
    <n v="23"/>
    <x v="2"/>
    <x v="1"/>
    <x v="2"/>
    <x v="2"/>
    <n v="3"/>
    <n v="48754"/>
    <n v="10"/>
    <n v="14626.2"/>
    <n v="23694.44"/>
    <n v="56"/>
    <n v="155386.23999999999"/>
    <x v="3"/>
    <x v="1"/>
    <s v="Delhi"/>
    <x v="5"/>
    <x v="1"/>
    <x v="1"/>
    <x v="1"/>
    <x v="2"/>
    <s v="Delivered"/>
  </r>
  <r>
    <s v="ORD00519"/>
    <x v="76"/>
    <s v="CUST528"/>
    <s v="Arjun"/>
    <x v="1"/>
    <n v="59"/>
    <x v="7"/>
    <x v="1"/>
    <x v="7"/>
    <x v="7"/>
    <n v="5"/>
    <n v="49241"/>
    <n v="20"/>
    <n v="49241"/>
    <n v="35453.519999999997"/>
    <n v="323"/>
    <n v="232740.52"/>
    <x v="1"/>
    <x v="1"/>
    <s v="Mumbai"/>
    <x v="0"/>
    <x v="0"/>
    <x v="7"/>
    <x v="1"/>
    <x v="3"/>
    <s v="Cancelled"/>
  </r>
  <r>
    <s v="ORD00520"/>
    <x v="150"/>
    <s v="CUST688"/>
    <s v="Amit"/>
    <x v="1"/>
    <n v="52"/>
    <x v="8"/>
    <x v="0"/>
    <x v="8"/>
    <x v="4"/>
    <n v="2"/>
    <n v="17576"/>
    <n v="10"/>
    <n v="3515.2"/>
    <n v="5694.62"/>
    <n v="234"/>
    <n v="37565.42"/>
    <x v="2"/>
    <x v="0"/>
    <s v="Chandigarh"/>
    <x v="1"/>
    <x v="1"/>
    <x v="6"/>
    <x v="1"/>
    <x v="1"/>
    <s v="Shipped"/>
  </r>
  <r>
    <s v="ORD00521"/>
    <x v="65"/>
    <s v="CUST315"/>
    <s v="Sneha"/>
    <x v="1"/>
    <n v="48"/>
    <x v="7"/>
    <x v="1"/>
    <x v="7"/>
    <x v="9"/>
    <n v="4"/>
    <n v="14213"/>
    <n v="5"/>
    <n v="2842.6"/>
    <n v="9721.69"/>
    <n v="74"/>
    <n v="63805.09"/>
    <x v="1"/>
    <x v="0"/>
    <s v="Mumbai"/>
    <x v="0"/>
    <x v="0"/>
    <x v="6"/>
    <x v="1"/>
    <x v="4"/>
    <s v="Shipped"/>
  </r>
  <r>
    <s v="ORD00522"/>
    <x v="64"/>
    <s v="CUST118"/>
    <s v="Riya"/>
    <x v="1"/>
    <n v="35"/>
    <x v="3"/>
    <x v="2"/>
    <x v="3"/>
    <x v="9"/>
    <n v="1"/>
    <n v="43439"/>
    <n v="0"/>
    <n v="0"/>
    <n v="7819.02"/>
    <n v="403"/>
    <n v="51661.02"/>
    <x v="1"/>
    <x v="1"/>
    <s v="Mumbai"/>
    <x v="0"/>
    <x v="0"/>
    <x v="2"/>
    <x v="0"/>
    <x v="0"/>
    <s v="Cancelled"/>
  </r>
  <r>
    <s v="ORD00523"/>
    <x v="274"/>
    <s v="CUST464"/>
    <s v="Sneha"/>
    <x v="1"/>
    <n v="42"/>
    <x v="2"/>
    <x v="1"/>
    <x v="2"/>
    <x v="6"/>
    <n v="1"/>
    <n v="35941"/>
    <n v="5"/>
    <n v="1797.05"/>
    <n v="6145.91"/>
    <n v="20"/>
    <n v="40309.86"/>
    <x v="1"/>
    <x v="1"/>
    <s v="Pune"/>
    <x v="0"/>
    <x v="0"/>
    <x v="9"/>
    <x v="0"/>
    <x v="2"/>
    <s v="Cancelled"/>
  </r>
  <r>
    <s v="ORD00524"/>
    <x v="181"/>
    <s v="CUST436"/>
    <s v="Rahul"/>
    <x v="1"/>
    <n v="56"/>
    <x v="0"/>
    <x v="0"/>
    <x v="0"/>
    <x v="1"/>
    <n v="2"/>
    <n v="6043"/>
    <n v="15"/>
    <n v="1812.9"/>
    <n v="1849.16"/>
    <n v="480"/>
    <n v="12602.26"/>
    <x v="0"/>
    <x v="0"/>
    <s v="Jaipur"/>
    <x v="2"/>
    <x v="1"/>
    <x v="5"/>
    <x v="1"/>
    <x v="4"/>
    <s v="Returned"/>
  </r>
  <r>
    <s v="ORD00525"/>
    <x v="140"/>
    <s v="CUST339"/>
    <s v="Priya"/>
    <x v="1"/>
    <n v="58"/>
    <x v="5"/>
    <x v="0"/>
    <x v="5"/>
    <x v="5"/>
    <n v="3"/>
    <n v="26460"/>
    <n v="5"/>
    <n v="3969"/>
    <n v="13573.98"/>
    <n v="340"/>
    <n v="89324.98"/>
    <x v="2"/>
    <x v="1"/>
    <s v="Chandigarh"/>
    <x v="1"/>
    <x v="1"/>
    <x v="9"/>
    <x v="0"/>
    <x v="1"/>
    <s v="Shipped"/>
  </r>
  <r>
    <s v="ORD00526"/>
    <x v="56"/>
    <s v="CUST440"/>
    <s v="Rahul"/>
    <x v="0"/>
    <n v="51"/>
    <x v="0"/>
    <x v="0"/>
    <x v="0"/>
    <x v="8"/>
    <n v="5"/>
    <n v="37592"/>
    <n v="10"/>
    <n v="18796"/>
    <n v="30449.52"/>
    <n v="380"/>
    <n v="199993.52"/>
    <x v="2"/>
    <x v="1"/>
    <s v="Jaipur"/>
    <x v="2"/>
    <x v="1"/>
    <x v="1"/>
    <x v="1"/>
    <x v="0"/>
    <s v="Shipped"/>
  </r>
  <r>
    <s v="ORD00527"/>
    <x v="138"/>
    <s v="CUST543"/>
    <s v="Karan"/>
    <x v="0"/>
    <n v="57"/>
    <x v="4"/>
    <x v="0"/>
    <x v="4"/>
    <x v="0"/>
    <n v="1"/>
    <n v="21149"/>
    <n v="20"/>
    <n v="4229.8"/>
    <n v="3045.46"/>
    <n v="298"/>
    <n v="20262.66"/>
    <x v="3"/>
    <x v="1"/>
    <s v="Chandigarh"/>
    <x v="1"/>
    <x v="1"/>
    <x v="0"/>
    <x v="1"/>
    <x v="4"/>
    <s v="Delivered"/>
  </r>
  <r>
    <s v="ORD00528"/>
    <x v="26"/>
    <s v="CUST497"/>
    <s v="Neha"/>
    <x v="0"/>
    <n v="29"/>
    <x v="9"/>
    <x v="0"/>
    <x v="9"/>
    <x v="7"/>
    <n v="2"/>
    <n v="7542"/>
    <n v="0"/>
    <n v="0"/>
    <n v="2715.12"/>
    <n v="336"/>
    <n v="18135.12"/>
    <x v="3"/>
    <x v="0"/>
    <s v="Chandigarh"/>
    <x v="1"/>
    <x v="1"/>
    <x v="1"/>
    <x v="0"/>
    <x v="2"/>
    <s v="Delivered"/>
  </r>
  <r>
    <s v="ORD00529"/>
    <x v="207"/>
    <s v="CUST174"/>
    <s v="Neha"/>
    <x v="1"/>
    <n v="44"/>
    <x v="4"/>
    <x v="0"/>
    <x v="4"/>
    <x v="6"/>
    <n v="1"/>
    <n v="13196"/>
    <n v="15"/>
    <n v="1979.4"/>
    <n v="2018.99"/>
    <n v="439"/>
    <n v="13674.59"/>
    <x v="1"/>
    <x v="1"/>
    <s v="Chandigarh"/>
    <x v="1"/>
    <x v="1"/>
    <x v="6"/>
    <x v="1"/>
    <x v="2"/>
    <s v="Delivered"/>
  </r>
  <r>
    <s v="ORD00530"/>
    <x v="248"/>
    <s v="CUST276"/>
    <s v="Anjali"/>
    <x v="0"/>
    <n v="18"/>
    <x v="4"/>
    <x v="0"/>
    <x v="4"/>
    <x v="0"/>
    <n v="4"/>
    <n v="14222"/>
    <n v="0"/>
    <n v="0"/>
    <n v="10239.84"/>
    <n v="498"/>
    <n v="67625.84"/>
    <x v="3"/>
    <x v="0"/>
    <s v="Lucknow"/>
    <x v="4"/>
    <x v="1"/>
    <x v="6"/>
    <x v="1"/>
    <x v="1"/>
    <s v="Cancelled"/>
  </r>
  <r>
    <s v="ORD00531"/>
    <x v="235"/>
    <s v="CUST597"/>
    <s v="Vikas"/>
    <x v="1"/>
    <n v="33"/>
    <x v="1"/>
    <x v="0"/>
    <x v="1"/>
    <x v="7"/>
    <n v="4"/>
    <n v="19887"/>
    <n v="10"/>
    <n v="7954.8"/>
    <n v="12886.78"/>
    <n v="318"/>
    <n v="84797.98"/>
    <x v="0"/>
    <x v="1"/>
    <s v="Mumbai"/>
    <x v="0"/>
    <x v="0"/>
    <x v="9"/>
    <x v="1"/>
    <x v="1"/>
    <s v="Shipped"/>
  </r>
  <r>
    <s v="ORD00532"/>
    <x v="16"/>
    <s v="CUST637"/>
    <s v="Arjun"/>
    <x v="0"/>
    <n v="51"/>
    <x v="9"/>
    <x v="0"/>
    <x v="9"/>
    <x v="0"/>
    <n v="2"/>
    <n v="7873"/>
    <n v="5"/>
    <n v="787.3"/>
    <n v="2692.57"/>
    <n v="155"/>
    <n v="17806.27"/>
    <x v="0"/>
    <x v="0"/>
    <s v="Lucknow"/>
    <x v="4"/>
    <x v="1"/>
    <x v="5"/>
    <x v="1"/>
    <x v="4"/>
    <s v="Shipped"/>
  </r>
  <r>
    <s v="ORD00533"/>
    <x v="10"/>
    <s v="CUST339"/>
    <s v="Rahul"/>
    <x v="0"/>
    <n v="46"/>
    <x v="1"/>
    <x v="0"/>
    <x v="1"/>
    <x v="0"/>
    <n v="1"/>
    <n v="42929"/>
    <n v="20"/>
    <n v="8585.7999999999993"/>
    <n v="6181.78"/>
    <n v="228"/>
    <n v="40752.980000000003"/>
    <x v="3"/>
    <x v="0"/>
    <s v="Delhi"/>
    <x v="5"/>
    <x v="1"/>
    <x v="3"/>
    <x v="0"/>
    <x v="3"/>
    <s v="Shipped"/>
  </r>
  <r>
    <s v="ORD00534"/>
    <x v="33"/>
    <s v="CUST694"/>
    <s v="Karan"/>
    <x v="0"/>
    <n v="43"/>
    <x v="5"/>
    <x v="0"/>
    <x v="5"/>
    <x v="4"/>
    <n v="1"/>
    <n v="41961"/>
    <n v="10"/>
    <n v="4196.1000000000004"/>
    <n v="6797.68"/>
    <n v="63"/>
    <n v="44625.58"/>
    <x v="2"/>
    <x v="1"/>
    <s v="Jaipur"/>
    <x v="2"/>
    <x v="1"/>
    <x v="6"/>
    <x v="1"/>
    <x v="4"/>
    <s v="Shipped"/>
  </r>
  <r>
    <s v="ORD00535"/>
    <x v="68"/>
    <s v="CUST607"/>
    <s v="Amit"/>
    <x v="0"/>
    <n v="60"/>
    <x v="8"/>
    <x v="0"/>
    <x v="8"/>
    <x v="6"/>
    <n v="5"/>
    <n v="6154"/>
    <n v="15"/>
    <n v="4615.5"/>
    <n v="4707.8100000000004"/>
    <n v="460"/>
    <n v="31322.31"/>
    <x v="2"/>
    <x v="1"/>
    <s v="Chandigarh"/>
    <x v="1"/>
    <x v="1"/>
    <x v="3"/>
    <x v="1"/>
    <x v="0"/>
    <s v="Delivered"/>
  </r>
  <r>
    <s v="ORD00536"/>
    <x v="275"/>
    <s v="CUST156"/>
    <s v="Amit"/>
    <x v="1"/>
    <n v="44"/>
    <x v="3"/>
    <x v="2"/>
    <x v="3"/>
    <x v="8"/>
    <n v="2"/>
    <n v="43139"/>
    <n v="20"/>
    <n v="17255.599999999999"/>
    <n v="12424.03"/>
    <n v="165"/>
    <n v="81611.429999999993"/>
    <x v="2"/>
    <x v="0"/>
    <s v="Chandigarh"/>
    <x v="1"/>
    <x v="1"/>
    <x v="0"/>
    <x v="0"/>
    <x v="4"/>
    <s v="Returned"/>
  </r>
  <r>
    <s v="ORD00537"/>
    <x v="79"/>
    <s v="CUST871"/>
    <s v="Amit"/>
    <x v="1"/>
    <n v="26"/>
    <x v="2"/>
    <x v="1"/>
    <x v="2"/>
    <x v="2"/>
    <n v="4"/>
    <n v="39551"/>
    <n v="0"/>
    <n v="0"/>
    <n v="28476.720000000001"/>
    <n v="416"/>
    <n v="187096.72"/>
    <x v="0"/>
    <x v="1"/>
    <s v="Bangalore"/>
    <x v="3"/>
    <x v="2"/>
    <x v="8"/>
    <x v="1"/>
    <x v="1"/>
    <s v="Returned"/>
  </r>
  <r>
    <s v="ORD00538"/>
    <x v="197"/>
    <s v="CUST927"/>
    <s v="Karan"/>
    <x v="0"/>
    <n v="27"/>
    <x v="8"/>
    <x v="0"/>
    <x v="8"/>
    <x v="0"/>
    <n v="4"/>
    <n v="48917"/>
    <n v="0"/>
    <n v="0"/>
    <n v="35220.239999999998"/>
    <n v="296"/>
    <n v="231184.24"/>
    <x v="3"/>
    <x v="1"/>
    <s v="Patiala"/>
    <x v="1"/>
    <x v="1"/>
    <x v="4"/>
    <x v="1"/>
    <x v="1"/>
    <s v="Delivered"/>
  </r>
  <r>
    <s v="ORD00539"/>
    <x v="276"/>
    <s v="CUST185"/>
    <s v="Rahul"/>
    <x v="1"/>
    <n v="47"/>
    <x v="4"/>
    <x v="0"/>
    <x v="4"/>
    <x v="8"/>
    <n v="3"/>
    <n v="40702"/>
    <n v="20"/>
    <n v="24421.200000000001"/>
    <n v="17583.259999999998"/>
    <n v="193"/>
    <n v="115461.06"/>
    <x v="3"/>
    <x v="1"/>
    <s v="Bangalore"/>
    <x v="3"/>
    <x v="2"/>
    <x v="8"/>
    <x v="0"/>
    <x v="2"/>
    <s v="Delivered"/>
  </r>
  <r>
    <s v="ORD00540"/>
    <x v="74"/>
    <s v="CUST546"/>
    <s v="Amit"/>
    <x v="0"/>
    <n v="58"/>
    <x v="8"/>
    <x v="0"/>
    <x v="8"/>
    <x v="8"/>
    <n v="2"/>
    <n v="4559"/>
    <n v="0"/>
    <n v="0"/>
    <n v="1641.24"/>
    <n v="387"/>
    <n v="11146.24"/>
    <x v="0"/>
    <x v="1"/>
    <s v="Patiala"/>
    <x v="1"/>
    <x v="1"/>
    <x v="4"/>
    <x v="1"/>
    <x v="0"/>
    <s v="Returned"/>
  </r>
  <r>
    <s v="ORD00541"/>
    <x v="141"/>
    <s v="CUST504"/>
    <s v="Rahul"/>
    <x v="1"/>
    <n v="34"/>
    <x v="4"/>
    <x v="0"/>
    <x v="4"/>
    <x v="0"/>
    <n v="5"/>
    <n v="2350"/>
    <n v="10"/>
    <n v="1175"/>
    <n v="1903.5"/>
    <n v="454"/>
    <n v="12932.5"/>
    <x v="0"/>
    <x v="1"/>
    <s v="Chandigarh"/>
    <x v="1"/>
    <x v="1"/>
    <x v="9"/>
    <x v="0"/>
    <x v="3"/>
    <s v="Cancelled"/>
  </r>
  <r>
    <s v="ORD00542"/>
    <x v="100"/>
    <s v="CUST543"/>
    <s v="Riya"/>
    <x v="0"/>
    <n v="19"/>
    <x v="4"/>
    <x v="0"/>
    <x v="4"/>
    <x v="3"/>
    <n v="2"/>
    <n v="25923"/>
    <n v="0"/>
    <n v="0"/>
    <n v="9332.2800000000007"/>
    <n v="274"/>
    <n v="61452.28"/>
    <x v="0"/>
    <x v="0"/>
    <s v="Pune"/>
    <x v="0"/>
    <x v="0"/>
    <x v="4"/>
    <x v="1"/>
    <x v="3"/>
    <s v="Delivered"/>
  </r>
  <r>
    <s v="ORD00543"/>
    <x v="9"/>
    <s v="CUST784"/>
    <s v="Sneha"/>
    <x v="0"/>
    <n v="41"/>
    <x v="2"/>
    <x v="1"/>
    <x v="2"/>
    <x v="9"/>
    <n v="5"/>
    <n v="27464"/>
    <n v="20"/>
    <n v="27464"/>
    <n v="19774.080000000002"/>
    <n v="74"/>
    <n v="129704.08"/>
    <x v="1"/>
    <x v="1"/>
    <s v="Mumbai"/>
    <x v="0"/>
    <x v="0"/>
    <x v="6"/>
    <x v="1"/>
    <x v="4"/>
    <s v="Returned"/>
  </r>
  <r>
    <s v="ORD00544"/>
    <x v="277"/>
    <s v="CUST625"/>
    <s v="Vikas"/>
    <x v="0"/>
    <n v="39"/>
    <x v="2"/>
    <x v="1"/>
    <x v="2"/>
    <x v="8"/>
    <n v="3"/>
    <n v="17597"/>
    <n v="5"/>
    <n v="2639.55"/>
    <n v="9027.26"/>
    <n v="297"/>
    <n v="59475.71"/>
    <x v="3"/>
    <x v="1"/>
    <s v="Bangalore"/>
    <x v="3"/>
    <x v="2"/>
    <x v="8"/>
    <x v="1"/>
    <x v="0"/>
    <s v="Cancelled"/>
  </r>
  <r>
    <s v="ORD00545"/>
    <x v="278"/>
    <s v="CUST722"/>
    <s v="Neha"/>
    <x v="1"/>
    <n v="44"/>
    <x v="0"/>
    <x v="0"/>
    <x v="0"/>
    <x v="6"/>
    <n v="5"/>
    <n v="4399"/>
    <n v="0"/>
    <n v="0"/>
    <n v="3959.1"/>
    <n v="41"/>
    <n v="25995.1"/>
    <x v="0"/>
    <x v="1"/>
    <s v="Lucknow"/>
    <x v="4"/>
    <x v="1"/>
    <x v="2"/>
    <x v="1"/>
    <x v="3"/>
    <s v="Delivered"/>
  </r>
  <r>
    <s v="ORD00546"/>
    <x v="128"/>
    <s v="CUST499"/>
    <s v="Amit"/>
    <x v="0"/>
    <n v="46"/>
    <x v="0"/>
    <x v="0"/>
    <x v="0"/>
    <x v="2"/>
    <n v="4"/>
    <n v="16338"/>
    <n v="5"/>
    <n v="3267.6"/>
    <n v="11175.19"/>
    <n v="104"/>
    <n v="73363.59"/>
    <x v="0"/>
    <x v="0"/>
    <s v="Bangalore"/>
    <x v="3"/>
    <x v="2"/>
    <x v="7"/>
    <x v="1"/>
    <x v="4"/>
    <s v="Cancelled"/>
  </r>
  <r>
    <s v="ORD00547"/>
    <x v="279"/>
    <s v="CUST421"/>
    <s v="Priya"/>
    <x v="1"/>
    <n v="23"/>
    <x v="9"/>
    <x v="0"/>
    <x v="9"/>
    <x v="2"/>
    <n v="5"/>
    <n v="41403"/>
    <n v="5"/>
    <n v="10350.75"/>
    <n v="35399.56"/>
    <n v="376"/>
    <n v="232439.82"/>
    <x v="3"/>
    <x v="0"/>
    <s v="Patiala"/>
    <x v="1"/>
    <x v="1"/>
    <x v="1"/>
    <x v="1"/>
    <x v="4"/>
    <s v="Shipped"/>
  </r>
  <r>
    <s v="ORD00548"/>
    <x v="260"/>
    <s v="CUST159"/>
    <s v="Neha"/>
    <x v="0"/>
    <n v="29"/>
    <x v="8"/>
    <x v="0"/>
    <x v="8"/>
    <x v="1"/>
    <n v="2"/>
    <n v="19158"/>
    <n v="5"/>
    <n v="1915.8"/>
    <n v="6552.04"/>
    <n v="419"/>
    <n v="43371.24"/>
    <x v="1"/>
    <x v="1"/>
    <s v="Jaipur"/>
    <x v="2"/>
    <x v="1"/>
    <x v="1"/>
    <x v="1"/>
    <x v="2"/>
    <s v="Cancelled"/>
  </r>
  <r>
    <s v="ORD00549"/>
    <x v="75"/>
    <s v="CUST754"/>
    <s v="Anjali"/>
    <x v="1"/>
    <n v="19"/>
    <x v="4"/>
    <x v="0"/>
    <x v="4"/>
    <x v="1"/>
    <n v="4"/>
    <n v="9541"/>
    <n v="20"/>
    <n v="7632.8"/>
    <n v="5495.62"/>
    <n v="462"/>
    <n v="36488.82"/>
    <x v="1"/>
    <x v="0"/>
    <s v="Mumbai"/>
    <x v="0"/>
    <x v="0"/>
    <x v="3"/>
    <x v="1"/>
    <x v="3"/>
    <s v="Cancelled"/>
  </r>
  <r>
    <s v="ORD00550"/>
    <x v="280"/>
    <s v="CUST731"/>
    <s v="Rahul"/>
    <x v="1"/>
    <n v="23"/>
    <x v="5"/>
    <x v="0"/>
    <x v="5"/>
    <x v="9"/>
    <n v="2"/>
    <n v="37411"/>
    <n v="15"/>
    <n v="11223.3"/>
    <n v="11447.77"/>
    <n v="407"/>
    <n v="75453.47"/>
    <x v="0"/>
    <x v="0"/>
    <s v="Delhi"/>
    <x v="5"/>
    <x v="1"/>
    <x v="0"/>
    <x v="0"/>
    <x v="3"/>
    <s v="Delivered"/>
  </r>
  <r>
    <s v="ORD00551"/>
    <x v="175"/>
    <s v="CUST399"/>
    <s v="Amit"/>
    <x v="1"/>
    <n v="35"/>
    <x v="9"/>
    <x v="0"/>
    <x v="9"/>
    <x v="7"/>
    <n v="3"/>
    <n v="20654"/>
    <n v="10"/>
    <n v="6196.2"/>
    <n v="10037.84"/>
    <n v="467"/>
    <n v="66270.64"/>
    <x v="1"/>
    <x v="1"/>
    <s v="Bangalore"/>
    <x v="3"/>
    <x v="2"/>
    <x v="9"/>
    <x v="1"/>
    <x v="1"/>
    <s v="Shipped"/>
  </r>
  <r>
    <s v="ORD00552"/>
    <x v="70"/>
    <s v="CUST233"/>
    <s v="Riya"/>
    <x v="1"/>
    <n v="55"/>
    <x v="4"/>
    <x v="0"/>
    <x v="4"/>
    <x v="4"/>
    <n v="1"/>
    <n v="20050"/>
    <n v="5"/>
    <n v="1002.5"/>
    <n v="3428.55"/>
    <n v="205"/>
    <n v="22681.05"/>
    <x v="2"/>
    <x v="0"/>
    <s v="Jaipur"/>
    <x v="2"/>
    <x v="1"/>
    <x v="8"/>
    <x v="1"/>
    <x v="2"/>
    <s v="Shipped"/>
  </r>
  <r>
    <s v="ORD00553"/>
    <x v="281"/>
    <s v="CUST112"/>
    <s v="Sneha"/>
    <x v="1"/>
    <n v="60"/>
    <x v="5"/>
    <x v="0"/>
    <x v="5"/>
    <x v="4"/>
    <n v="5"/>
    <n v="26702"/>
    <n v="0"/>
    <n v="0"/>
    <n v="24031.8"/>
    <n v="215"/>
    <n v="157756.79999999999"/>
    <x v="2"/>
    <x v="1"/>
    <s v="Mumbai"/>
    <x v="0"/>
    <x v="0"/>
    <x v="1"/>
    <x v="1"/>
    <x v="1"/>
    <s v="Returned"/>
  </r>
  <r>
    <s v="ORD00554"/>
    <x v="282"/>
    <s v="CUST624"/>
    <s v="Karan"/>
    <x v="1"/>
    <n v="38"/>
    <x v="5"/>
    <x v="0"/>
    <x v="5"/>
    <x v="1"/>
    <n v="1"/>
    <n v="49429"/>
    <n v="0"/>
    <n v="0"/>
    <n v="8897.2199999999993"/>
    <n v="491"/>
    <n v="58817.22"/>
    <x v="2"/>
    <x v="1"/>
    <s v="Patiala"/>
    <x v="1"/>
    <x v="1"/>
    <x v="8"/>
    <x v="1"/>
    <x v="2"/>
    <s v="Cancelled"/>
  </r>
  <r>
    <s v="ORD00555"/>
    <x v="272"/>
    <s v="CUST410"/>
    <s v="Anjali"/>
    <x v="0"/>
    <n v="20"/>
    <x v="1"/>
    <x v="0"/>
    <x v="1"/>
    <x v="7"/>
    <n v="5"/>
    <n v="5569"/>
    <n v="10"/>
    <n v="2784.5"/>
    <n v="4510.8900000000003"/>
    <n v="202"/>
    <n v="29773.39"/>
    <x v="2"/>
    <x v="1"/>
    <s v="Patiala"/>
    <x v="1"/>
    <x v="1"/>
    <x v="0"/>
    <x v="1"/>
    <x v="3"/>
    <s v="Delivered"/>
  </r>
  <r>
    <s v="ORD00556"/>
    <x v="6"/>
    <s v="CUST994"/>
    <s v="Neha"/>
    <x v="0"/>
    <n v="19"/>
    <x v="1"/>
    <x v="0"/>
    <x v="1"/>
    <x v="6"/>
    <n v="1"/>
    <n v="4090"/>
    <n v="0"/>
    <n v="0"/>
    <n v="736.2"/>
    <n v="158"/>
    <n v="4984.2"/>
    <x v="1"/>
    <x v="0"/>
    <s v="Jaipur"/>
    <x v="2"/>
    <x v="1"/>
    <x v="0"/>
    <x v="0"/>
    <x v="2"/>
    <s v="Shipped"/>
  </r>
  <r>
    <s v="ORD00557"/>
    <x v="153"/>
    <s v="CUST131"/>
    <s v="Vikas"/>
    <x v="0"/>
    <n v="41"/>
    <x v="7"/>
    <x v="1"/>
    <x v="7"/>
    <x v="2"/>
    <n v="2"/>
    <n v="36676"/>
    <n v="10"/>
    <n v="7335.2"/>
    <n v="11883.02"/>
    <n v="71"/>
    <n v="77970.820000000007"/>
    <x v="1"/>
    <x v="0"/>
    <s v="Chandigarh"/>
    <x v="1"/>
    <x v="1"/>
    <x v="9"/>
    <x v="1"/>
    <x v="1"/>
    <s v="Shipped"/>
  </r>
  <r>
    <s v="ORD00558"/>
    <x v="283"/>
    <s v="CUST503"/>
    <s v="Vikas"/>
    <x v="0"/>
    <n v="36"/>
    <x v="5"/>
    <x v="0"/>
    <x v="5"/>
    <x v="9"/>
    <n v="3"/>
    <n v="7820"/>
    <n v="5"/>
    <n v="1173"/>
    <n v="4011.66"/>
    <n v="161"/>
    <n v="26459.66"/>
    <x v="0"/>
    <x v="1"/>
    <s v="Chandigarh"/>
    <x v="1"/>
    <x v="1"/>
    <x v="5"/>
    <x v="0"/>
    <x v="4"/>
    <s v="Returned"/>
  </r>
  <r>
    <s v="ORD00559"/>
    <x v="8"/>
    <s v="CUST358"/>
    <s v="Priya"/>
    <x v="1"/>
    <n v="55"/>
    <x v="7"/>
    <x v="1"/>
    <x v="7"/>
    <x v="1"/>
    <n v="2"/>
    <n v="13342"/>
    <n v="0"/>
    <n v="0"/>
    <n v="4803.12"/>
    <n v="174"/>
    <n v="31661.119999999999"/>
    <x v="1"/>
    <x v="0"/>
    <s v="Bangalore"/>
    <x v="3"/>
    <x v="2"/>
    <x v="1"/>
    <x v="0"/>
    <x v="4"/>
    <s v="Cancelled"/>
  </r>
  <r>
    <s v="ORD00560"/>
    <x v="145"/>
    <s v="CUST936"/>
    <s v="Rahul"/>
    <x v="1"/>
    <n v="60"/>
    <x v="7"/>
    <x v="1"/>
    <x v="7"/>
    <x v="0"/>
    <n v="1"/>
    <n v="22384"/>
    <n v="0"/>
    <n v="0"/>
    <n v="4029.12"/>
    <n v="175"/>
    <n v="26588.12"/>
    <x v="0"/>
    <x v="1"/>
    <s v="Delhi"/>
    <x v="5"/>
    <x v="1"/>
    <x v="9"/>
    <x v="1"/>
    <x v="2"/>
    <s v="Returned"/>
  </r>
  <r>
    <s v="ORD00561"/>
    <x v="181"/>
    <s v="CUST242"/>
    <s v="Vikas"/>
    <x v="1"/>
    <n v="45"/>
    <x v="1"/>
    <x v="0"/>
    <x v="1"/>
    <x v="9"/>
    <n v="2"/>
    <n v="22350"/>
    <n v="0"/>
    <n v="0"/>
    <n v="8046"/>
    <n v="119"/>
    <n v="52865"/>
    <x v="2"/>
    <x v="0"/>
    <s v="Jaipur"/>
    <x v="2"/>
    <x v="1"/>
    <x v="7"/>
    <x v="1"/>
    <x v="3"/>
    <s v="Cancelled"/>
  </r>
  <r>
    <s v="ORD00562"/>
    <x v="51"/>
    <s v="CUST697"/>
    <s v="Arjun"/>
    <x v="1"/>
    <n v="36"/>
    <x v="1"/>
    <x v="0"/>
    <x v="1"/>
    <x v="2"/>
    <n v="1"/>
    <n v="30336"/>
    <n v="5"/>
    <n v="1516.8"/>
    <n v="5187.46"/>
    <n v="83"/>
    <n v="34089.660000000003"/>
    <x v="0"/>
    <x v="0"/>
    <s v="Delhi"/>
    <x v="5"/>
    <x v="1"/>
    <x v="7"/>
    <x v="0"/>
    <x v="1"/>
    <s v="Delivered"/>
  </r>
  <r>
    <s v="ORD00563"/>
    <x v="186"/>
    <s v="CUST246"/>
    <s v="Arjun"/>
    <x v="0"/>
    <n v="47"/>
    <x v="6"/>
    <x v="0"/>
    <x v="6"/>
    <x v="4"/>
    <n v="5"/>
    <n v="14793"/>
    <n v="10"/>
    <n v="7396.5"/>
    <n v="11982.33"/>
    <n v="384"/>
    <n v="78934.83"/>
    <x v="3"/>
    <x v="0"/>
    <s v="Delhi"/>
    <x v="5"/>
    <x v="1"/>
    <x v="3"/>
    <x v="1"/>
    <x v="3"/>
    <s v="Shipped"/>
  </r>
  <r>
    <s v="ORD00564"/>
    <x v="1"/>
    <s v="CUST316"/>
    <s v="Neha"/>
    <x v="0"/>
    <n v="33"/>
    <x v="4"/>
    <x v="0"/>
    <x v="4"/>
    <x v="6"/>
    <n v="3"/>
    <n v="38101"/>
    <n v="10"/>
    <n v="11430.3"/>
    <n v="18517.09"/>
    <n v="123"/>
    <n v="121512.79"/>
    <x v="3"/>
    <x v="1"/>
    <s v="Lucknow"/>
    <x v="4"/>
    <x v="1"/>
    <x v="1"/>
    <x v="0"/>
    <x v="0"/>
    <s v="Shipped"/>
  </r>
  <r>
    <s v="ORD00565"/>
    <x v="284"/>
    <s v="CUST777"/>
    <s v="Karan"/>
    <x v="0"/>
    <n v="27"/>
    <x v="3"/>
    <x v="2"/>
    <x v="3"/>
    <x v="2"/>
    <n v="2"/>
    <n v="20386"/>
    <n v="20"/>
    <n v="8154.4"/>
    <n v="5871.17"/>
    <n v="48"/>
    <n v="38536.769999999997"/>
    <x v="3"/>
    <x v="1"/>
    <s v="Pune"/>
    <x v="0"/>
    <x v="0"/>
    <x v="3"/>
    <x v="0"/>
    <x v="0"/>
    <s v="Shipped"/>
  </r>
  <r>
    <s v="ORD00566"/>
    <x v="285"/>
    <s v="CUST689"/>
    <s v="Sneha"/>
    <x v="0"/>
    <n v="28"/>
    <x v="5"/>
    <x v="0"/>
    <x v="5"/>
    <x v="0"/>
    <n v="2"/>
    <n v="12947"/>
    <n v="10"/>
    <n v="2589.4"/>
    <n v="4194.83"/>
    <n v="401"/>
    <n v="27900.43"/>
    <x v="2"/>
    <x v="0"/>
    <s v="Pune"/>
    <x v="0"/>
    <x v="0"/>
    <x v="0"/>
    <x v="1"/>
    <x v="0"/>
    <s v="Cancelled"/>
  </r>
  <r>
    <s v="ORD00567"/>
    <x v="95"/>
    <s v="CUST990"/>
    <s v="Rahul"/>
    <x v="1"/>
    <n v="29"/>
    <x v="3"/>
    <x v="2"/>
    <x v="3"/>
    <x v="7"/>
    <n v="1"/>
    <n v="45669"/>
    <n v="20"/>
    <n v="9133.7999999999993"/>
    <n v="6576.34"/>
    <n v="84"/>
    <n v="43195.54"/>
    <x v="3"/>
    <x v="0"/>
    <s v="Delhi"/>
    <x v="5"/>
    <x v="1"/>
    <x v="7"/>
    <x v="1"/>
    <x v="0"/>
    <s v="Cancelled"/>
  </r>
  <r>
    <s v="ORD00568"/>
    <x v="130"/>
    <s v="CUST662"/>
    <s v="Vikas"/>
    <x v="0"/>
    <n v="27"/>
    <x v="1"/>
    <x v="0"/>
    <x v="1"/>
    <x v="8"/>
    <n v="5"/>
    <n v="32363"/>
    <n v="15"/>
    <n v="24272.25"/>
    <n v="24757.69"/>
    <n v="55"/>
    <n v="162355.45000000001"/>
    <x v="0"/>
    <x v="1"/>
    <s v="Delhi"/>
    <x v="5"/>
    <x v="1"/>
    <x v="1"/>
    <x v="1"/>
    <x v="3"/>
    <s v="Delivered"/>
  </r>
  <r>
    <s v="ORD00569"/>
    <x v="286"/>
    <s v="CUST179"/>
    <s v="Anjali"/>
    <x v="0"/>
    <n v="18"/>
    <x v="5"/>
    <x v="0"/>
    <x v="5"/>
    <x v="9"/>
    <n v="2"/>
    <n v="26083"/>
    <n v="5"/>
    <n v="2608.3000000000002"/>
    <n v="8920.39"/>
    <n v="148"/>
    <n v="58626.09"/>
    <x v="1"/>
    <x v="0"/>
    <s v="Lucknow"/>
    <x v="4"/>
    <x v="1"/>
    <x v="1"/>
    <x v="0"/>
    <x v="2"/>
    <s v="Delivered"/>
  </r>
  <r>
    <s v="ORD00570"/>
    <x v="280"/>
    <s v="CUST155"/>
    <s v="Neha"/>
    <x v="1"/>
    <n v="28"/>
    <x v="5"/>
    <x v="0"/>
    <x v="5"/>
    <x v="6"/>
    <n v="4"/>
    <n v="18529"/>
    <n v="20"/>
    <n v="14823.2"/>
    <n v="10672.7"/>
    <n v="326"/>
    <n v="70291.5"/>
    <x v="0"/>
    <x v="1"/>
    <s v="Bangalore"/>
    <x v="3"/>
    <x v="2"/>
    <x v="3"/>
    <x v="0"/>
    <x v="1"/>
    <s v="Shipped"/>
  </r>
  <r>
    <s v="ORD00571"/>
    <x v="215"/>
    <s v="CUST611"/>
    <s v="Sneha"/>
    <x v="0"/>
    <n v="22"/>
    <x v="1"/>
    <x v="0"/>
    <x v="1"/>
    <x v="0"/>
    <n v="5"/>
    <n v="48092"/>
    <n v="0"/>
    <n v="0"/>
    <n v="43282.8"/>
    <n v="210"/>
    <n v="283952.8"/>
    <x v="2"/>
    <x v="0"/>
    <s v="Lucknow"/>
    <x v="4"/>
    <x v="1"/>
    <x v="2"/>
    <x v="0"/>
    <x v="0"/>
    <s v="Returned"/>
  </r>
  <r>
    <s v="ORD00572"/>
    <x v="63"/>
    <s v="CUST436"/>
    <s v="Riya"/>
    <x v="1"/>
    <n v="28"/>
    <x v="2"/>
    <x v="1"/>
    <x v="2"/>
    <x v="5"/>
    <n v="1"/>
    <n v="46450"/>
    <n v="10"/>
    <n v="4645"/>
    <n v="7524.9"/>
    <n v="11"/>
    <n v="49340.9"/>
    <x v="2"/>
    <x v="0"/>
    <s v="Bangalore"/>
    <x v="3"/>
    <x v="2"/>
    <x v="6"/>
    <x v="0"/>
    <x v="4"/>
    <s v="Delivered"/>
  </r>
  <r>
    <s v="ORD00573"/>
    <x v="287"/>
    <s v="CUST934"/>
    <s v="Anjali"/>
    <x v="1"/>
    <n v="19"/>
    <x v="1"/>
    <x v="0"/>
    <x v="1"/>
    <x v="1"/>
    <n v="2"/>
    <n v="7461"/>
    <n v="5"/>
    <n v="746.1"/>
    <n v="2551.66"/>
    <n v="462"/>
    <n v="17189.560000000001"/>
    <x v="2"/>
    <x v="1"/>
    <s v="Bangalore"/>
    <x v="3"/>
    <x v="2"/>
    <x v="1"/>
    <x v="1"/>
    <x v="4"/>
    <s v="Shipped"/>
  </r>
  <r>
    <s v="ORD00574"/>
    <x v="288"/>
    <s v="CUST596"/>
    <s v="Karan"/>
    <x v="0"/>
    <n v="26"/>
    <x v="6"/>
    <x v="0"/>
    <x v="6"/>
    <x v="9"/>
    <n v="4"/>
    <n v="34693"/>
    <n v="20"/>
    <n v="27754.400000000001"/>
    <n v="19983.169999999998"/>
    <n v="92"/>
    <n v="131092.76999999999"/>
    <x v="3"/>
    <x v="0"/>
    <s v="Mumbai"/>
    <x v="0"/>
    <x v="0"/>
    <x v="4"/>
    <x v="1"/>
    <x v="3"/>
    <s v="Shipped"/>
  </r>
  <r>
    <s v="ORD00575"/>
    <x v="289"/>
    <s v="CUST732"/>
    <s v="Arjun"/>
    <x v="1"/>
    <n v="29"/>
    <x v="5"/>
    <x v="0"/>
    <x v="5"/>
    <x v="6"/>
    <n v="1"/>
    <n v="32825"/>
    <n v="10"/>
    <n v="3282.5"/>
    <n v="5317.65"/>
    <n v="116"/>
    <n v="34976.15"/>
    <x v="1"/>
    <x v="1"/>
    <s v="Delhi"/>
    <x v="5"/>
    <x v="1"/>
    <x v="5"/>
    <x v="1"/>
    <x v="1"/>
    <s v="Delivered"/>
  </r>
  <r>
    <s v="ORD00576"/>
    <x v="117"/>
    <s v="CUST254"/>
    <s v="Neha"/>
    <x v="0"/>
    <n v="33"/>
    <x v="1"/>
    <x v="0"/>
    <x v="1"/>
    <x v="6"/>
    <n v="3"/>
    <n v="10600"/>
    <n v="20"/>
    <n v="6360"/>
    <n v="4579.2"/>
    <n v="129"/>
    <n v="30148.2"/>
    <x v="3"/>
    <x v="0"/>
    <s v="Chandigarh"/>
    <x v="1"/>
    <x v="1"/>
    <x v="3"/>
    <x v="1"/>
    <x v="2"/>
    <s v="Shipped"/>
  </r>
  <r>
    <s v="ORD00577"/>
    <x v="232"/>
    <s v="CUST537"/>
    <s v="Priya"/>
    <x v="0"/>
    <n v="50"/>
    <x v="3"/>
    <x v="2"/>
    <x v="3"/>
    <x v="1"/>
    <n v="3"/>
    <n v="36848"/>
    <n v="5"/>
    <n v="5527.2"/>
    <n v="18903.02"/>
    <n v="368"/>
    <n v="124287.82"/>
    <x v="1"/>
    <x v="1"/>
    <s v="Chandigarh"/>
    <x v="1"/>
    <x v="1"/>
    <x v="2"/>
    <x v="0"/>
    <x v="0"/>
    <s v="Cancelled"/>
  </r>
  <r>
    <s v="ORD00578"/>
    <x v="246"/>
    <s v="CUST858"/>
    <s v="Amit"/>
    <x v="1"/>
    <n v="32"/>
    <x v="3"/>
    <x v="2"/>
    <x v="3"/>
    <x v="6"/>
    <n v="3"/>
    <n v="35709"/>
    <n v="0"/>
    <n v="0"/>
    <n v="19282.86"/>
    <n v="36"/>
    <n v="126445.86"/>
    <x v="0"/>
    <x v="0"/>
    <s v="Delhi"/>
    <x v="5"/>
    <x v="1"/>
    <x v="5"/>
    <x v="0"/>
    <x v="1"/>
    <s v="Shipped"/>
  </r>
  <r>
    <s v="ORD00579"/>
    <x v="173"/>
    <s v="CUST272"/>
    <s v="Priya"/>
    <x v="1"/>
    <n v="27"/>
    <x v="5"/>
    <x v="0"/>
    <x v="5"/>
    <x v="7"/>
    <n v="4"/>
    <n v="20644"/>
    <n v="5"/>
    <n v="4128.8"/>
    <n v="14120.5"/>
    <n v="344"/>
    <n v="92911.7"/>
    <x v="3"/>
    <x v="1"/>
    <s v="Patiala"/>
    <x v="1"/>
    <x v="1"/>
    <x v="4"/>
    <x v="0"/>
    <x v="3"/>
    <s v="Shipped"/>
  </r>
  <r>
    <s v="ORD00580"/>
    <x v="152"/>
    <s v="CUST839"/>
    <s v="Neha"/>
    <x v="1"/>
    <n v="40"/>
    <x v="0"/>
    <x v="0"/>
    <x v="0"/>
    <x v="8"/>
    <n v="2"/>
    <n v="6782"/>
    <n v="10"/>
    <n v="1356.4"/>
    <n v="2197.37"/>
    <n v="59"/>
    <n v="14463.97"/>
    <x v="3"/>
    <x v="0"/>
    <s v="Lucknow"/>
    <x v="4"/>
    <x v="1"/>
    <x v="9"/>
    <x v="0"/>
    <x v="0"/>
    <s v="Delivered"/>
  </r>
  <r>
    <s v="ORD00581"/>
    <x v="290"/>
    <s v="CUST585"/>
    <s v="Neha"/>
    <x v="1"/>
    <n v="33"/>
    <x v="7"/>
    <x v="1"/>
    <x v="7"/>
    <x v="7"/>
    <n v="3"/>
    <n v="30995"/>
    <n v="5"/>
    <n v="4649.25"/>
    <n v="15900.43"/>
    <n v="207"/>
    <n v="104443.18"/>
    <x v="1"/>
    <x v="1"/>
    <s v="Chandigarh"/>
    <x v="1"/>
    <x v="1"/>
    <x v="4"/>
    <x v="0"/>
    <x v="4"/>
    <s v="Shipped"/>
  </r>
  <r>
    <s v="ORD00582"/>
    <x v="4"/>
    <s v="CUST817"/>
    <s v="Priya"/>
    <x v="1"/>
    <n v="19"/>
    <x v="1"/>
    <x v="0"/>
    <x v="1"/>
    <x v="5"/>
    <n v="1"/>
    <n v="31065"/>
    <n v="20"/>
    <n v="6213"/>
    <n v="4473.3599999999997"/>
    <n v="485"/>
    <n v="29810.36"/>
    <x v="1"/>
    <x v="1"/>
    <s v="Patiala"/>
    <x v="1"/>
    <x v="1"/>
    <x v="6"/>
    <x v="1"/>
    <x v="1"/>
    <s v="Delivered"/>
  </r>
  <r>
    <s v="ORD00583"/>
    <x v="158"/>
    <s v="CUST795"/>
    <s v="Arjun"/>
    <x v="1"/>
    <n v="23"/>
    <x v="2"/>
    <x v="1"/>
    <x v="2"/>
    <x v="6"/>
    <n v="4"/>
    <n v="25638"/>
    <n v="5"/>
    <n v="5127.6000000000004"/>
    <n v="17536.39"/>
    <n v="105"/>
    <n v="115065.79"/>
    <x v="0"/>
    <x v="1"/>
    <s v="Patiala"/>
    <x v="1"/>
    <x v="1"/>
    <x v="4"/>
    <x v="0"/>
    <x v="4"/>
    <s v="Shipped"/>
  </r>
  <r>
    <s v="ORD00584"/>
    <x v="253"/>
    <s v="CUST363"/>
    <s v="Neha"/>
    <x v="1"/>
    <n v="44"/>
    <x v="2"/>
    <x v="1"/>
    <x v="2"/>
    <x v="9"/>
    <n v="3"/>
    <n v="36997"/>
    <n v="20"/>
    <n v="22198.2"/>
    <n v="15982.7"/>
    <n v="276"/>
    <n v="105051.5"/>
    <x v="0"/>
    <x v="1"/>
    <s v="Lucknow"/>
    <x v="4"/>
    <x v="1"/>
    <x v="5"/>
    <x v="1"/>
    <x v="2"/>
    <s v="Returned"/>
  </r>
  <r>
    <s v="ORD00585"/>
    <x v="285"/>
    <s v="CUST689"/>
    <s v="Priya"/>
    <x v="0"/>
    <n v="57"/>
    <x v="7"/>
    <x v="1"/>
    <x v="7"/>
    <x v="7"/>
    <n v="2"/>
    <n v="22302"/>
    <n v="0"/>
    <n v="0"/>
    <n v="8028.72"/>
    <n v="137"/>
    <n v="52769.72"/>
    <x v="3"/>
    <x v="0"/>
    <s v="Lucknow"/>
    <x v="4"/>
    <x v="1"/>
    <x v="7"/>
    <x v="1"/>
    <x v="2"/>
    <s v="Cancelled"/>
  </r>
  <r>
    <s v="ORD00586"/>
    <x v="291"/>
    <s v="CUST137"/>
    <s v="Rahul"/>
    <x v="0"/>
    <n v="54"/>
    <x v="7"/>
    <x v="1"/>
    <x v="7"/>
    <x v="3"/>
    <n v="4"/>
    <n v="27890"/>
    <n v="5"/>
    <n v="5578"/>
    <n v="19076.759999999998"/>
    <n v="263"/>
    <n v="125321.76"/>
    <x v="3"/>
    <x v="1"/>
    <s v="Jaipur"/>
    <x v="2"/>
    <x v="1"/>
    <x v="1"/>
    <x v="0"/>
    <x v="4"/>
    <s v="Shipped"/>
  </r>
  <r>
    <s v="ORD00587"/>
    <x v="172"/>
    <s v="CUST910"/>
    <s v="Arjun"/>
    <x v="1"/>
    <n v="43"/>
    <x v="7"/>
    <x v="1"/>
    <x v="7"/>
    <x v="1"/>
    <n v="1"/>
    <n v="3325"/>
    <n v="15"/>
    <n v="498.75"/>
    <n v="508.72"/>
    <n v="182"/>
    <n v="3516.97"/>
    <x v="0"/>
    <x v="1"/>
    <s v="Delhi"/>
    <x v="5"/>
    <x v="1"/>
    <x v="4"/>
    <x v="1"/>
    <x v="4"/>
    <s v="Returned"/>
  </r>
  <r>
    <s v="ORD00588"/>
    <x v="292"/>
    <s v="CUST874"/>
    <s v="Sneha"/>
    <x v="1"/>
    <n v="42"/>
    <x v="1"/>
    <x v="0"/>
    <x v="1"/>
    <x v="9"/>
    <n v="1"/>
    <n v="46035"/>
    <n v="0"/>
    <n v="0"/>
    <n v="8286.2999999999993"/>
    <n v="39"/>
    <n v="54360.3"/>
    <x v="0"/>
    <x v="1"/>
    <s v="Bangalore"/>
    <x v="3"/>
    <x v="2"/>
    <x v="9"/>
    <x v="0"/>
    <x v="2"/>
    <s v="Returned"/>
  </r>
  <r>
    <s v="ORD00589"/>
    <x v="61"/>
    <s v="CUST536"/>
    <s v="Karan"/>
    <x v="1"/>
    <n v="26"/>
    <x v="1"/>
    <x v="0"/>
    <x v="1"/>
    <x v="3"/>
    <n v="4"/>
    <n v="43793"/>
    <n v="0"/>
    <n v="0"/>
    <n v="31530.959999999999"/>
    <n v="187"/>
    <n v="206889.96"/>
    <x v="0"/>
    <x v="1"/>
    <s v="Delhi"/>
    <x v="5"/>
    <x v="1"/>
    <x v="9"/>
    <x v="0"/>
    <x v="4"/>
    <s v="Returned"/>
  </r>
  <r>
    <s v="ORD00590"/>
    <x v="91"/>
    <s v="CUST447"/>
    <s v="Amit"/>
    <x v="1"/>
    <n v="51"/>
    <x v="2"/>
    <x v="1"/>
    <x v="2"/>
    <x v="4"/>
    <n v="1"/>
    <n v="36558"/>
    <n v="10"/>
    <n v="3655.8"/>
    <n v="5922.4"/>
    <n v="204"/>
    <n v="39028.6"/>
    <x v="0"/>
    <x v="0"/>
    <s v="Delhi"/>
    <x v="5"/>
    <x v="1"/>
    <x v="3"/>
    <x v="1"/>
    <x v="2"/>
    <s v="Delivered"/>
  </r>
  <r>
    <s v="ORD00591"/>
    <x v="93"/>
    <s v="CUST336"/>
    <s v="Vikas"/>
    <x v="0"/>
    <n v="22"/>
    <x v="4"/>
    <x v="0"/>
    <x v="4"/>
    <x v="4"/>
    <n v="1"/>
    <n v="11976"/>
    <n v="10"/>
    <n v="1197.5999999999999"/>
    <n v="1940.11"/>
    <n v="188"/>
    <n v="12906.51"/>
    <x v="3"/>
    <x v="1"/>
    <s v="Pune"/>
    <x v="0"/>
    <x v="0"/>
    <x v="7"/>
    <x v="1"/>
    <x v="3"/>
    <s v="Shipped"/>
  </r>
  <r>
    <s v="ORD00592"/>
    <x v="187"/>
    <s v="CUST759"/>
    <s v="Priya"/>
    <x v="1"/>
    <n v="33"/>
    <x v="4"/>
    <x v="0"/>
    <x v="4"/>
    <x v="3"/>
    <n v="2"/>
    <n v="30404"/>
    <n v="15"/>
    <n v="9121.2000000000007"/>
    <n v="9303.6200000000008"/>
    <n v="243"/>
    <n v="61233.42"/>
    <x v="2"/>
    <x v="1"/>
    <s v="Bangalore"/>
    <x v="3"/>
    <x v="2"/>
    <x v="4"/>
    <x v="1"/>
    <x v="2"/>
    <s v="Returned"/>
  </r>
  <r>
    <s v="ORD00593"/>
    <x v="151"/>
    <s v="CUST410"/>
    <s v="Riya"/>
    <x v="1"/>
    <n v="35"/>
    <x v="8"/>
    <x v="0"/>
    <x v="8"/>
    <x v="2"/>
    <n v="5"/>
    <n v="19190"/>
    <n v="15"/>
    <n v="14392.5"/>
    <n v="14680.35"/>
    <n v="285"/>
    <n v="96522.85"/>
    <x v="2"/>
    <x v="1"/>
    <s v="Bangalore"/>
    <x v="3"/>
    <x v="2"/>
    <x v="9"/>
    <x v="1"/>
    <x v="2"/>
    <s v="Cancelled"/>
  </r>
  <r>
    <s v="ORD00594"/>
    <x v="60"/>
    <s v="CUST598"/>
    <s v="Sneha"/>
    <x v="1"/>
    <n v="44"/>
    <x v="5"/>
    <x v="0"/>
    <x v="5"/>
    <x v="8"/>
    <n v="2"/>
    <n v="13865"/>
    <n v="15"/>
    <n v="4159.5"/>
    <n v="4242.6899999999996"/>
    <n v="362"/>
    <n v="28175.19"/>
    <x v="0"/>
    <x v="1"/>
    <s v="Lucknow"/>
    <x v="4"/>
    <x v="1"/>
    <x v="1"/>
    <x v="0"/>
    <x v="0"/>
    <s v="Cancelled"/>
  </r>
  <r>
    <s v="ORD00595"/>
    <x v="5"/>
    <s v="CUST707"/>
    <s v="Amit"/>
    <x v="1"/>
    <n v="20"/>
    <x v="6"/>
    <x v="0"/>
    <x v="6"/>
    <x v="4"/>
    <n v="5"/>
    <n v="45732"/>
    <n v="20"/>
    <n v="45732"/>
    <n v="32927.040000000001"/>
    <n v="346"/>
    <n v="216201.04"/>
    <x v="2"/>
    <x v="0"/>
    <s v="Jaipur"/>
    <x v="2"/>
    <x v="1"/>
    <x v="4"/>
    <x v="0"/>
    <x v="4"/>
    <s v="Cancelled"/>
  </r>
  <r>
    <s v="ORD00596"/>
    <x v="293"/>
    <s v="CUST638"/>
    <s v="Amit"/>
    <x v="0"/>
    <n v="37"/>
    <x v="8"/>
    <x v="0"/>
    <x v="8"/>
    <x v="1"/>
    <n v="3"/>
    <n v="13690"/>
    <n v="0"/>
    <n v="0"/>
    <n v="7392.6"/>
    <n v="496"/>
    <n v="48958.6"/>
    <x v="0"/>
    <x v="0"/>
    <s v="Chandigarh"/>
    <x v="1"/>
    <x v="1"/>
    <x v="6"/>
    <x v="0"/>
    <x v="1"/>
    <s v="Shipped"/>
  </r>
  <r>
    <s v="ORD00597"/>
    <x v="294"/>
    <s v="CUST376"/>
    <s v="Anjali"/>
    <x v="0"/>
    <n v="47"/>
    <x v="6"/>
    <x v="0"/>
    <x v="6"/>
    <x v="8"/>
    <n v="5"/>
    <n v="35073"/>
    <n v="5"/>
    <n v="8768.25"/>
    <n v="29987.41"/>
    <n v="32"/>
    <n v="196616.17"/>
    <x v="3"/>
    <x v="0"/>
    <s v="Pune"/>
    <x v="0"/>
    <x v="0"/>
    <x v="0"/>
    <x v="1"/>
    <x v="4"/>
    <s v="Delivered"/>
  </r>
  <r>
    <s v="ORD00598"/>
    <x v="111"/>
    <s v="CUST497"/>
    <s v="Arjun"/>
    <x v="0"/>
    <n v="56"/>
    <x v="6"/>
    <x v="0"/>
    <x v="6"/>
    <x v="5"/>
    <n v="2"/>
    <n v="24176"/>
    <n v="20"/>
    <n v="9670.4"/>
    <n v="6962.69"/>
    <n v="241"/>
    <n v="45885.29"/>
    <x v="0"/>
    <x v="0"/>
    <s v="Bangalore"/>
    <x v="3"/>
    <x v="2"/>
    <x v="3"/>
    <x v="1"/>
    <x v="3"/>
    <s v="Shipped"/>
  </r>
  <r>
    <s v="ORD00599"/>
    <x v="217"/>
    <s v="CUST439"/>
    <s v="Anjali"/>
    <x v="0"/>
    <n v="28"/>
    <x v="8"/>
    <x v="0"/>
    <x v="8"/>
    <x v="9"/>
    <n v="4"/>
    <n v="3776"/>
    <n v="5"/>
    <n v="755.2"/>
    <n v="2582.7800000000002"/>
    <n v="358"/>
    <n v="17289.580000000002"/>
    <x v="2"/>
    <x v="0"/>
    <s v="Bangalore"/>
    <x v="3"/>
    <x v="2"/>
    <x v="0"/>
    <x v="1"/>
    <x v="4"/>
    <s v="Shipped"/>
  </r>
  <r>
    <s v="ORD00600"/>
    <x v="206"/>
    <s v="CUST431"/>
    <s v="Sneha"/>
    <x v="1"/>
    <n v="48"/>
    <x v="5"/>
    <x v="0"/>
    <x v="5"/>
    <x v="3"/>
    <n v="2"/>
    <n v="31074"/>
    <n v="20"/>
    <n v="12429.6"/>
    <n v="8949.31"/>
    <n v="343"/>
    <n v="59010.71"/>
    <x v="2"/>
    <x v="1"/>
    <s v="Mumbai"/>
    <x v="0"/>
    <x v="0"/>
    <x v="5"/>
    <x v="1"/>
    <x v="1"/>
    <s v="Delivered"/>
  </r>
  <r>
    <s v="ORD00601"/>
    <x v="177"/>
    <s v="CUST143"/>
    <s v="Anjali"/>
    <x v="1"/>
    <n v="55"/>
    <x v="1"/>
    <x v="0"/>
    <x v="1"/>
    <x v="9"/>
    <n v="4"/>
    <n v="34430"/>
    <n v="20"/>
    <n v="27544"/>
    <n v="19831.68"/>
    <n v="63"/>
    <n v="130070.68"/>
    <x v="2"/>
    <x v="1"/>
    <s v="Jaipur"/>
    <x v="2"/>
    <x v="1"/>
    <x v="0"/>
    <x v="1"/>
    <x v="2"/>
    <s v="Cancelled"/>
  </r>
  <r>
    <s v="ORD00602"/>
    <x v="120"/>
    <s v="CUST726"/>
    <s v="Arjun"/>
    <x v="0"/>
    <n v="56"/>
    <x v="9"/>
    <x v="0"/>
    <x v="9"/>
    <x v="4"/>
    <n v="2"/>
    <n v="39830"/>
    <n v="10"/>
    <n v="7966"/>
    <n v="12904.92"/>
    <n v="432"/>
    <n v="85030.92"/>
    <x v="1"/>
    <x v="1"/>
    <s v="Chandigarh"/>
    <x v="1"/>
    <x v="1"/>
    <x v="6"/>
    <x v="1"/>
    <x v="2"/>
    <s v="Returned"/>
  </r>
  <r>
    <s v="ORD00603"/>
    <x v="291"/>
    <s v="CUST767"/>
    <s v="Priya"/>
    <x v="0"/>
    <n v="21"/>
    <x v="9"/>
    <x v="0"/>
    <x v="9"/>
    <x v="2"/>
    <n v="2"/>
    <n v="41119"/>
    <n v="5"/>
    <n v="4111.8999999999996"/>
    <n v="14062.7"/>
    <n v="355"/>
    <n v="92543.8"/>
    <x v="0"/>
    <x v="0"/>
    <s v="Delhi"/>
    <x v="5"/>
    <x v="1"/>
    <x v="5"/>
    <x v="1"/>
    <x v="3"/>
    <s v="Delivered"/>
  </r>
  <r>
    <s v="ORD00604"/>
    <x v="231"/>
    <s v="CUST364"/>
    <s v="Amit"/>
    <x v="1"/>
    <n v="27"/>
    <x v="5"/>
    <x v="0"/>
    <x v="5"/>
    <x v="6"/>
    <n v="2"/>
    <n v="35061"/>
    <n v="5"/>
    <n v="3506.1"/>
    <n v="11990.86"/>
    <n v="303"/>
    <n v="78909.759999999995"/>
    <x v="2"/>
    <x v="0"/>
    <s v="Chandigarh"/>
    <x v="1"/>
    <x v="1"/>
    <x v="4"/>
    <x v="0"/>
    <x v="0"/>
    <s v="Shipped"/>
  </r>
  <r>
    <s v="ORD00605"/>
    <x v="295"/>
    <s v="CUST351"/>
    <s v="Karan"/>
    <x v="1"/>
    <n v="25"/>
    <x v="0"/>
    <x v="0"/>
    <x v="0"/>
    <x v="2"/>
    <n v="5"/>
    <n v="13176"/>
    <n v="20"/>
    <n v="13176"/>
    <n v="9486.7199999999993"/>
    <n v="109"/>
    <n v="62299.72"/>
    <x v="1"/>
    <x v="1"/>
    <s v="Pune"/>
    <x v="0"/>
    <x v="0"/>
    <x v="0"/>
    <x v="1"/>
    <x v="1"/>
    <s v="Cancelled"/>
  </r>
  <r>
    <s v="ORD00606"/>
    <x v="80"/>
    <s v="CUST699"/>
    <s v="Karan"/>
    <x v="1"/>
    <n v="42"/>
    <x v="7"/>
    <x v="1"/>
    <x v="7"/>
    <x v="2"/>
    <n v="5"/>
    <n v="38288"/>
    <n v="10"/>
    <n v="19144"/>
    <n v="31013.279999999999"/>
    <n v="33"/>
    <n v="203342.28"/>
    <x v="0"/>
    <x v="1"/>
    <s v="Chandigarh"/>
    <x v="1"/>
    <x v="1"/>
    <x v="9"/>
    <x v="1"/>
    <x v="2"/>
    <s v="Shipped"/>
  </r>
  <r>
    <s v="ORD00607"/>
    <x v="282"/>
    <s v="CUST372"/>
    <s v="Amit"/>
    <x v="0"/>
    <n v="23"/>
    <x v="2"/>
    <x v="1"/>
    <x v="2"/>
    <x v="0"/>
    <n v="5"/>
    <n v="34595"/>
    <n v="0"/>
    <n v="0"/>
    <n v="31135.5"/>
    <n v="278"/>
    <n v="204388.5"/>
    <x v="1"/>
    <x v="0"/>
    <s v="Chandigarh"/>
    <x v="1"/>
    <x v="1"/>
    <x v="5"/>
    <x v="1"/>
    <x v="1"/>
    <s v="Cancelled"/>
  </r>
  <r>
    <s v="ORD00608"/>
    <x v="296"/>
    <s v="CUST786"/>
    <s v="Vikas"/>
    <x v="1"/>
    <n v="45"/>
    <x v="6"/>
    <x v="0"/>
    <x v="6"/>
    <x v="9"/>
    <n v="4"/>
    <n v="14803"/>
    <n v="5"/>
    <n v="2960.6"/>
    <n v="10125.25"/>
    <n v="444"/>
    <n v="66820.649999999994"/>
    <x v="3"/>
    <x v="0"/>
    <s v="Lucknow"/>
    <x v="4"/>
    <x v="1"/>
    <x v="0"/>
    <x v="0"/>
    <x v="1"/>
    <s v="Delivered"/>
  </r>
  <r>
    <s v="ORD00609"/>
    <x v="97"/>
    <s v="CUST436"/>
    <s v="Karan"/>
    <x v="1"/>
    <n v="23"/>
    <x v="7"/>
    <x v="1"/>
    <x v="7"/>
    <x v="9"/>
    <n v="4"/>
    <n v="46728"/>
    <n v="20"/>
    <n v="37382.400000000001"/>
    <n v="26915.33"/>
    <n v="488"/>
    <n v="176932.93"/>
    <x v="0"/>
    <x v="1"/>
    <s v="Pune"/>
    <x v="0"/>
    <x v="0"/>
    <x v="4"/>
    <x v="0"/>
    <x v="3"/>
    <s v="Shipped"/>
  </r>
  <r>
    <s v="ORD00610"/>
    <x v="294"/>
    <s v="CUST179"/>
    <s v="Amit"/>
    <x v="1"/>
    <n v="56"/>
    <x v="2"/>
    <x v="1"/>
    <x v="2"/>
    <x v="4"/>
    <n v="1"/>
    <n v="27870"/>
    <n v="10"/>
    <n v="2787"/>
    <n v="4514.9399999999996"/>
    <n v="498"/>
    <n v="30095.94"/>
    <x v="0"/>
    <x v="1"/>
    <s v="Delhi"/>
    <x v="5"/>
    <x v="1"/>
    <x v="6"/>
    <x v="1"/>
    <x v="4"/>
    <s v="Returned"/>
  </r>
  <r>
    <s v="ORD00611"/>
    <x v="143"/>
    <s v="CUST167"/>
    <s v="Riya"/>
    <x v="1"/>
    <n v="45"/>
    <x v="2"/>
    <x v="1"/>
    <x v="2"/>
    <x v="8"/>
    <n v="2"/>
    <n v="19119"/>
    <n v="20"/>
    <n v="7647.6"/>
    <n v="5506.27"/>
    <n v="309"/>
    <n v="36405.67"/>
    <x v="0"/>
    <x v="1"/>
    <s v="Jaipur"/>
    <x v="2"/>
    <x v="1"/>
    <x v="8"/>
    <x v="0"/>
    <x v="3"/>
    <s v="Shipped"/>
  </r>
  <r>
    <s v="ORD00612"/>
    <x v="135"/>
    <s v="CUST760"/>
    <s v="Rahul"/>
    <x v="0"/>
    <n v="30"/>
    <x v="7"/>
    <x v="1"/>
    <x v="7"/>
    <x v="6"/>
    <n v="5"/>
    <n v="17738"/>
    <n v="20"/>
    <n v="17738"/>
    <n v="12771.36"/>
    <n v="196"/>
    <n v="83919.360000000001"/>
    <x v="3"/>
    <x v="0"/>
    <s v="Pune"/>
    <x v="0"/>
    <x v="0"/>
    <x v="3"/>
    <x v="0"/>
    <x v="2"/>
    <s v="Cancelled"/>
  </r>
  <r>
    <s v="ORD00613"/>
    <x v="297"/>
    <s v="CUST673"/>
    <s v="Anjali"/>
    <x v="0"/>
    <n v="60"/>
    <x v="2"/>
    <x v="1"/>
    <x v="2"/>
    <x v="8"/>
    <n v="5"/>
    <n v="43569"/>
    <n v="20"/>
    <n v="43569"/>
    <n v="31369.68"/>
    <n v="221"/>
    <n v="205866.68"/>
    <x v="2"/>
    <x v="1"/>
    <s v="Jaipur"/>
    <x v="2"/>
    <x v="1"/>
    <x v="3"/>
    <x v="1"/>
    <x v="2"/>
    <s v="Returned"/>
  </r>
  <r>
    <s v="ORD00614"/>
    <x v="298"/>
    <s v="CUST132"/>
    <s v="Anjali"/>
    <x v="1"/>
    <n v="35"/>
    <x v="2"/>
    <x v="1"/>
    <x v="2"/>
    <x v="7"/>
    <n v="1"/>
    <n v="30905"/>
    <n v="15"/>
    <n v="4635.75"/>
    <n v="4728.47"/>
    <n v="324"/>
    <n v="31321.72"/>
    <x v="1"/>
    <x v="1"/>
    <s v="Pune"/>
    <x v="0"/>
    <x v="0"/>
    <x v="3"/>
    <x v="1"/>
    <x v="0"/>
    <s v="Cancelled"/>
  </r>
  <r>
    <s v="ORD00615"/>
    <x v="181"/>
    <s v="CUST381"/>
    <s v="Riya"/>
    <x v="0"/>
    <n v="58"/>
    <x v="9"/>
    <x v="0"/>
    <x v="9"/>
    <x v="6"/>
    <n v="4"/>
    <n v="41766"/>
    <n v="0"/>
    <n v="0"/>
    <n v="30071.52"/>
    <n v="436"/>
    <n v="197571.52"/>
    <x v="1"/>
    <x v="1"/>
    <s v="Delhi"/>
    <x v="5"/>
    <x v="1"/>
    <x v="9"/>
    <x v="1"/>
    <x v="2"/>
    <s v="Cancelled"/>
  </r>
  <r>
    <s v="ORD00616"/>
    <x v="58"/>
    <s v="CUST751"/>
    <s v="Priya"/>
    <x v="1"/>
    <n v="42"/>
    <x v="4"/>
    <x v="0"/>
    <x v="4"/>
    <x v="7"/>
    <n v="2"/>
    <n v="21383"/>
    <n v="20"/>
    <n v="8553.2000000000007"/>
    <n v="6158.3"/>
    <n v="235"/>
    <n v="40606.1"/>
    <x v="1"/>
    <x v="0"/>
    <s v="Lucknow"/>
    <x v="4"/>
    <x v="1"/>
    <x v="9"/>
    <x v="1"/>
    <x v="1"/>
    <s v="Returned"/>
  </r>
  <r>
    <s v="ORD00617"/>
    <x v="257"/>
    <s v="CUST387"/>
    <s v="Vikas"/>
    <x v="0"/>
    <n v="42"/>
    <x v="9"/>
    <x v="0"/>
    <x v="9"/>
    <x v="4"/>
    <n v="3"/>
    <n v="6996"/>
    <n v="0"/>
    <n v="0"/>
    <n v="3777.84"/>
    <n v="327"/>
    <n v="25092.84"/>
    <x v="0"/>
    <x v="0"/>
    <s v="Chandigarh"/>
    <x v="1"/>
    <x v="1"/>
    <x v="4"/>
    <x v="0"/>
    <x v="2"/>
    <s v="Cancelled"/>
  </r>
  <r>
    <s v="ORD00618"/>
    <x v="188"/>
    <s v="CUST120"/>
    <s v="Sneha"/>
    <x v="1"/>
    <n v="50"/>
    <x v="3"/>
    <x v="2"/>
    <x v="3"/>
    <x v="6"/>
    <n v="4"/>
    <n v="47815"/>
    <n v="10"/>
    <n v="19126"/>
    <n v="30984.12"/>
    <n v="23"/>
    <n v="203141.12"/>
    <x v="3"/>
    <x v="0"/>
    <s v="Pune"/>
    <x v="0"/>
    <x v="0"/>
    <x v="9"/>
    <x v="1"/>
    <x v="1"/>
    <s v="Delivered"/>
  </r>
  <r>
    <s v="ORD00619"/>
    <x v="153"/>
    <s v="CUST540"/>
    <s v="Neha"/>
    <x v="1"/>
    <n v="37"/>
    <x v="9"/>
    <x v="0"/>
    <x v="9"/>
    <x v="0"/>
    <n v="4"/>
    <n v="16140"/>
    <n v="20"/>
    <n v="12912"/>
    <n v="9296.64"/>
    <n v="365"/>
    <n v="61309.64"/>
    <x v="0"/>
    <x v="0"/>
    <s v="Mumbai"/>
    <x v="0"/>
    <x v="0"/>
    <x v="1"/>
    <x v="1"/>
    <x v="0"/>
    <s v="Shipped"/>
  </r>
  <r>
    <s v="ORD00620"/>
    <x v="113"/>
    <s v="CUST394"/>
    <s v="Sneha"/>
    <x v="1"/>
    <n v="43"/>
    <x v="1"/>
    <x v="0"/>
    <x v="1"/>
    <x v="6"/>
    <n v="2"/>
    <n v="1150"/>
    <n v="20"/>
    <n v="460"/>
    <n v="331.2"/>
    <n v="394"/>
    <n v="2565.1999999999998"/>
    <x v="3"/>
    <x v="1"/>
    <s v="Jaipur"/>
    <x v="2"/>
    <x v="1"/>
    <x v="7"/>
    <x v="0"/>
    <x v="2"/>
    <s v="Cancelled"/>
  </r>
  <r>
    <s v="ORD00621"/>
    <x v="270"/>
    <s v="CUST808"/>
    <s v="Vikas"/>
    <x v="0"/>
    <n v="35"/>
    <x v="5"/>
    <x v="0"/>
    <x v="5"/>
    <x v="9"/>
    <n v="5"/>
    <n v="4559"/>
    <n v="20"/>
    <n v="4559"/>
    <n v="3282.48"/>
    <n v="202"/>
    <n v="21720.48"/>
    <x v="1"/>
    <x v="0"/>
    <s v="Chandigarh"/>
    <x v="1"/>
    <x v="1"/>
    <x v="3"/>
    <x v="0"/>
    <x v="0"/>
    <s v="Shipped"/>
  </r>
  <r>
    <s v="ORD00622"/>
    <x v="174"/>
    <s v="CUST948"/>
    <s v="Arjun"/>
    <x v="1"/>
    <n v="51"/>
    <x v="1"/>
    <x v="0"/>
    <x v="1"/>
    <x v="3"/>
    <n v="5"/>
    <n v="40159"/>
    <n v="5"/>
    <n v="10039.75"/>
    <n v="34335.94"/>
    <n v="207"/>
    <n v="225298.2"/>
    <x v="0"/>
    <x v="0"/>
    <s v="Chandigarh"/>
    <x v="1"/>
    <x v="1"/>
    <x v="6"/>
    <x v="1"/>
    <x v="3"/>
    <s v="Cancelled"/>
  </r>
  <r>
    <s v="ORD00623"/>
    <x v="92"/>
    <s v="CUST972"/>
    <s v="Rahul"/>
    <x v="1"/>
    <n v="25"/>
    <x v="3"/>
    <x v="2"/>
    <x v="3"/>
    <x v="7"/>
    <n v="2"/>
    <n v="10985"/>
    <n v="5"/>
    <n v="1098.5"/>
    <n v="3756.87"/>
    <n v="120"/>
    <n v="24748.37"/>
    <x v="3"/>
    <x v="1"/>
    <s v="Pune"/>
    <x v="0"/>
    <x v="0"/>
    <x v="6"/>
    <x v="0"/>
    <x v="1"/>
    <s v="Shipped"/>
  </r>
  <r>
    <s v="ORD00624"/>
    <x v="295"/>
    <s v="CUST314"/>
    <s v="Sneha"/>
    <x v="0"/>
    <n v="29"/>
    <x v="5"/>
    <x v="0"/>
    <x v="5"/>
    <x v="9"/>
    <n v="1"/>
    <n v="36714"/>
    <n v="0"/>
    <n v="0"/>
    <n v="6608.52"/>
    <n v="425"/>
    <n v="43747.519999999997"/>
    <x v="2"/>
    <x v="1"/>
    <s v="Chandigarh"/>
    <x v="1"/>
    <x v="1"/>
    <x v="9"/>
    <x v="0"/>
    <x v="2"/>
    <s v="Cancelled"/>
  </r>
  <r>
    <s v="ORD00625"/>
    <x v="299"/>
    <s v="CUST746"/>
    <s v="Neha"/>
    <x v="0"/>
    <n v="37"/>
    <x v="6"/>
    <x v="0"/>
    <x v="6"/>
    <x v="6"/>
    <n v="1"/>
    <n v="19124"/>
    <n v="10"/>
    <n v="1912.4"/>
    <n v="3098.09"/>
    <n v="257"/>
    <n v="20566.689999999999"/>
    <x v="3"/>
    <x v="1"/>
    <s v="Chandigarh"/>
    <x v="1"/>
    <x v="1"/>
    <x v="4"/>
    <x v="1"/>
    <x v="1"/>
    <s v="Cancelled"/>
  </r>
  <r>
    <s v="ORD00626"/>
    <x v="116"/>
    <s v="CUST682"/>
    <s v="Neha"/>
    <x v="0"/>
    <n v="54"/>
    <x v="9"/>
    <x v="0"/>
    <x v="9"/>
    <x v="6"/>
    <n v="1"/>
    <n v="23713"/>
    <n v="20"/>
    <n v="4742.6000000000004"/>
    <n v="3414.67"/>
    <n v="411"/>
    <n v="22796.07"/>
    <x v="0"/>
    <x v="1"/>
    <s v="Patiala"/>
    <x v="1"/>
    <x v="1"/>
    <x v="3"/>
    <x v="1"/>
    <x v="4"/>
    <s v="Delivered"/>
  </r>
  <r>
    <s v="ORD00627"/>
    <x v="48"/>
    <s v="CUST901"/>
    <s v="Rahul"/>
    <x v="1"/>
    <n v="58"/>
    <x v="1"/>
    <x v="0"/>
    <x v="1"/>
    <x v="2"/>
    <n v="3"/>
    <n v="34710"/>
    <n v="20"/>
    <n v="20826"/>
    <n v="14994.72"/>
    <n v="173"/>
    <n v="98471.72"/>
    <x v="1"/>
    <x v="1"/>
    <s v="Patiala"/>
    <x v="1"/>
    <x v="1"/>
    <x v="0"/>
    <x v="1"/>
    <x v="1"/>
    <s v="Shipped"/>
  </r>
  <r>
    <s v="ORD00628"/>
    <x v="51"/>
    <s v="CUST367"/>
    <s v="Riya"/>
    <x v="1"/>
    <n v="51"/>
    <x v="4"/>
    <x v="0"/>
    <x v="4"/>
    <x v="9"/>
    <n v="3"/>
    <n v="7140"/>
    <n v="0"/>
    <n v="0"/>
    <n v="3855.6"/>
    <n v="484"/>
    <n v="25759.599999999999"/>
    <x v="1"/>
    <x v="1"/>
    <s v="Chandigarh"/>
    <x v="1"/>
    <x v="1"/>
    <x v="2"/>
    <x v="1"/>
    <x v="3"/>
    <s v="Shipped"/>
  </r>
  <r>
    <s v="ORD00629"/>
    <x v="248"/>
    <s v="CUST491"/>
    <s v="Vikas"/>
    <x v="1"/>
    <n v="56"/>
    <x v="4"/>
    <x v="0"/>
    <x v="4"/>
    <x v="5"/>
    <n v="2"/>
    <n v="28239"/>
    <n v="20"/>
    <n v="11295.6"/>
    <n v="8132.83"/>
    <n v="103"/>
    <n v="53418.23"/>
    <x v="2"/>
    <x v="0"/>
    <s v="Lucknow"/>
    <x v="4"/>
    <x v="1"/>
    <x v="2"/>
    <x v="1"/>
    <x v="4"/>
    <s v="Returned"/>
  </r>
  <r>
    <s v="ORD00630"/>
    <x v="103"/>
    <s v="CUST815"/>
    <s v="Karan"/>
    <x v="0"/>
    <n v="49"/>
    <x v="8"/>
    <x v="0"/>
    <x v="8"/>
    <x v="3"/>
    <n v="4"/>
    <n v="48282"/>
    <n v="15"/>
    <n v="28969.200000000001"/>
    <n v="29548.58"/>
    <n v="35"/>
    <n v="193742.38"/>
    <x v="0"/>
    <x v="1"/>
    <s v="Lucknow"/>
    <x v="4"/>
    <x v="1"/>
    <x v="5"/>
    <x v="1"/>
    <x v="4"/>
    <s v="Shipped"/>
  </r>
  <r>
    <s v="ORD00631"/>
    <x v="68"/>
    <s v="CUST824"/>
    <s v="Sneha"/>
    <x v="0"/>
    <n v="26"/>
    <x v="4"/>
    <x v="0"/>
    <x v="4"/>
    <x v="8"/>
    <n v="4"/>
    <n v="32877"/>
    <n v="10"/>
    <n v="13150.8"/>
    <n v="21304.3"/>
    <n v="68"/>
    <n v="139729.5"/>
    <x v="0"/>
    <x v="1"/>
    <s v="Mumbai"/>
    <x v="0"/>
    <x v="0"/>
    <x v="0"/>
    <x v="1"/>
    <x v="3"/>
    <s v="Delivered"/>
  </r>
  <r>
    <s v="ORD00632"/>
    <x v="151"/>
    <s v="CUST617"/>
    <s v="Rahul"/>
    <x v="0"/>
    <n v="23"/>
    <x v="2"/>
    <x v="1"/>
    <x v="2"/>
    <x v="9"/>
    <n v="5"/>
    <n v="6859"/>
    <n v="20"/>
    <n v="6859"/>
    <n v="4938.4799999999996"/>
    <n v="489"/>
    <n v="32863.480000000003"/>
    <x v="3"/>
    <x v="0"/>
    <s v="Mumbai"/>
    <x v="0"/>
    <x v="0"/>
    <x v="6"/>
    <x v="0"/>
    <x v="0"/>
    <s v="Delivered"/>
  </r>
  <r>
    <s v="ORD00633"/>
    <x v="300"/>
    <s v="CUST306"/>
    <s v="Karan"/>
    <x v="0"/>
    <n v="56"/>
    <x v="4"/>
    <x v="0"/>
    <x v="4"/>
    <x v="1"/>
    <n v="5"/>
    <n v="6880"/>
    <n v="5"/>
    <n v="1720"/>
    <n v="5882.4"/>
    <n v="355"/>
    <n v="38917.4"/>
    <x v="1"/>
    <x v="1"/>
    <s v="Chandigarh"/>
    <x v="1"/>
    <x v="1"/>
    <x v="6"/>
    <x v="1"/>
    <x v="1"/>
    <s v="Delivered"/>
  </r>
  <r>
    <s v="ORD00634"/>
    <x v="149"/>
    <s v="CUST306"/>
    <s v="Riya"/>
    <x v="1"/>
    <n v="29"/>
    <x v="9"/>
    <x v="0"/>
    <x v="9"/>
    <x v="0"/>
    <n v="3"/>
    <n v="44405"/>
    <n v="20"/>
    <n v="26643"/>
    <n v="19182.96"/>
    <n v="188"/>
    <n v="125942.96"/>
    <x v="1"/>
    <x v="0"/>
    <s v="Bangalore"/>
    <x v="3"/>
    <x v="2"/>
    <x v="1"/>
    <x v="1"/>
    <x v="3"/>
    <s v="Delivered"/>
  </r>
  <r>
    <s v="ORD00635"/>
    <x v="159"/>
    <s v="CUST946"/>
    <s v="Priya"/>
    <x v="1"/>
    <n v="25"/>
    <x v="7"/>
    <x v="1"/>
    <x v="7"/>
    <x v="2"/>
    <n v="5"/>
    <n v="36886"/>
    <n v="20"/>
    <n v="36886"/>
    <n v="26557.919999999998"/>
    <n v="302"/>
    <n v="174403.92"/>
    <x v="3"/>
    <x v="1"/>
    <s v="Bangalore"/>
    <x v="3"/>
    <x v="2"/>
    <x v="9"/>
    <x v="1"/>
    <x v="3"/>
    <s v="Shipped"/>
  </r>
  <r>
    <s v="ORD00636"/>
    <x v="222"/>
    <s v="CUST310"/>
    <s v="Amit"/>
    <x v="0"/>
    <n v="31"/>
    <x v="8"/>
    <x v="0"/>
    <x v="8"/>
    <x v="8"/>
    <n v="4"/>
    <n v="42144"/>
    <n v="0"/>
    <n v="0"/>
    <n v="30343.68"/>
    <n v="24"/>
    <n v="198943.68"/>
    <x v="0"/>
    <x v="0"/>
    <s v="Pune"/>
    <x v="0"/>
    <x v="0"/>
    <x v="9"/>
    <x v="1"/>
    <x v="0"/>
    <s v="Shipped"/>
  </r>
  <r>
    <s v="ORD00637"/>
    <x v="254"/>
    <s v="CUST101"/>
    <s v="Vikas"/>
    <x v="1"/>
    <n v="28"/>
    <x v="9"/>
    <x v="0"/>
    <x v="9"/>
    <x v="1"/>
    <n v="4"/>
    <n v="48302"/>
    <n v="5"/>
    <n v="9660.4"/>
    <n v="33038.57"/>
    <n v="179"/>
    <n v="216765.17"/>
    <x v="1"/>
    <x v="1"/>
    <s v="Delhi"/>
    <x v="5"/>
    <x v="1"/>
    <x v="9"/>
    <x v="1"/>
    <x v="2"/>
    <s v="Returned"/>
  </r>
  <r>
    <s v="ORD00638"/>
    <x v="106"/>
    <s v="CUST483"/>
    <s v="Vikas"/>
    <x v="1"/>
    <n v="38"/>
    <x v="2"/>
    <x v="1"/>
    <x v="2"/>
    <x v="9"/>
    <n v="2"/>
    <n v="48941"/>
    <n v="20"/>
    <n v="19576.400000000001"/>
    <n v="14095.01"/>
    <n v="140"/>
    <n v="92540.61"/>
    <x v="0"/>
    <x v="0"/>
    <s v="Pune"/>
    <x v="0"/>
    <x v="0"/>
    <x v="2"/>
    <x v="1"/>
    <x v="0"/>
    <s v="Returned"/>
  </r>
  <r>
    <s v="ORD00639"/>
    <x v="16"/>
    <s v="CUST612"/>
    <s v="Arjun"/>
    <x v="0"/>
    <n v="60"/>
    <x v="1"/>
    <x v="0"/>
    <x v="1"/>
    <x v="9"/>
    <n v="3"/>
    <n v="2310"/>
    <n v="0"/>
    <n v="0"/>
    <n v="1247.4000000000001"/>
    <n v="179"/>
    <n v="8356.4"/>
    <x v="2"/>
    <x v="0"/>
    <s v="Patiala"/>
    <x v="1"/>
    <x v="1"/>
    <x v="6"/>
    <x v="1"/>
    <x v="2"/>
    <s v="Shipped"/>
  </r>
  <r>
    <s v="ORD00640"/>
    <x v="119"/>
    <s v="CUST381"/>
    <s v="Anjali"/>
    <x v="0"/>
    <n v="51"/>
    <x v="2"/>
    <x v="1"/>
    <x v="2"/>
    <x v="3"/>
    <n v="3"/>
    <n v="23961"/>
    <n v="15"/>
    <n v="10782.45"/>
    <n v="10998.1"/>
    <n v="321"/>
    <n v="72419.649999999994"/>
    <x v="2"/>
    <x v="0"/>
    <s v="Bangalore"/>
    <x v="3"/>
    <x v="2"/>
    <x v="8"/>
    <x v="1"/>
    <x v="3"/>
    <s v="Delivered"/>
  </r>
  <r>
    <s v="ORD00641"/>
    <x v="243"/>
    <s v="CUST944"/>
    <s v="Neha"/>
    <x v="1"/>
    <n v="46"/>
    <x v="2"/>
    <x v="1"/>
    <x v="2"/>
    <x v="0"/>
    <n v="1"/>
    <n v="4128"/>
    <n v="15"/>
    <n v="619.20000000000005"/>
    <n v="631.58000000000004"/>
    <n v="70"/>
    <n v="4210.38"/>
    <x v="0"/>
    <x v="0"/>
    <s v="Lucknow"/>
    <x v="4"/>
    <x v="1"/>
    <x v="4"/>
    <x v="0"/>
    <x v="1"/>
    <s v="Cancelled"/>
  </r>
  <r>
    <s v="ORD00642"/>
    <x v="239"/>
    <s v="CUST997"/>
    <s v="Riya"/>
    <x v="0"/>
    <n v="51"/>
    <x v="2"/>
    <x v="1"/>
    <x v="2"/>
    <x v="3"/>
    <n v="3"/>
    <n v="11238"/>
    <n v="10"/>
    <n v="3371.4"/>
    <n v="5461.67"/>
    <n v="201"/>
    <n v="36005.269999999997"/>
    <x v="3"/>
    <x v="1"/>
    <s v="Mumbai"/>
    <x v="0"/>
    <x v="0"/>
    <x v="8"/>
    <x v="0"/>
    <x v="0"/>
    <s v="Cancelled"/>
  </r>
  <r>
    <s v="ORD00643"/>
    <x v="21"/>
    <s v="CUST687"/>
    <s v="Amit"/>
    <x v="0"/>
    <n v="38"/>
    <x v="0"/>
    <x v="0"/>
    <x v="0"/>
    <x v="3"/>
    <n v="2"/>
    <n v="46694"/>
    <n v="10"/>
    <n v="9338.7999999999993"/>
    <n v="15128.86"/>
    <n v="86"/>
    <n v="99264.06"/>
    <x v="3"/>
    <x v="0"/>
    <s v="Jaipur"/>
    <x v="2"/>
    <x v="1"/>
    <x v="4"/>
    <x v="0"/>
    <x v="1"/>
    <s v="Shipped"/>
  </r>
  <r>
    <s v="ORD00644"/>
    <x v="25"/>
    <s v="CUST461"/>
    <s v="Priya"/>
    <x v="0"/>
    <n v="35"/>
    <x v="6"/>
    <x v="0"/>
    <x v="6"/>
    <x v="2"/>
    <n v="5"/>
    <n v="34344"/>
    <n v="20"/>
    <n v="34344"/>
    <n v="24727.68"/>
    <n v="473"/>
    <n v="162576.68"/>
    <x v="0"/>
    <x v="1"/>
    <s v="Delhi"/>
    <x v="5"/>
    <x v="1"/>
    <x v="8"/>
    <x v="1"/>
    <x v="4"/>
    <s v="Cancelled"/>
  </r>
  <r>
    <s v="ORD00645"/>
    <x v="24"/>
    <s v="CUST121"/>
    <s v="Neha"/>
    <x v="1"/>
    <n v="22"/>
    <x v="8"/>
    <x v="0"/>
    <x v="8"/>
    <x v="4"/>
    <n v="2"/>
    <n v="36921"/>
    <n v="20"/>
    <n v="14768.4"/>
    <n v="10633.25"/>
    <n v="288"/>
    <n v="69994.850000000006"/>
    <x v="2"/>
    <x v="1"/>
    <s v="Chandigarh"/>
    <x v="1"/>
    <x v="1"/>
    <x v="5"/>
    <x v="1"/>
    <x v="4"/>
    <s v="Cancelled"/>
  </r>
  <r>
    <s v="ORD00646"/>
    <x v="46"/>
    <s v="CUST299"/>
    <s v="Priya"/>
    <x v="0"/>
    <n v="34"/>
    <x v="0"/>
    <x v="0"/>
    <x v="0"/>
    <x v="6"/>
    <n v="3"/>
    <n v="4374"/>
    <n v="20"/>
    <n v="2624.4"/>
    <n v="1889.57"/>
    <n v="36"/>
    <n v="12423.17"/>
    <x v="3"/>
    <x v="1"/>
    <s v="Chandigarh"/>
    <x v="1"/>
    <x v="1"/>
    <x v="7"/>
    <x v="1"/>
    <x v="0"/>
    <s v="Shipped"/>
  </r>
  <r>
    <s v="ORD00647"/>
    <x v="90"/>
    <s v="CUST751"/>
    <s v="Amit"/>
    <x v="0"/>
    <n v="24"/>
    <x v="4"/>
    <x v="0"/>
    <x v="4"/>
    <x v="5"/>
    <n v="5"/>
    <n v="31044"/>
    <n v="20"/>
    <n v="31044"/>
    <n v="22351.68"/>
    <n v="403"/>
    <n v="146930.68"/>
    <x v="3"/>
    <x v="0"/>
    <s v="Jaipur"/>
    <x v="2"/>
    <x v="1"/>
    <x v="8"/>
    <x v="1"/>
    <x v="2"/>
    <s v="Returned"/>
  </r>
  <r>
    <s v="ORD00648"/>
    <x v="117"/>
    <s v="CUST434"/>
    <s v="Riya"/>
    <x v="1"/>
    <n v="57"/>
    <x v="3"/>
    <x v="2"/>
    <x v="3"/>
    <x v="3"/>
    <n v="3"/>
    <n v="43444"/>
    <n v="0"/>
    <n v="0"/>
    <n v="23459.759999999998"/>
    <n v="238"/>
    <n v="154029.76000000001"/>
    <x v="0"/>
    <x v="0"/>
    <s v="Pune"/>
    <x v="0"/>
    <x v="0"/>
    <x v="3"/>
    <x v="0"/>
    <x v="1"/>
    <s v="Shipped"/>
  </r>
  <r>
    <s v="ORD00649"/>
    <x v="131"/>
    <s v="CUST302"/>
    <s v="Vikas"/>
    <x v="0"/>
    <n v="41"/>
    <x v="1"/>
    <x v="0"/>
    <x v="1"/>
    <x v="0"/>
    <n v="2"/>
    <n v="38898"/>
    <n v="10"/>
    <n v="7779.6"/>
    <n v="12602.95"/>
    <n v="277"/>
    <n v="82896.350000000006"/>
    <x v="0"/>
    <x v="0"/>
    <s v="Chandigarh"/>
    <x v="1"/>
    <x v="1"/>
    <x v="3"/>
    <x v="0"/>
    <x v="0"/>
    <s v="Shipped"/>
  </r>
  <r>
    <s v="ORD00650"/>
    <x v="187"/>
    <s v="CUST858"/>
    <s v="Neha"/>
    <x v="1"/>
    <n v="51"/>
    <x v="5"/>
    <x v="0"/>
    <x v="5"/>
    <x v="0"/>
    <n v="3"/>
    <n v="25634"/>
    <n v="20"/>
    <n v="15380.4"/>
    <n v="11073.89"/>
    <n v="490"/>
    <n v="73085.490000000005"/>
    <x v="0"/>
    <x v="0"/>
    <s v="Patiala"/>
    <x v="1"/>
    <x v="1"/>
    <x v="3"/>
    <x v="0"/>
    <x v="0"/>
    <s v="Returned"/>
  </r>
  <r>
    <s v="ORD00651"/>
    <x v="186"/>
    <s v="CUST659"/>
    <s v="Anjali"/>
    <x v="1"/>
    <n v="36"/>
    <x v="4"/>
    <x v="0"/>
    <x v="4"/>
    <x v="3"/>
    <n v="1"/>
    <n v="18070"/>
    <n v="5"/>
    <n v="903.5"/>
    <n v="3089.97"/>
    <n v="495"/>
    <n v="20751.47"/>
    <x v="3"/>
    <x v="0"/>
    <s v="Patiala"/>
    <x v="1"/>
    <x v="1"/>
    <x v="4"/>
    <x v="0"/>
    <x v="1"/>
    <s v="Delivered"/>
  </r>
  <r>
    <s v="ORD00652"/>
    <x v="301"/>
    <s v="CUST265"/>
    <s v="Priya"/>
    <x v="1"/>
    <n v="56"/>
    <x v="1"/>
    <x v="0"/>
    <x v="1"/>
    <x v="2"/>
    <n v="1"/>
    <n v="25503"/>
    <n v="15"/>
    <n v="3825.45"/>
    <n v="3901.96"/>
    <n v="372"/>
    <n v="25951.51"/>
    <x v="3"/>
    <x v="1"/>
    <s v="Patiala"/>
    <x v="1"/>
    <x v="1"/>
    <x v="0"/>
    <x v="1"/>
    <x v="2"/>
    <s v="Returned"/>
  </r>
  <r>
    <s v="ORD00653"/>
    <x v="302"/>
    <s v="CUST130"/>
    <s v="Priya"/>
    <x v="0"/>
    <n v="48"/>
    <x v="5"/>
    <x v="0"/>
    <x v="5"/>
    <x v="1"/>
    <n v="3"/>
    <n v="23347"/>
    <n v="20"/>
    <n v="14008.2"/>
    <n v="10085.9"/>
    <n v="18"/>
    <n v="66136.7"/>
    <x v="3"/>
    <x v="0"/>
    <s v="Jaipur"/>
    <x v="2"/>
    <x v="1"/>
    <x v="1"/>
    <x v="0"/>
    <x v="2"/>
    <s v="Shipped"/>
  </r>
  <r>
    <s v="ORD00654"/>
    <x v="40"/>
    <s v="CUST198"/>
    <s v="Sneha"/>
    <x v="1"/>
    <n v="37"/>
    <x v="9"/>
    <x v="0"/>
    <x v="9"/>
    <x v="9"/>
    <n v="3"/>
    <n v="34998"/>
    <n v="0"/>
    <n v="0"/>
    <n v="18898.919999999998"/>
    <n v="218"/>
    <n v="124110.92"/>
    <x v="3"/>
    <x v="0"/>
    <s v="Chandigarh"/>
    <x v="1"/>
    <x v="1"/>
    <x v="2"/>
    <x v="1"/>
    <x v="4"/>
    <s v="Returned"/>
  </r>
  <r>
    <s v="ORD00655"/>
    <x v="249"/>
    <s v="CUST387"/>
    <s v="Sneha"/>
    <x v="1"/>
    <n v="60"/>
    <x v="7"/>
    <x v="1"/>
    <x v="7"/>
    <x v="6"/>
    <n v="2"/>
    <n v="20237"/>
    <n v="20"/>
    <n v="8094.8"/>
    <n v="5828.26"/>
    <n v="329"/>
    <n v="38536.46"/>
    <x v="2"/>
    <x v="0"/>
    <s v="Jaipur"/>
    <x v="2"/>
    <x v="1"/>
    <x v="2"/>
    <x v="1"/>
    <x v="1"/>
    <s v="Shipped"/>
  </r>
  <r>
    <s v="ORD00656"/>
    <x v="303"/>
    <s v="CUST478"/>
    <s v="Rahul"/>
    <x v="0"/>
    <n v="30"/>
    <x v="8"/>
    <x v="0"/>
    <x v="8"/>
    <x v="0"/>
    <n v="5"/>
    <n v="48600"/>
    <n v="15"/>
    <n v="36450"/>
    <n v="37179"/>
    <n v="201"/>
    <n v="243930"/>
    <x v="3"/>
    <x v="1"/>
    <s v="Pune"/>
    <x v="0"/>
    <x v="0"/>
    <x v="6"/>
    <x v="0"/>
    <x v="0"/>
    <s v="Delivered"/>
  </r>
  <r>
    <s v="ORD00657"/>
    <x v="115"/>
    <s v="CUST328"/>
    <s v="Karan"/>
    <x v="0"/>
    <n v="32"/>
    <x v="0"/>
    <x v="0"/>
    <x v="0"/>
    <x v="3"/>
    <n v="5"/>
    <n v="22607"/>
    <n v="15"/>
    <n v="16955.25"/>
    <n v="17294.349999999999"/>
    <n v="90"/>
    <n v="113464.1"/>
    <x v="2"/>
    <x v="0"/>
    <s v="Mumbai"/>
    <x v="0"/>
    <x v="0"/>
    <x v="4"/>
    <x v="0"/>
    <x v="4"/>
    <s v="Shipped"/>
  </r>
  <r>
    <s v="ORD00658"/>
    <x v="92"/>
    <s v="CUST412"/>
    <s v="Priya"/>
    <x v="1"/>
    <n v="19"/>
    <x v="6"/>
    <x v="0"/>
    <x v="6"/>
    <x v="3"/>
    <n v="3"/>
    <n v="35119"/>
    <n v="10"/>
    <n v="10535.7"/>
    <n v="17067.830000000002"/>
    <n v="267"/>
    <n v="112156.13"/>
    <x v="1"/>
    <x v="0"/>
    <s v="Jaipur"/>
    <x v="2"/>
    <x v="1"/>
    <x v="8"/>
    <x v="1"/>
    <x v="2"/>
    <s v="Shipped"/>
  </r>
  <r>
    <s v="ORD00659"/>
    <x v="304"/>
    <s v="CUST559"/>
    <s v="Rahul"/>
    <x v="0"/>
    <n v="49"/>
    <x v="5"/>
    <x v="0"/>
    <x v="5"/>
    <x v="2"/>
    <n v="1"/>
    <n v="23303"/>
    <n v="10"/>
    <n v="2330.3000000000002"/>
    <n v="3775.09"/>
    <n v="211"/>
    <n v="24958.79"/>
    <x v="2"/>
    <x v="0"/>
    <s v="Delhi"/>
    <x v="5"/>
    <x v="1"/>
    <x v="3"/>
    <x v="1"/>
    <x v="4"/>
    <s v="Delivered"/>
  </r>
  <r>
    <s v="ORD00660"/>
    <x v="305"/>
    <s v="CUST210"/>
    <s v="Priya"/>
    <x v="1"/>
    <n v="47"/>
    <x v="5"/>
    <x v="0"/>
    <x v="5"/>
    <x v="8"/>
    <n v="2"/>
    <n v="47952"/>
    <n v="20"/>
    <n v="19180.8"/>
    <n v="13810.18"/>
    <n v="396"/>
    <n v="90929.38"/>
    <x v="3"/>
    <x v="0"/>
    <s v="Pune"/>
    <x v="0"/>
    <x v="0"/>
    <x v="4"/>
    <x v="0"/>
    <x v="1"/>
    <s v="Shipped"/>
  </r>
  <r>
    <s v="ORD00661"/>
    <x v="169"/>
    <s v="CUST370"/>
    <s v="Vikas"/>
    <x v="1"/>
    <n v="56"/>
    <x v="0"/>
    <x v="0"/>
    <x v="0"/>
    <x v="5"/>
    <n v="5"/>
    <n v="32236"/>
    <n v="0"/>
    <n v="0"/>
    <n v="29012.400000000001"/>
    <n v="327"/>
    <n v="190519.4"/>
    <x v="2"/>
    <x v="0"/>
    <s v="Chandigarh"/>
    <x v="1"/>
    <x v="1"/>
    <x v="4"/>
    <x v="0"/>
    <x v="1"/>
    <s v="Returned"/>
  </r>
  <r>
    <s v="ORD00662"/>
    <x v="303"/>
    <s v="CUST631"/>
    <s v="Amit"/>
    <x v="1"/>
    <n v="29"/>
    <x v="5"/>
    <x v="0"/>
    <x v="5"/>
    <x v="9"/>
    <n v="1"/>
    <n v="35972"/>
    <n v="5"/>
    <n v="1798.6"/>
    <n v="6151.21"/>
    <n v="96"/>
    <n v="40420.61"/>
    <x v="2"/>
    <x v="0"/>
    <s v="Bangalore"/>
    <x v="3"/>
    <x v="2"/>
    <x v="3"/>
    <x v="0"/>
    <x v="1"/>
    <s v="Returned"/>
  </r>
  <r>
    <s v="ORD00663"/>
    <x v="275"/>
    <s v="CUST604"/>
    <s v="Arjun"/>
    <x v="0"/>
    <n v="34"/>
    <x v="8"/>
    <x v="0"/>
    <x v="8"/>
    <x v="0"/>
    <n v="3"/>
    <n v="43548"/>
    <n v="10"/>
    <n v="13064.4"/>
    <n v="21164.33"/>
    <n v="336"/>
    <n v="139079.93"/>
    <x v="2"/>
    <x v="0"/>
    <s v="Patiala"/>
    <x v="1"/>
    <x v="1"/>
    <x v="6"/>
    <x v="0"/>
    <x v="1"/>
    <s v="Returned"/>
  </r>
  <r>
    <s v="ORD00664"/>
    <x v="301"/>
    <s v="CUST334"/>
    <s v="Anjali"/>
    <x v="0"/>
    <n v="54"/>
    <x v="4"/>
    <x v="0"/>
    <x v="4"/>
    <x v="4"/>
    <n v="4"/>
    <n v="7915"/>
    <n v="10"/>
    <n v="3166"/>
    <n v="5128.92"/>
    <n v="361"/>
    <n v="33983.919999999998"/>
    <x v="0"/>
    <x v="0"/>
    <s v="Bangalore"/>
    <x v="3"/>
    <x v="2"/>
    <x v="8"/>
    <x v="1"/>
    <x v="0"/>
    <s v="Returned"/>
  </r>
  <r>
    <s v="ORD00665"/>
    <x v="61"/>
    <s v="CUST718"/>
    <s v="Karan"/>
    <x v="1"/>
    <n v="45"/>
    <x v="9"/>
    <x v="0"/>
    <x v="9"/>
    <x v="5"/>
    <n v="3"/>
    <n v="3759"/>
    <n v="0"/>
    <n v="0"/>
    <n v="2029.86"/>
    <n v="446"/>
    <n v="13752.86"/>
    <x v="1"/>
    <x v="0"/>
    <s v="Jaipur"/>
    <x v="2"/>
    <x v="1"/>
    <x v="1"/>
    <x v="0"/>
    <x v="1"/>
    <s v="Delivered"/>
  </r>
  <r>
    <s v="ORD00666"/>
    <x v="141"/>
    <s v="CUST246"/>
    <s v="Neha"/>
    <x v="1"/>
    <n v="18"/>
    <x v="7"/>
    <x v="1"/>
    <x v="7"/>
    <x v="7"/>
    <n v="1"/>
    <n v="17726"/>
    <n v="10"/>
    <n v="1772.6"/>
    <n v="2871.61"/>
    <n v="165"/>
    <n v="18990.009999999998"/>
    <x v="0"/>
    <x v="0"/>
    <s v="Chandigarh"/>
    <x v="1"/>
    <x v="1"/>
    <x v="6"/>
    <x v="1"/>
    <x v="4"/>
    <s v="Returned"/>
  </r>
  <r>
    <s v="ORD00667"/>
    <x v="135"/>
    <s v="CUST424"/>
    <s v="Priya"/>
    <x v="0"/>
    <n v="56"/>
    <x v="7"/>
    <x v="1"/>
    <x v="7"/>
    <x v="1"/>
    <n v="3"/>
    <n v="13518"/>
    <n v="0"/>
    <n v="0"/>
    <n v="7299.72"/>
    <n v="220"/>
    <n v="48073.72"/>
    <x v="0"/>
    <x v="1"/>
    <s v="Patiala"/>
    <x v="1"/>
    <x v="1"/>
    <x v="7"/>
    <x v="0"/>
    <x v="1"/>
    <s v="Returned"/>
  </r>
  <r>
    <s v="ORD00668"/>
    <x v="266"/>
    <s v="CUST826"/>
    <s v="Karan"/>
    <x v="0"/>
    <n v="43"/>
    <x v="0"/>
    <x v="0"/>
    <x v="0"/>
    <x v="8"/>
    <n v="5"/>
    <n v="48662"/>
    <n v="0"/>
    <n v="0"/>
    <n v="43795.8"/>
    <n v="270"/>
    <n v="287375.8"/>
    <x v="1"/>
    <x v="1"/>
    <s v="Mumbai"/>
    <x v="0"/>
    <x v="0"/>
    <x v="3"/>
    <x v="0"/>
    <x v="4"/>
    <s v="Delivered"/>
  </r>
  <r>
    <s v="ORD00669"/>
    <x v="261"/>
    <s v="CUST867"/>
    <s v="Sneha"/>
    <x v="1"/>
    <n v="32"/>
    <x v="1"/>
    <x v="0"/>
    <x v="1"/>
    <x v="6"/>
    <n v="4"/>
    <n v="48803"/>
    <n v="0"/>
    <n v="0"/>
    <n v="35138.160000000003"/>
    <n v="191"/>
    <n v="230541.16"/>
    <x v="3"/>
    <x v="0"/>
    <s v="Mumbai"/>
    <x v="0"/>
    <x v="0"/>
    <x v="9"/>
    <x v="0"/>
    <x v="2"/>
    <s v="Returned"/>
  </r>
  <r>
    <s v="ORD00670"/>
    <x v="155"/>
    <s v="CUST802"/>
    <s v="Priya"/>
    <x v="0"/>
    <n v="33"/>
    <x v="4"/>
    <x v="0"/>
    <x v="4"/>
    <x v="2"/>
    <n v="1"/>
    <n v="20388"/>
    <n v="0"/>
    <n v="0"/>
    <n v="3669.84"/>
    <n v="118"/>
    <n v="24175.84"/>
    <x v="2"/>
    <x v="0"/>
    <s v="Chandigarh"/>
    <x v="1"/>
    <x v="1"/>
    <x v="9"/>
    <x v="1"/>
    <x v="2"/>
    <s v="Shipped"/>
  </r>
  <r>
    <s v="ORD00671"/>
    <x v="133"/>
    <s v="CUST272"/>
    <s v="Karan"/>
    <x v="0"/>
    <n v="54"/>
    <x v="2"/>
    <x v="1"/>
    <x v="2"/>
    <x v="3"/>
    <n v="1"/>
    <n v="38234"/>
    <n v="15"/>
    <n v="5735.1"/>
    <n v="5849.8"/>
    <n v="117"/>
    <n v="38465.699999999997"/>
    <x v="0"/>
    <x v="0"/>
    <s v="Pune"/>
    <x v="0"/>
    <x v="0"/>
    <x v="4"/>
    <x v="1"/>
    <x v="3"/>
    <s v="Cancelled"/>
  </r>
  <r>
    <s v="ORD00672"/>
    <x v="102"/>
    <s v="CUST650"/>
    <s v="Arjun"/>
    <x v="1"/>
    <n v="26"/>
    <x v="8"/>
    <x v="0"/>
    <x v="8"/>
    <x v="7"/>
    <n v="3"/>
    <n v="36323"/>
    <n v="10"/>
    <n v="10896.9"/>
    <n v="17652.98"/>
    <n v="446"/>
    <n v="116171.08"/>
    <x v="3"/>
    <x v="0"/>
    <s v="Pune"/>
    <x v="0"/>
    <x v="0"/>
    <x v="2"/>
    <x v="0"/>
    <x v="2"/>
    <s v="Delivered"/>
  </r>
  <r>
    <s v="ORD00673"/>
    <x v="225"/>
    <s v="CUST513"/>
    <s v="Riya"/>
    <x v="0"/>
    <n v="28"/>
    <x v="0"/>
    <x v="0"/>
    <x v="0"/>
    <x v="4"/>
    <n v="1"/>
    <n v="37469"/>
    <n v="10"/>
    <n v="3746.9"/>
    <n v="6069.98"/>
    <n v="343"/>
    <n v="40135.08"/>
    <x v="1"/>
    <x v="1"/>
    <s v="Pune"/>
    <x v="0"/>
    <x v="0"/>
    <x v="6"/>
    <x v="1"/>
    <x v="3"/>
    <s v="Shipped"/>
  </r>
  <r>
    <s v="ORD00674"/>
    <x v="119"/>
    <s v="CUST838"/>
    <s v="Amit"/>
    <x v="0"/>
    <n v="40"/>
    <x v="3"/>
    <x v="2"/>
    <x v="3"/>
    <x v="3"/>
    <n v="2"/>
    <n v="8036"/>
    <n v="15"/>
    <n v="2410.8000000000002"/>
    <n v="2459.02"/>
    <n v="129"/>
    <n v="16249.22"/>
    <x v="0"/>
    <x v="1"/>
    <s v="Jaipur"/>
    <x v="2"/>
    <x v="1"/>
    <x v="6"/>
    <x v="1"/>
    <x v="4"/>
    <s v="Returned"/>
  </r>
  <r>
    <s v="ORD00675"/>
    <x v="30"/>
    <s v="CUST753"/>
    <s v="Rahul"/>
    <x v="1"/>
    <n v="34"/>
    <x v="2"/>
    <x v="1"/>
    <x v="2"/>
    <x v="9"/>
    <n v="1"/>
    <n v="7033"/>
    <n v="0"/>
    <n v="0"/>
    <n v="1265.94"/>
    <n v="330"/>
    <n v="8628.94"/>
    <x v="2"/>
    <x v="1"/>
    <s v="Delhi"/>
    <x v="5"/>
    <x v="1"/>
    <x v="7"/>
    <x v="0"/>
    <x v="4"/>
    <s v="Returned"/>
  </r>
  <r>
    <s v="ORD00676"/>
    <x v="262"/>
    <s v="CUST296"/>
    <s v="Rahul"/>
    <x v="1"/>
    <n v="54"/>
    <x v="3"/>
    <x v="2"/>
    <x v="3"/>
    <x v="7"/>
    <n v="3"/>
    <n v="21275"/>
    <n v="10"/>
    <n v="6382.5"/>
    <n v="10339.65"/>
    <n v="126"/>
    <n v="67908.149999999994"/>
    <x v="3"/>
    <x v="0"/>
    <s v="Jaipur"/>
    <x v="2"/>
    <x v="1"/>
    <x v="5"/>
    <x v="1"/>
    <x v="4"/>
    <s v="Returned"/>
  </r>
  <r>
    <s v="ORD00677"/>
    <x v="128"/>
    <s v="CUST344"/>
    <s v="Neha"/>
    <x v="0"/>
    <n v="26"/>
    <x v="1"/>
    <x v="0"/>
    <x v="1"/>
    <x v="0"/>
    <n v="1"/>
    <n v="30273"/>
    <n v="0"/>
    <n v="0"/>
    <n v="5449.14"/>
    <n v="128"/>
    <n v="35850.14"/>
    <x v="1"/>
    <x v="0"/>
    <s v="Lucknow"/>
    <x v="4"/>
    <x v="1"/>
    <x v="2"/>
    <x v="1"/>
    <x v="2"/>
    <s v="Shipped"/>
  </r>
  <r>
    <s v="ORD00678"/>
    <x v="187"/>
    <s v="CUST121"/>
    <s v="Karan"/>
    <x v="0"/>
    <n v="46"/>
    <x v="1"/>
    <x v="0"/>
    <x v="1"/>
    <x v="4"/>
    <n v="5"/>
    <n v="35557"/>
    <n v="20"/>
    <n v="35557"/>
    <n v="25601.040000000001"/>
    <n v="86"/>
    <n v="167915.04"/>
    <x v="2"/>
    <x v="0"/>
    <s v="Mumbai"/>
    <x v="0"/>
    <x v="0"/>
    <x v="7"/>
    <x v="1"/>
    <x v="0"/>
    <s v="Returned"/>
  </r>
  <r>
    <s v="ORD00679"/>
    <x v="306"/>
    <s v="CUST683"/>
    <s v="Sneha"/>
    <x v="1"/>
    <n v="43"/>
    <x v="5"/>
    <x v="0"/>
    <x v="5"/>
    <x v="7"/>
    <n v="4"/>
    <n v="43332"/>
    <n v="20"/>
    <n v="34665.599999999999"/>
    <n v="24959.23"/>
    <n v="354"/>
    <n v="163975.63"/>
    <x v="2"/>
    <x v="1"/>
    <s v="Lucknow"/>
    <x v="4"/>
    <x v="1"/>
    <x v="0"/>
    <x v="1"/>
    <x v="1"/>
    <s v="Delivered"/>
  </r>
  <r>
    <s v="ORD00680"/>
    <x v="205"/>
    <s v="CUST101"/>
    <s v="Arjun"/>
    <x v="1"/>
    <n v="41"/>
    <x v="8"/>
    <x v="0"/>
    <x v="8"/>
    <x v="7"/>
    <n v="5"/>
    <n v="10495"/>
    <n v="10"/>
    <n v="5247.5"/>
    <n v="8500.9500000000007"/>
    <n v="92"/>
    <n v="55820.45"/>
    <x v="3"/>
    <x v="1"/>
    <s v="Patiala"/>
    <x v="1"/>
    <x v="1"/>
    <x v="6"/>
    <x v="0"/>
    <x v="1"/>
    <s v="Delivered"/>
  </r>
  <r>
    <s v="ORD00681"/>
    <x v="229"/>
    <s v="CUST731"/>
    <s v="Arjun"/>
    <x v="0"/>
    <n v="19"/>
    <x v="6"/>
    <x v="0"/>
    <x v="6"/>
    <x v="5"/>
    <n v="4"/>
    <n v="8623"/>
    <n v="5"/>
    <n v="1724.6"/>
    <n v="5898.13"/>
    <n v="358"/>
    <n v="39023.53"/>
    <x v="0"/>
    <x v="1"/>
    <s v="Lucknow"/>
    <x v="4"/>
    <x v="1"/>
    <x v="7"/>
    <x v="1"/>
    <x v="2"/>
    <s v="Returned"/>
  </r>
  <r>
    <s v="ORD00682"/>
    <x v="243"/>
    <s v="CUST427"/>
    <s v="Rahul"/>
    <x v="1"/>
    <n v="33"/>
    <x v="5"/>
    <x v="0"/>
    <x v="5"/>
    <x v="8"/>
    <n v="1"/>
    <n v="12855"/>
    <n v="0"/>
    <n v="0"/>
    <n v="2313.9"/>
    <n v="289"/>
    <n v="15457.9"/>
    <x v="3"/>
    <x v="1"/>
    <s v="Chandigarh"/>
    <x v="1"/>
    <x v="1"/>
    <x v="0"/>
    <x v="1"/>
    <x v="2"/>
    <s v="Delivered"/>
  </r>
  <r>
    <s v="ORD00683"/>
    <x v="94"/>
    <s v="CUST996"/>
    <s v="Arjun"/>
    <x v="0"/>
    <n v="38"/>
    <x v="7"/>
    <x v="1"/>
    <x v="7"/>
    <x v="8"/>
    <n v="5"/>
    <n v="7313"/>
    <n v="10"/>
    <n v="3656.5"/>
    <n v="5923.53"/>
    <n v="78"/>
    <n v="38910.03"/>
    <x v="1"/>
    <x v="0"/>
    <s v="Lucknow"/>
    <x v="4"/>
    <x v="1"/>
    <x v="0"/>
    <x v="1"/>
    <x v="3"/>
    <s v="Shipped"/>
  </r>
  <r>
    <s v="ORD00684"/>
    <x v="307"/>
    <s v="CUST667"/>
    <s v="Karan"/>
    <x v="0"/>
    <n v="29"/>
    <x v="5"/>
    <x v="0"/>
    <x v="5"/>
    <x v="5"/>
    <n v="1"/>
    <n v="19819"/>
    <n v="0"/>
    <n v="0"/>
    <n v="3567.42"/>
    <n v="273"/>
    <n v="23659.42"/>
    <x v="0"/>
    <x v="1"/>
    <s v="Mumbai"/>
    <x v="0"/>
    <x v="0"/>
    <x v="2"/>
    <x v="1"/>
    <x v="2"/>
    <s v="Delivered"/>
  </r>
  <r>
    <s v="ORD00685"/>
    <x v="228"/>
    <s v="CUST835"/>
    <s v="Karan"/>
    <x v="1"/>
    <n v="30"/>
    <x v="0"/>
    <x v="0"/>
    <x v="0"/>
    <x v="7"/>
    <n v="5"/>
    <n v="49125"/>
    <n v="0"/>
    <n v="0"/>
    <n v="44212.5"/>
    <n v="132"/>
    <n v="289969.5"/>
    <x v="2"/>
    <x v="1"/>
    <s v="Lucknow"/>
    <x v="4"/>
    <x v="1"/>
    <x v="9"/>
    <x v="0"/>
    <x v="0"/>
    <s v="Cancelled"/>
  </r>
  <r>
    <s v="ORD00686"/>
    <x v="301"/>
    <s v="CUST384"/>
    <s v="Priya"/>
    <x v="0"/>
    <n v="56"/>
    <x v="3"/>
    <x v="2"/>
    <x v="3"/>
    <x v="3"/>
    <n v="3"/>
    <n v="40023"/>
    <n v="5"/>
    <n v="6003.45"/>
    <n v="20531.8"/>
    <n v="233"/>
    <n v="134830.35"/>
    <x v="0"/>
    <x v="1"/>
    <s v="Jaipur"/>
    <x v="2"/>
    <x v="1"/>
    <x v="0"/>
    <x v="0"/>
    <x v="2"/>
    <s v="Delivered"/>
  </r>
  <r>
    <s v="ORD00687"/>
    <x v="146"/>
    <s v="CUST408"/>
    <s v="Sneha"/>
    <x v="0"/>
    <n v="56"/>
    <x v="0"/>
    <x v="0"/>
    <x v="0"/>
    <x v="4"/>
    <n v="1"/>
    <n v="11177"/>
    <n v="20"/>
    <n v="2235.4"/>
    <n v="1609.49"/>
    <n v="174"/>
    <n v="10725.09"/>
    <x v="2"/>
    <x v="1"/>
    <s v="Jaipur"/>
    <x v="2"/>
    <x v="1"/>
    <x v="3"/>
    <x v="0"/>
    <x v="4"/>
    <s v="Returned"/>
  </r>
  <r>
    <s v="ORD00688"/>
    <x v="307"/>
    <s v="CUST737"/>
    <s v="Priya"/>
    <x v="0"/>
    <n v="44"/>
    <x v="4"/>
    <x v="0"/>
    <x v="4"/>
    <x v="3"/>
    <n v="4"/>
    <n v="43124"/>
    <n v="15"/>
    <n v="25874.400000000001"/>
    <n v="26391.89"/>
    <n v="187"/>
    <n v="173200.49"/>
    <x v="0"/>
    <x v="1"/>
    <s v="Delhi"/>
    <x v="5"/>
    <x v="1"/>
    <x v="6"/>
    <x v="1"/>
    <x v="3"/>
    <s v="Shipped"/>
  </r>
  <r>
    <s v="ORD00689"/>
    <x v="11"/>
    <s v="CUST700"/>
    <s v="Anjali"/>
    <x v="0"/>
    <n v="51"/>
    <x v="4"/>
    <x v="0"/>
    <x v="4"/>
    <x v="9"/>
    <n v="1"/>
    <n v="1063"/>
    <n v="5"/>
    <n v="53.15"/>
    <n v="181.77"/>
    <n v="2"/>
    <n v="1193.6199999999999"/>
    <x v="0"/>
    <x v="0"/>
    <s v="Delhi"/>
    <x v="5"/>
    <x v="1"/>
    <x v="4"/>
    <x v="1"/>
    <x v="4"/>
    <s v="Delivered"/>
  </r>
  <r>
    <s v="ORD00690"/>
    <x v="93"/>
    <s v="CUST234"/>
    <s v="Amit"/>
    <x v="1"/>
    <n v="34"/>
    <x v="4"/>
    <x v="0"/>
    <x v="4"/>
    <x v="5"/>
    <n v="2"/>
    <n v="862"/>
    <n v="0"/>
    <n v="0"/>
    <n v="310.32"/>
    <n v="38"/>
    <n v="2072.3200000000002"/>
    <x v="2"/>
    <x v="1"/>
    <s v="Patiala"/>
    <x v="1"/>
    <x v="1"/>
    <x v="1"/>
    <x v="1"/>
    <x v="4"/>
    <s v="Returned"/>
  </r>
  <r>
    <s v="ORD00691"/>
    <x v="193"/>
    <s v="CUST195"/>
    <s v="Karan"/>
    <x v="0"/>
    <n v="18"/>
    <x v="7"/>
    <x v="1"/>
    <x v="7"/>
    <x v="8"/>
    <n v="3"/>
    <n v="48398"/>
    <n v="0"/>
    <n v="0"/>
    <n v="26134.92"/>
    <n v="450"/>
    <n v="171778.92"/>
    <x v="3"/>
    <x v="0"/>
    <s v="Pune"/>
    <x v="0"/>
    <x v="0"/>
    <x v="0"/>
    <x v="1"/>
    <x v="4"/>
    <s v="Shipped"/>
  </r>
  <r>
    <s v="ORD00692"/>
    <x v="308"/>
    <s v="CUST176"/>
    <s v="Riya"/>
    <x v="1"/>
    <n v="57"/>
    <x v="8"/>
    <x v="0"/>
    <x v="8"/>
    <x v="5"/>
    <n v="4"/>
    <n v="39778"/>
    <n v="10"/>
    <n v="15911.2"/>
    <n v="25776.14"/>
    <n v="252"/>
    <n v="169228.94"/>
    <x v="0"/>
    <x v="0"/>
    <s v="Patiala"/>
    <x v="1"/>
    <x v="1"/>
    <x v="4"/>
    <x v="1"/>
    <x v="4"/>
    <s v="Delivered"/>
  </r>
  <r>
    <s v="ORD00693"/>
    <x v="309"/>
    <s v="CUST511"/>
    <s v="Neha"/>
    <x v="0"/>
    <n v="42"/>
    <x v="7"/>
    <x v="1"/>
    <x v="7"/>
    <x v="7"/>
    <n v="2"/>
    <n v="25407"/>
    <n v="0"/>
    <n v="0"/>
    <n v="9146.52"/>
    <n v="193"/>
    <n v="60153.52"/>
    <x v="3"/>
    <x v="0"/>
    <s v="Chandigarh"/>
    <x v="1"/>
    <x v="1"/>
    <x v="8"/>
    <x v="0"/>
    <x v="3"/>
    <s v="Shipped"/>
  </r>
  <r>
    <s v="ORD00694"/>
    <x v="76"/>
    <s v="CUST471"/>
    <s v="Priya"/>
    <x v="1"/>
    <n v="33"/>
    <x v="3"/>
    <x v="2"/>
    <x v="3"/>
    <x v="2"/>
    <n v="1"/>
    <n v="34030"/>
    <n v="5"/>
    <n v="1701.5"/>
    <n v="5819.13"/>
    <n v="148"/>
    <n v="38295.629999999997"/>
    <x v="0"/>
    <x v="0"/>
    <s v="Patiala"/>
    <x v="1"/>
    <x v="1"/>
    <x v="8"/>
    <x v="1"/>
    <x v="4"/>
    <s v="Delivered"/>
  </r>
  <r>
    <s v="ORD00695"/>
    <x v="76"/>
    <s v="CUST451"/>
    <s v="Rahul"/>
    <x v="0"/>
    <n v="55"/>
    <x v="1"/>
    <x v="0"/>
    <x v="1"/>
    <x v="7"/>
    <n v="2"/>
    <n v="27846"/>
    <n v="20"/>
    <n v="11138.4"/>
    <n v="8019.65"/>
    <n v="421"/>
    <n v="52994.25"/>
    <x v="3"/>
    <x v="1"/>
    <s v="Delhi"/>
    <x v="5"/>
    <x v="1"/>
    <x v="1"/>
    <x v="1"/>
    <x v="4"/>
    <s v="Shipped"/>
  </r>
  <r>
    <s v="ORD00696"/>
    <x v="143"/>
    <s v="CUST876"/>
    <s v="Vikas"/>
    <x v="1"/>
    <n v="52"/>
    <x v="8"/>
    <x v="0"/>
    <x v="8"/>
    <x v="4"/>
    <n v="1"/>
    <n v="38289"/>
    <n v="15"/>
    <n v="5743.35"/>
    <n v="5858.22"/>
    <n v="315"/>
    <n v="38718.870000000003"/>
    <x v="0"/>
    <x v="1"/>
    <s v="Bangalore"/>
    <x v="3"/>
    <x v="2"/>
    <x v="2"/>
    <x v="1"/>
    <x v="2"/>
    <s v="Cancelled"/>
  </r>
  <r>
    <s v="ORD00697"/>
    <x v="135"/>
    <s v="CUST104"/>
    <s v="Sneha"/>
    <x v="0"/>
    <n v="46"/>
    <x v="1"/>
    <x v="0"/>
    <x v="1"/>
    <x v="4"/>
    <n v="3"/>
    <n v="40712"/>
    <n v="0"/>
    <n v="0"/>
    <n v="21984.48"/>
    <n v="238"/>
    <n v="144358.48000000001"/>
    <x v="0"/>
    <x v="1"/>
    <s v="Lucknow"/>
    <x v="4"/>
    <x v="1"/>
    <x v="8"/>
    <x v="0"/>
    <x v="4"/>
    <s v="Cancelled"/>
  </r>
  <r>
    <s v="ORD00698"/>
    <x v="310"/>
    <s v="CUST663"/>
    <s v="Amit"/>
    <x v="0"/>
    <n v="23"/>
    <x v="1"/>
    <x v="0"/>
    <x v="1"/>
    <x v="7"/>
    <n v="1"/>
    <n v="38286"/>
    <n v="5"/>
    <n v="1914.3"/>
    <n v="6546.91"/>
    <n v="264"/>
    <n v="43182.61"/>
    <x v="2"/>
    <x v="1"/>
    <s v="Mumbai"/>
    <x v="0"/>
    <x v="0"/>
    <x v="1"/>
    <x v="1"/>
    <x v="1"/>
    <s v="Shipped"/>
  </r>
  <r>
    <s v="ORD00699"/>
    <x v="157"/>
    <s v="CUST149"/>
    <s v="Arjun"/>
    <x v="1"/>
    <n v="21"/>
    <x v="3"/>
    <x v="2"/>
    <x v="3"/>
    <x v="8"/>
    <n v="3"/>
    <n v="38505"/>
    <n v="10"/>
    <n v="11551.5"/>
    <n v="18713.43"/>
    <n v="469"/>
    <n v="123145.93"/>
    <x v="3"/>
    <x v="0"/>
    <s v="Lucknow"/>
    <x v="4"/>
    <x v="1"/>
    <x v="5"/>
    <x v="0"/>
    <x v="0"/>
    <s v="Delivered"/>
  </r>
  <r>
    <s v="ORD00700"/>
    <x v="202"/>
    <s v="CUST208"/>
    <s v="Arjun"/>
    <x v="0"/>
    <n v="41"/>
    <x v="9"/>
    <x v="0"/>
    <x v="9"/>
    <x v="4"/>
    <n v="1"/>
    <n v="37853"/>
    <n v="20"/>
    <n v="7570.6"/>
    <n v="5450.83"/>
    <n v="363"/>
    <n v="36096.230000000003"/>
    <x v="2"/>
    <x v="0"/>
    <s v="Bangalore"/>
    <x v="3"/>
    <x v="2"/>
    <x v="2"/>
    <x v="0"/>
    <x v="0"/>
    <s v="Cancelled"/>
  </r>
  <r>
    <s v="ORD00701"/>
    <x v="212"/>
    <s v="CUST724"/>
    <s v="Riya"/>
    <x v="0"/>
    <n v="46"/>
    <x v="9"/>
    <x v="0"/>
    <x v="9"/>
    <x v="1"/>
    <n v="1"/>
    <n v="23378"/>
    <n v="5"/>
    <n v="1168.9000000000001"/>
    <n v="3997.64"/>
    <n v="1"/>
    <n v="26207.74"/>
    <x v="0"/>
    <x v="0"/>
    <s v="Pune"/>
    <x v="0"/>
    <x v="0"/>
    <x v="8"/>
    <x v="0"/>
    <x v="3"/>
    <s v="Shipped"/>
  </r>
  <r>
    <s v="ORD00702"/>
    <x v="114"/>
    <s v="CUST758"/>
    <s v="Rahul"/>
    <x v="1"/>
    <n v="48"/>
    <x v="7"/>
    <x v="1"/>
    <x v="7"/>
    <x v="1"/>
    <n v="2"/>
    <n v="34921"/>
    <n v="5"/>
    <n v="3492.1"/>
    <n v="11942.98"/>
    <n v="248"/>
    <n v="78540.88"/>
    <x v="0"/>
    <x v="1"/>
    <s v="Lucknow"/>
    <x v="4"/>
    <x v="1"/>
    <x v="0"/>
    <x v="0"/>
    <x v="2"/>
    <s v="Delivered"/>
  </r>
  <r>
    <s v="ORD00703"/>
    <x v="177"/>
    <s v="CUST573"/>
    <s v="Priya"/>
    <x v="1"/>
    <n v="39"/>
    <x v="5"/>
    <x v="0"/>
    <x v="5"/>
    <x v="2"/>
    <n v="4"/>
    <n v="17871"/>
    <n v="5"/>
    <n v="3574.2"/>
    <n v="12223.76"/>
    <n v="178"/>
    <n v="80311.56"/>
    <x v="2"/>
    <x v="1"/>
    <s v="Patiala"/>
    <x v="1"/>
    <x v="1"/>
    <x v="6"/>
    <x v="0"/>
    <x v="4"/>
    <s v="Returned"/>
  </r>
  <r>
    <s v="ORD00704"/>
    <x v="168"/>
    <s v="CUST950"/>
    <s v="Amit"/>
    <x v="0"/>
    <n v="46"/>
    <x v="6"/>
    <x v="0"/>
    <x v="6"/>
    <x v="1"/>
    <n v="4"/>
    <n v="45708"/>
    <n v="20"/>
    <n v="36566.400000000001"/>
    <n v="26327.81"/>
    <n v="230"/>
    <n v="172823.41"/>
    <x v="0"/>
    <x v="0"/>
    <s v="Delhi"/>
    <x v="5"/>
    <x v="1"/>
    <x v="3"/>
    <x v="1"/>
    <x v="1"/>
    <s v="Returned"/>
  </r>
  <r>
    <s v="ORD00705"/>
    <x v="79"/>
    <s v="CUST915"/>
    <s v="Priya"/>
    <x v="0"/>
    <n v="45"/>
    <x v="2"/>
    <x v="1"/>
    <x v="2"/>
    <x v="5"/>
    <n v="4"/>
    <n v="30414"/>
    <n v="5"/>
    <n v="6082.8"/>
    <n v="20803.18"/>
    <n v="367"/>
    <n v="136743.38"/>
    <x v="0"/>
    <x v="1"/>
    <s v="Jaipur"/>
    <x v="2"/>
    <x v="1"/>
    <x v="6"/>
    <x v="0"/>
    <x v="1"/>
    <s v="Shipped"/>
  </r>
  <r>
    <s v="ORD00706"/>
    <x v="204"/>
    <s v="CUST482"/>
    <s v="Amit"/>
    <x v="1"/>
    <n v="28"/>
    <x v="5"/>
    <x v="0"/>
    <x v="5"/>
    <x v="0"/>
    <n v="3"/>
    <n v="20894"/>
    <n v="15"/>
    <n v="9402.2999999999993"/>
    <n v="9590.35"/>
    <n v="68"/>
    <n v="62938.05"/>
    <x v="2"/>
    <x v="1"/>
    <s v="Mumbai"/>
    <x v="0"/>
    <x v="0"/>
    <x v="0"/>
    <x v="1"/>
    <x v="4"/>
    <s v="Cancelled"/>
  </r>
  <r>
    <s v="ORD00707"/>
    <x v="15"/>
    <s v="CUST346"/>
    <s v="Vikas"/>
    <x v="0"/>
    <n v="35"/>
    <x v="7"/>
    <x v="1"/>
    <x v="7"/>
    <x v="8"/>
    <n v="1"/>
    <n v="9009"/>
    <n v="15"/>
    <n v="1351.35"/>
    <n v="1378.38"/>
    <n v="466"/>
    <n v="9502.0300000000007"/>
    <x v="2"/>
    <x v="1"/>
    <s v="Jaipur"/>
    <x v="2"/>
    <x v="1"/>
    <x v="5"/>
    <x v="1"/>
    <x v="3"/>
    <s v="Delivered"/>
  </r>
  <r>
    <s v="ORD00708"/>
    <x v="179"/>
    <s v="CUST301"/>
    <s v="Neha"/>
    <x v="0"/>
    <n v="36"/>
    <x v="0"/>
    <x v="0"/>
    <x v="0"/>
    <x v="4"/>
    <n v="4"/>
    <n v="40980"/>
    <n v="20"/>
    <n v="32784"/>
    <n v="23604.48"/>
    <n v="302"/>
    <n v="155042.48000000001"/>
    <x v="2"/>
    <x v="1"/>
    <s v="Lucknow"/>
    <x v="4"/>
    <x v="1"/>
    <x v="3"/>
    <x v="1"/>
    <x v="3"/>
    <s v="Delivered"/>
  </r>
  <r>
    <s v="ORD00709"/>
    <x v="311"/>
    <s v="CUST682"/>
    <s v="Karan"/>
    <x v="1"/>
    <n v="53"/>
    <x v="9"/>
    <x v="0"/>
    <x v="9"/>
    <x v="7"/>
    <n v="4"/>
    <n v="17805"/>
    <n v="5"/>
    <n v="3561"/>
    <n v="12178.62"/>
    <n v="278"/>
    <n v="80115.62"/>
    <x v="0"/>
    <x v="1"/>
    <s v="Chandigarh"/>
    <x v="1"/>
    <x v="1"/>
    <x v="9"/>
    <x v="1"/>
    <x v="1"/>
    <s v="Cancelled"/>
  </r>
  <r>
    <s v="ORD00710"/>
    <x v="221"/>
    <s v="CUST202"/>
    <s v="Arjun"/>
    <x v="0"/>
    <n v="56"/>
    <x v="8"/>
    <x v="0"/>
    <x v="8"/>
    <x v="8"/>
    <n v="3"/>
    <n v="27997"/>
    <n v="10"/>
    <n v="8399.1"/>
    <n v="13606.54"/>
    <n v="430"/>
    <n v="89628.44"/>
    <x v="1"/>
    <x v="0"/>
    <s v="Bangalore"/>
    <x v="3"/>
    <x v="2"/>
    <x v="5"/>
    <x v="1"/>
    <x v="0"/>
    <s v="Delivered"/>
  </r>
  <r>
    <s v="ORD00711"/>
    <x v="0"/>
    <s v="CUST256"/>
    <s v="Vikas"/>
    <x v="0"/>
    <n v="58"/>
    <x v="0"/>
    <x v="0"/>
    <x v="0"/>
    <x v="7"/>
    <n v="3"/>
    <n v="16676"/>
    <n v="5"/>
    <n v="2501.4"/>
    <n v="8554.7900000000009"/>
    <n v="328"/>
    <n v="56409.39"/>
    <x v="2"/>
    <x v="1"/>
    <s v="Pune"/>
    <x v="0"/>
    <x v="0"/>
    <x v="0"/>
    <x v="0"/>
    <x v="0"/>
    <s v="Delivered"/>
  </r>
  <r>
    <s v="ORD00712"/>
    <x v="312"/>
    <s v="CUST690"/>
    <s v="Amit"/>
    <x v="1"/>
    <n v="50"/>
    <x v="4"/>
    <x v="0"/>
    <x v="4"/>
    <x v="0"/>
    <n v="1"/>
    <n v="29242"/>
    <n v="20"/>
    <n v="5848.4"/>
    <n v="4210.8500000000004"/>
    <n v="375"/>
    <n v="27979.45"/>
    <x v="2"/>
    <x v="1"/>
    <s v="Bangalore"/>
    <x v="3"/>
    <x v="2"/>
    <x v="2"/>
    <x v="0"/>
    <x v="1"/>
    <s v="Cancelled"/>
  </r>
  <r>
    <s v="ORD00713"/>
    <x v="306"/>
    <s v="CUST382"/>
    <s v="Arjun"/>
    <x v="0"/>
    <n v="41"/>
    <x v="6"/>
    <x v="0"/>
    <x v="6"/>
    <x v="0"/>
    <n v="4"/>
    <n v="11472"/>
    <n v="5"/>
    <n v="2294.4"/>
    <n v="7846.85"/>
    <n v="166"/>
    <n v="51606.45"/>
    <x v="0"/>
    <x v="1"/>
    <s v="Pune"/>
    <x v="0"/>
    <x v="0"/>
    <x v="5"/>
    <x v="1"/>
    <x v="2"/>
    <s v="Cancelled"/>
  </r>
  <r>
    <s v="ORD00714"/>
    <x v="313"/>
    <s v="CUST834"/>
    <s v="Arjun"/>
    <x v="0"/>
    <n v="59"/>
    <x v="5"/>
    <x v="0"/>
    <x v="5"/>
    <x v="1"/>
    <n v="1"/>
    <n v="47287"/>
    <n v="0"/>
    <n v="0"/>
    <n v="8511.66"/>
    <n v="494"/>
    <n v="56292.66"/>
    <x v="1"/>
    <x v="1"/>
    <s v="Jaipur"/>
    <x v="2"/>
    <x v="1"/>
    <x v="4"/>
    <x v="0"/>
    <x v="0"/>
    <s v="Cancelled"/>
  </r>
  <r>
    <s v="ORD00715"/>
    <x v="297"/>
    <s v="CUST908"/>
    <s v="Sneha"/>
    <x v="0"/>
    <n v="54"/>
    <x v="3"/>
    <x v="2"/>
    <x v="3"/>
    <x v="2"/>
    <n v="1"/>
    <n v="27319"/>
    <n v="20"/>
    <n v="5463.8"/>
    <n v="3933.94"/>
    <n v="240"/>
    <n v="26029.14"/>
    <x v="2"/>
    <x v="1"/>
    <s v="Jaipur"/>
    <x v="2"/>
    <x v="1"/>
    <x v="2"/>
    <x v="0"/>
    <x v="2"/>
    <s v="Cancelled"/>
  </r>
  <r>
    <s v="ORD00716"/>
    <x v="88"/>
    <s v="CUST170"/>
    <s v="Priya"/>
    <x v="1"/>
    <n v="23"/>
    <x v="8"/>
    <x v="0"/>
    <x v="8"/>
    <x v="8"/>
    <n v="2"/>
    <n v="23777"/>
    <n v="5"/>
    <n v="2377.6999999999998"/>
    <n v="8131.73"/>
    <n v="196"/>
    <n v="53504.03"/>
    <x v="3"/>
    <x v="0"/>
    <s v="Bangalore"/>
    <x v="3"/>
    <x v="2"/>
    <x v="3"/>
    <x v="1"/>
    <x v="2"/>
    <s v="Returned"/>
  </r>
  <r>
    <s v="ORD00717"/>
    <x v="127"/>
    <s v="CUST898"/>
    <s v="Amit"/>
    <x v="1"/>
    <n v="49"/>
    <x v="3"/>
    <x v="2"/>
    <x v="3"/>
    <x v="0"/>
    <n v="2"/>
    <n v="47273"/>
    <n v="15"/>
    <n v="14181.9"/>
    <n v="14465.54"/>
    <n v="460"/>
    <n v="95289.64"/>
    <x v="1"/>
    <x v="0"/>
    <s v="Jaipur"/>
    <x v="2"/>
    <x v="1"/>
    <x v="9"/>
    <x v="1"/>
    <x v="4"/>
    <s v="Shipped"/>
  </r>
  <r>
    <s v="ORD00718"/>
    <x v="90"/>
    <s v="CUST442"/>
    <s v="Arjun"/>
    <x v="0"/>
    <n v="55"/>
    <x v="9"/>
    <x v="0"/>
    <x v="9"/>
    <x v="3"/>
    <n v="4"/>
    <n v="5695"/>
    <n v="5"/>
    <n v="1139"/>
    <n v="3895.38"/>
    <n v="183"/>
    <n v="25719.38"/>
    <x v="1"/>
    <x v="1"/>
    <s v="Patiala"/>
    <x v="1"/>
    <x v="1"/>
    <x v="7"/>
    <x v="0"/>
    <x v="1"/>
    <s v="Shipped"/>
  </r>
  <r>
    <s v="ORD00719"/>
    <x v="54"/>
    <s v="CUST189"/>
    <s v="Rahul"/>
    <x v="0"/>
    <n v="33"/>
    <x v="0"/>
    <x v="0"/>
    <x v="0"/>
    <x v="2"/>
    <n v="4"/>
    <n v="25749"/>
    <n v="0"/>
    <n v="0"/>
    <n v="18539.28"/>
    <n v="488"/>
    <n v="122023.28"/>
    <x v="1"/>
    <x v="1"/>
    <s v="Pune"/>
    <x v="0"/>
    <x v="0"/>
    <x v="4"/>
    <x v="1"/>
    <x v="0"/>
    <s v="Returned"/>
  </r>
  <r>
    <s v="ORD00720"/>
    <x v="14"/>
    <s v="CUST759"/>
    <s v="Sneha"/>
    <x v="1"/>
    <n v="48"/>
    <x v="3"/>
    <x v="2"/>
    <x v="3"/>
    <x v="1"/>
    <n v="3"/>
    <n v="20383"/>
    <n v="20"/>
    <n v="12229.8"/>
    <n v="8805.4599999999991"/>
    <n v="320"/>
    <n v="58044.66"/>
    <x v="3"/>
    <x v="1"/>
    <s v="Mumbai"/>
    <x v="0"/>
    <x v="0"/>
    <x v="0"/>
    <x v="1"/>
    <x v="2"/>
    <s v="Delivered"/>
  </r>
  <r>
    <s v="ORD00721"/>
    <x v="75"/>
    <s v="CUST565"/>
    <s v="Arjun"/>
    <x v="1"/>
    <n v="34"/>
    <x v="1"/>
    <x v="0"/>
    <x v="1"/>
    <x v="0"/>
    <n v="4"/>
    <n v="44550"/>
    <n v="10"/>
    <n v="17820"/>
    <n v="28868.400000000001"/>
    <n v="449"/>
    <n v="189697.4"/>
    <x v="0"/>
    <x v="1"/>
    <s v="Mumbai"/>
    <x v="0"/>
    <x v="0"/>
    <x v="5"/>
    <x v="0"/>
    <x v="3"/>
    <s v="Returned"/>
  </r>
  <r>
    <s v="ORD00722"/>
    <x v="255"/>
    <s v="CUST711"/>
    <s v="Priya"/>
    <x v="1"/>
    <n v="35"/>
    <x v="9"/>
    <x v="0"/>
    <x v="9"/>
    <x v="6"/>
    <n v="3"/>
    <n v="17487"/>
    <n v="20"/>
    <n v="10492.2"/>
    <n v="7554.38"/>
    <n v="447"/>
    <n v="49970.18"/>
    <x v="3"/>
    <x v="0"/>
    <s v="Patiala"/>
    <x v="1"/>
    <x v="1"/>
    <x v="3"/>
    <x v="0"/>
    <x v="4"/>
    <s v="Delivered"/>
  </r>
  <r>
    <s v="ORD00723"/>
    <x v="105"/>
    <s v="CUST513"/>
    <s v="Sneha"/>
    <x v="0"/>
    <n v="20"/>
    <x v="1"/>
    <x v="0"/>
    <x v="1"/>
    <x v="4"/>
    <n v="3"/>
    <n v="32893"/>
    <n v="5"/>
    <n v="4933.95"/>
    <n v="16874.11"/>
    <n v="386"/>
    <n v="111005.16"/>
    <x v="2"/>
    <x v="1"/>
    <s v="Mumbai"/>
    <x v="0"/>
    <x v="0"/>
    <x v="5"/>
    <x v="0"/>
    <x v="1"/>
    <s v="Returned"/>
  </r>
  <r>
    <s v="ORD00724"/>
    <x v="102"/>
    <s v="CUST682"/>
    <s v="Amit"/>
    <x v="1"/>
    <n v="33"/>
    <x v="7"/>
    <x v="1"/>
    <x v="7"/>
    <x v="6"/>
    <n v="2"/>
    <n v="48999"/>
    <n v="10"/>
    <n v="9799.7999999999993"/>
    <n v="15875.68"/>
    <n v="136"/>
    <n v="104209.88"/>
    <x v="2"/>
    <x v="1"/>
    <s v="Mumbai"/>
    <x v="0"/>
    <x v="0"/>
    <x v="5"/>
    <x v="0"/>
    <x v="0"/>
    <s v="Delivered"/>
  </r>
  <r>
    <s v="ORD00725"/>
    <x v="314"/>
    <s v="CUST628"/>
    <s v="Amit"/>
    <x v="1"/>
    <n v="54"/>
    <x v="9"/>
    <x v="0"/>
    <x v="9"/>
    <x v="9"/>
    <n v="5"/>
    <n v="21651"/>
    <n v="15"/>
    <n v="16238.25"/>
    <n v="16563.009999999998"/>
    <n v="226"/>
    <n v="108805.75999999999"/>
    <x v="2"/>
    <x v="0"/>
    <s v="Patiala"/>
    <x v="1"/>
    <x v="1"/>
    <x v="9"/>
    <x v="0"/>
    <x v="3"/>
    <s v="Delivered"/>
  </r>
  <r>
    <s v="ORD00726"/>
    <x v="107"/>
    <s v="CUST112"/>
    <s v="Anjali"/>
    <x v="1"/>
    <n v="21"/>
    <x v="8"/>
    <x v="0"/>
    <x v="8"/>
    <x v="4"/>
    <n v="3"/>
    <n v="33508"/>
    <n v="10"/>
    <n v="10052.4"/>
    <n v="16284.89"/>
    <n v="103"/>
    <n v="106859.49"/>
    <x v="0"/>
    <x v="1"/>
    <s v="Pune"/>
    <x v="0"/>
    <x v="0"/>
    <x v="8"/>
    <x v="1"/>
    <x v="0"/>
    <s v="Returned"/>
  </r>
  <r>
    <s v="ORD00727"/>
    <x v="263"/>
    <s v="CUST889"/>
    <s v="Neha"/>
    <x v="0"/>
    <n v="41"/>
    <x v="9"/>
    <x v="0"/>
    <x v="9"/>
    <x v="8"/>
    <n v="2"/>
    <n v="43281"/>
    <n v="5"/>
    <n v="4328.1000000000004"/>
    <n v="14802.1"/>
    <n v="87"/>
    <n v="97123"/>
    <x v="1"/>
    <x v="1"/>
    <s v="Mumbai"/>
    <x v="0"/>
    <x v="0"/>
    <x v="5"/>
    <x v="1"/>
    <x v="0"/>
    <s v="Returned"/>
  </r>
  <r>
    <s v="ORD00728"/>
    <x v="109"/>
    <s v="CUST867"/>
    <s v="Vikas"/>
    <x v="0"/>
    <n v="30"/>
    <x v="0"/>
    <x v="0"/>
    <x v="0"/>
    <x v="6"/>
    <n v="2"/>
    <n v="41547"/>
    <n v="10"/>
    <n v="8309.4"/>
    <n v="13461.23"/>
    <n v="154"/>
    <n v="88399.83"/>
    <x v="1"/>
    <x v="1"/>
    <s v="Patiala"/>
    <x v="1"/>
    <x v="1"/>
    <x v="1"/>
    <x v="0"/>
    <x v="3"/>
    <s v="Cancelled"/>
  </r>
  <r>
    <s v="ORD00729"/>
    <x v="125"/>
    <s v="CUST403"/>
    <s v="Priya"/>
    <x v="0"/>
    <n v="26"/>
    <x v="4"/>
    <x v="0"/>
    <x v="4"/>
    <x v="7"/>
    <n v="3"/>
    <n v="27978"/>
    <n v="5"/>
    <n v="4196.7"/>
    <n v="14352.71"/>
    <n v="109"/>
    <n v="94199.01"/>
    <x v="2"/>
    <x v="1"/>
    <s v="Mumbai"/>
    <x v="0"/>
    <x v="0"/>
    <x v="5"/>
    <x v="0"/>
    <x v="2"/>
    <s v="Returned"/>
  </r>
  <r>
    <s v="ORD00730"/>
    <x v="245"/>
    <s v="CUST369"/>
    <s v="Priya"/>
    <x v="1"/>
    <n v="28"/>
    <x v="8"/>
    <x v="0"/>
    <x v="8"/>
    <x v="9"/>
    <n v="1"/>
    <n v="45792"/>
    <n v="20"/>
    <n v="9158.4"/>
    <n v="6594.05"/>
    <n v="224"/>
    <n v="43451.65"/>
    <x v="0"/>
    <x v="1"/>
    <s v="Lucknow"/>
    <x v="4"/>
    <x v="1"/>
    <x v="4"/>
    <x v="1"/>
    <x v="3"/>
    <s v="Cancelled"/>
  </r>
  <r>
    <s v="ORD00731"/>
    <x v="315"/>
    <s v="CUST307"/>
    <s v="Priya"/>
    <x v="0"/>
    <n v="46"/>
    <x v="7"/>
    <x v="1"/>
    <x v="7"/>
    <x v="0"/>
    <n v="3"/>
    <n v="42112"/>
    <n v="10"/>
    <n v="12633.6"/>
    <n v="20466.43"/>
    <n v="357"/>
    <n v="134525.82999999999"/>
    <x v="2"/>
    <x v="0"/>
    <s v="Lucknow"/>
    <x v="4"/>
    <x v="1"/>
    <x v="6"/>
    <x v="0"/>
    <x v="4"/>
    <s v="Shipped"/>
  </r>
  <r>
    <s v="ORD00732"/>
    <x v="204"/>
    <s v="CUST157"/>
    <s v="Karan"/>
    <x v="1"/>
    <n v="42"/>
    <x v="7"/>
    <x v="1"/>
    <x v="7"/>
    <x v="8"/>
    <n v="1"/>
    <n v="9485"/>
    <n v="15"/>
    <n v="1422.75"/>
    <n v="1451.2"/>
    <n v="167"/>
    <n v="9680.4500000000007"/>
    <x v="0"/>
    <x v="0"/>
    <s v="Bangalore"/>
    <x v="3"/>
    <x v="2"/>
    <x v="0"/>
    <x v="0"/>
    <x v="0"/>
    <s v="Cancelled"/>
  </r>
  <r>
    <s v="ORD00733"/>
    <x v="84"/>
    <s v="CUST192"/>
    <s v="Rahul"/>
    <x v="1"/>
    <n v="53"/>
    <x v="0"/>
    <x v="0"/>
    <x v="0"/>
    <x v="5"/>
    <n v="3"/>
    <n v="3588"/>
    <n v="15"/>
    <n v="1614.6"/>
    <n v="1646.89"/>
    <n v="206"/>
    <n v="11002.29"/>
    <x v="2"/>
    <x v="0"/>
    <s v="Delhi"/>
    <x v="5"/>
    <x v="1"/>
    <x v="3"/>
    <x v="0"/>
    <x v="1"/>
    <s v="Returned"/>
  </r>
  <r>
    <s v="ORD00734"/>
    <x v="212"/>
    <s v="CUST304"/>
    <s v="Priya"/>
    <x v="1"/>
    <n v="56"/>
    <x v="2"/>
    <x v="1"/>
    <x v="2"/>
    <x v="1"/>
    <n v="1"/>
    <n v="44046"/>
    <n v="20"/>
    <n v="8809.2000000000007"/>
    <n v="6342.62"/>
    <n v="311"/>
    <n v="41890.42"/>
    <x v="2"/>
    <x v="0"/>
    <s v="Delhi"/>
    <x v="5"/>
    <x v="1"/>
    <x v="8"/>
    <x v="1"/>
    <x v="1"/>
    <s v="Shipped"/>
  </r>
  <r>
    <s v="ORD00735"/>
    <x v="12"/>
    <s v="CUST693"/>
    <s v="Karan"/>
    <x v="1"/>
    <n v="25"/>
    <x v="2"/>
    <x v="1"/>
    <x v="2"/>
    <x v="8"/>
    <n v="5"/>
    <n v="6165"/>
    <n v="20"/>
    <n v="6165"/>
    <n v="4438.8"/>
    <n v="424"/>
    <n v="29522.799999999999"/>
    <x v="3"/>
    <x v="0"/>
    <s v="Delhi"/>
    <x v="5"/>
    <x v="1"/>
    <x v="6"/>
    <x v="0"/>
    <x v="4"/>
    <s v="Cancelled"/>
  </r>
  <r>
    <s v="ORD00736"/>
    <x v="118"/>
    <s v="CUST614"/>
    <s v="Amit"/>
    <x v="0"/>
    <n v="59"/>
    <x v="5"/>
    <x v="0"/>
    <x v="5"/>
    <x v="2"/>
    <n v="4"/>
    <n v="2086"/>
    <n v="20"/>
    <n v="1668.8"/>
    <n v="1201.54"/>
    <n v="360"/>
    <n v="8236.74"/>
    <x v="1"/>
    <x v="1"/>
    <s v="Delhi"/>
    <x v="5"/>
    <x v="1"/>
    <x v="9"/>
    <x v="1"/>
    <x v="1"/>
    <s v="Shipped"/>
  </r>
  <r>
    <s v="ORD00737"/>
    <x v="309"/>
    <s v="CUST932"/>
    <s v="Riya"/>
    <x v="1"/>
    <n v="47"/>
    <x v="2"/>
    <x v="1"/>
    <x v="2"/>
    <x v="6"/>
    <n v="1"/>
    <n v="1296"/>
    <n v="15"/>
    <n v="194.4"/>
    <n v="198.29"/>
    <n v="410"/>
    <n v="1709.89"/>
    <x v="2"/>
    <x v="0"/>
    <s v="Bangalore"/>
    <x v="3"/>
    <x v="2"/>
    <x v="8"/>
    <x v="0"/>
    <x v="3"/>
    <s v="Cancelled"/>
  </r>
  <r>
    <s v="ORD00738"/>
    <x v="316"/>
    <s v="CUST986"/>
    <s v="Anjali"/>
    <x v="0"/>
    <n v="26"/>
    <x v="0"/>
    <x v="0"/>
    <x v="0"/>
    <x v="1"/>
    <n v="1"/>
    <n v="43602"/>
    <n v="15"/>
    <n v="6540.3"/>
    <n v="6671.11"/>
    <n v="396"/>
    <n v="44128.81"/>
    <x v="3"/>
    <x v="0"/>
    <s v="Mumbai"/>
    <x v="0"/>
    <x v="0"/>
    <x v="0"/>
    <x v="1"/>
    <x v="4"/>
    <s v="Returned"/>
  </r>
  <r>
    <s v="ORD00739"/>
    <x v="264"/>
    <s v="CUST426"/>
    <s v="Riya"/>
    <x v="0"/>
    <n v="25"/>
    <x v="3"/>
    <x v="2"/>
    <x v="3"/>
    <x v="4"/>
    <n v="3"/>
    <n v="8837"/>
    <n v="20"/>
    <n v="5302.2"/>
    <n v="3817.58"/>
    <n v="344"/>
    <n v="25370.38"/>
    <x v="2"/>
    <x v="0"/>
    <s v="Delhi"/>
    <x v="5"/>
    <x v="1"/>
    <x v="6"/>
    <x v="1"/>
    <x v="3"/>
    <s v="Returned"/>
  </r>
  <r>
    <s v="ORD00740"/>
    <x v="58"/>
    <s v="CUST339"/>
    <s v="Amit"/>
    <x v="0"/>
    <n v="23"/>
    <x v="4"/>
    <x v="0"/>
    <x v="4"/>
    <x v="5"/>
    <n v="5"/>
    <n v="10552"/>
    <n v="0"/>
    <n v="0"/>
    <n v="9496.7999999999993"/>
    <n v="290"/>
    <n v="62546.8"/>
    <x v="3"/>
    <x v="0"/>
    <s v="Bangalore"/>
    <x v="3"/>
    <x v="2"/>
    <x v="6"/>
    <x v="0"/>
    <x v="3"/>
    <s v="Cancelled"/>
  </r>
  <r>
    <s v="ORD00741"/>
    <x v="48"/>
    <s v="CUST625"/>
    <s v="Anjali"/>
    <x v="0"/>
    <n v="52"/>
    <x v="1"/>
    <x v="0"/>
    <x v="1"/>
    <x v="6"/>
    <n v="3"/>
    <n v="31793"/>
    <n v="10"/>
    <n v="9537.9"/>
    <n v="15451.4"/>
    <n v="433"/>
    <n v="101725.5"/>
    <x v="2"/>
    <x v="0"/>
    <s v="Delhi"/>
    <x v="5"/>
    <x v="1"/>
    <x v="5"/>
    <x v="0"/>
    <x v="2"/>
    <s v="Returned"/>
  </r>
  <r>
    <s v="ORD00742"/>
    <x v="81"/>
    <s v="CUST950"/>
    <s v="Rahul"/>
    <x v="0"/>
    <n v="24"/>
    <x v="6"/>
    <x v="0"/>
    <x v="6"/>
    <x v="1"/>
    <n v="4"/>
    <n v="49840"/>
    <n v="10"/>
    <n v="19936"/>
    <n v="32296.32"/>
    <n v="58"/>
    <n v="211778.32"/>
    <x v="1"/>
    <x v="1"/>
    <s v="Delhi"/>
    <x v="5"/>
    <x v="1"/>
    <x v="4"/>
    <x v="1"/>
    <x v="2"/>
    <s v="Delivered"/>
  </r>
  <r>
    <s v="ORD00743"/>
    <x v="147"/>
    <s v="CUST930"/>
    <s v="Priya"/>
    <x v="1"/>
    <n v="53"/>
    <x v="7"/>
    <x v="1"/>
    <x v="7"/>
    <x v="4"/>
    <n v="4"/>
    <n v="5564"/>
    <n v="20"/>
    <n v="4451.2"/>
    <n v="3204.86"/>
    <n v="166"/>
    <n v="21175.66"/>
    <x v="2"/>
    <x v="0"/>
    <s v="Lucknow"/>
    <x v="4"/>
    <x v="1"/>
    <x v="3"/>
    <x v="1"/>
    <x v="1"/>
    <s v="Cancelled"/>
  </r>
  <r>
    <s v="ORD00744"/>
    <x v="240"/>
    <s v="CUST615"/>
    <s v="Neha"/>
    <x v="0"/>
    <n v="35"/>
    <x v="6"/>
    <x v="0"/>
    <x v="6"/>
    <x v="4"/>
    <n v="2"/>
    <n v="8094"/>
    <n v="5"/>
    <n v="809.4"/>
    <n v="2768.15"/>
    <n v="400"/>
    <n v="18546.75"/>
    <x v="0"/>
    <x v="0"/>
    <s v="Jaipur"/>
    <x v="2"/>
    <x v="1"/>
    <x v="7"/>
    <x v="1"/>
    <x v="4"/>
    <s v="Returned"/>
  </r>
  <r>
    <s v="ORD00745"/>
    <x v="107"/>
    <s v="CUST327"/>
    <s v="Anjali"/>
    <x v="1"/>
    <n v="41"/>
    <x v="9"/>
    <x v="0"/>
    <x v="9"/>
    <x v="3"/>
    <n v="1"/>
    <n v="32513"/>
    <n v="5"/>
    <n v="1625.65"/>
    <n v="5559.72"/>
    <n v="141"/>
    <n v="36588.07"/>
    <x v="0"/>
    <x v="1"/>
    <s v="Mumbai"/>
    <x v="0"/>
    <x v="0"/>
    <x v="6"/>
    <x v="0"/>
    <x v="4"/>
    <s v="Cancelled"/>
  </r>
  <r>
    <s v="ORD00746"/>
    <x v="317"/>
    <s v="CUST679"/>
    <s v="Neha"/>
    <x v="1"/>
    <n v="30"/>
    <x v="4"/>
    <x v="0"/>
    <x v="4"/>
    <x v="1"/>
    <n v="3"/>
    <n v="21815"/>
    <n v="0"/>
    <n v="0"/>
    <n v="11780.1"/>
    <n v="171"/>
    <n v="77396.100000000006"/>
    <x v="2"/>
    <x v="0"/>
    <s v="Lucknow"/>
    <x v="4"/>
    <x v="1"/>
    <x v="0"/>
    <x v="0"/>
    <x v="1"/>
    <s v="Delivered"/>
  </r>
  <r>
    <s v="ORD00747"/>
    <x v="318"/>
    <s v="CUST265"/>
    <s v="Arjun"/>
    <x v="0"/>
    <n v="22"/>
    <x v="9"/>
    <x v="0"/>
    <x v="9"/>
    <x v="3"/>
    <n v="5"/>
    <n v="35936"/>
    <n v="0"/>
    <n v="0"/>
    <n v="32342.400000000001"/>
    <n v="301"/>
    <n v="212323.4"/>
    <x v="0"/>
    <x v="0"/>
    <s v="Pune"/>
    <x v="0"/>
    <x v="0"/>
    <x v="9"/>
    <x v="1"/>
    <x v="3"/>
    <s v="Returned"/>
  </r>
  <r>
    <s v="ORD00748"/>
    <x v="223"/>
    <s v="CUST889"/>
    <s v="Vikas"/>
    <x v="0"/>
    <n v="24"/>
    <x v="7"/>
    <x v="1"/>
    <x v="7"/>
    <x v="6"/>
    <n v="2"/>
    <n v="44948"/>
    <n v="20"/>
    <n v="17979.2"/>
    <n v="12945.02"/>
    <n v="53"/>
    <n v="84914.82"/>
    <x v="0"/>
    <x v="1"/>
    <s v="Jaipur"/>
    <x v="2"/>
    <x v="1"/>
    <x v="8"/>
    <x v="0"/>
    <x v="0"/>
    <s v="Returned"/>
  </r>
  <r>
    <s v="ORD00749"/>
    <x v="254"/>
    <s v="CUST323"/>
    <s v="Neha"/>
    <x v="0"/>
    <n v="38"/>
    <x v="6"/>
    <x v="0"/>
    <x v="6"/>
    <x v="4"/>
    <n v="1"/>
    <n v="34893"/>
    <n v="20"/>
    <n v="6978.6"/>
    <n v="5024.59"/>
    <n v="137"/>
    <n v="33075.99"/>
    <x v="2"/>
    <x v="0"/>
    <s v="Mumbai"/>
    <x v="0"/>
    <x v="0"/>
    <x v="9"/>
    <x v="0"/>
    <x v="2"/>
    <s v="Returned"/>
  </r>
  <r>
    <s v="ORD00750"/>
    <x v="200"/>
    <s v="CUST630"/>
    <s v="Anjali"/>
    <x v="1"/>
    <n v="54"/>
    <x v="7"/>
    <x v="1"/>
    <x v="7"/>
    <x v="8"/>
    <n v="5"/>
    <n v="37161"/>
    <n v="15"/>
    <n v="27870.75"/>
    <n v="28428.16"/>
    <n v="83"/>
    <n v="186445.42"/>
    <x v="2"/>
    <x v="0"/>
    <s v="Delhi"/>
    <x v="5"/>
    <x v="1"/>
    <x v="6"/>
    <x v="0"/>
    <x v="4"/>
    <s v="Cancelled"/>
  </r>
  <r>
    <s v="ORD00751"/>
    <x v="170"/>
    <s v="CUST875"/>
    <s v="Priya"/>
    <x v="0"/>
    <n v="43"/>
    <x v="2"/>
    <x v="1"/>
    <x v="2"/>
    <x v="3"/>
    <n v="3"/>
    <n v="30146"/>
    <n v="10"/>
    <n v="9043.7999999999993"/>
    <n v="14650.96"/>
    <n v="175"/>
    <n v="96220.160000000003"/>
    <x v="3"/>
    <x v="1"/>
    <s v="Chandigarh"/>
    <x v="1"/>
    <x v="1"/>
    <x v="0"/>
    <x v="0"/>
    <x v="1"/>
    <s v="Cancelled"/>
  </r>
  <r>
    <s v="ORD00752"/>
    <x v="195"/>
    <s v="CUST735"/>
    <s v="Vikas"/>
    <x v="0"/>
    <n v="55"/>
    <x v="0"/>
    <x v="0"/>
    <x v="0"/>
    <x v="7"/>
    <n v="5"/>
    <n v="22055"/>
    <n v="0"/>
    <n v="0"/>
    <n v="19849.5"/>
    <n v="490"/>
    <n v="130614.5"/>
    <x v="2"/>
    <x v="0"/>
    <s v="Mumbai"/>
    <x v="0"/>
    <x v="0"/>
    <x v="0"/>
    <x v="0"/>
    <x v="3"/>
    <s v="Shipped"/>
  </r>
  <r>
    <s v="ORD00753"/>
    <x v="6"/>
    <s v="CUST840"/>
    <s v="Rahul"/>
    <x v="1"/>
    <n v="31"/>
    <x v="7"/>
    <x v="1"/>
    <x v="7"/>
    <x v="4"/>
    <n v="1"/>
    <n v="43437"/>
    <n v="5"/>
    <n v="2171.85"/>
    <n v="7427.73"/>
    <n v="286"/>
    <n v="48978.879999999997"/>
    <x v="2"/>
    <x v="0"/>
    <s v="Chandigarh"/>
    <x v="1"/>
    <x v="1"/>
    <x v="7"/>
    <x v="0"/>
    <x v="3"/>
    <s v="Cancelled"/>
  </r>
  <r>
    <s v="ORD00754"/>
    <x v="121"/>
    <s v="CUST631"/>
    <s v="Amit"/>
    <x v="0"/>
    <n v="18"/>
    <x v="2"/>
    <x v="1"/>
    <x v="2"/>
    <x v="9"/>
    <n v="1"/>
    <n v="16469"/>
    <n v="20"/>
    <n v="3293.8"/>
    <n v="2371.54"/>
    <n v="266"/>
    <n v="15812.74"/>
    <x v="2"/>
    <x v="0"/>
    <s v="Delhi"/>
    <x v="5"/>
    <x v="1"/>
    <x v="5"/>
    <x v="0"/>
    <x v="1"/>
    <s v="Returned"/>
  </r>
  <r>
    <s v="ORD00755"/>
    <x v="173"/>
    <s v="CUST701"/>
    <s v="Riya"/>
    <x v="0"/>
    <n v="48"/>
    <x v="2"/>
    <x v="1"/>
    <x v="2"/>
    <x v="8"/>
    <n v="1"/>
    <n v="44498"/>
    <n v="10"/>
    <n v="4449.8"/>
    <n v="7208.68"/>
    <n v="101"/>
    <n v="47357.88"/>
    <x v="1"/>
    <x v="0"/>
    <s v="Jaipur"/>
    <x v="2"/>
    <x v="1"/>
    <x v="5"/>
    <x v="0"/>
    <x v="2"/>
    <s v="Returned"/>
  </r>
  <r>
    <s v="ORD00756"/>
    <x v="78"/>
    <s v="CUST101"/>
    <s v="Rahul"/>
    <x v="0"/>
    <n v="33"/>
    <x v="8"/>
    <x v="0"/>
    <x v="8"/>
    <x v="5"/>
    <n v="5"/>
    <n v="31205"/>
    <n v="10"/>
    <n v="15602.5"/>
    <n v="25276.05"/>
    <n v="301"/>
    <n v="165999.54999999999"/>
    <x v="2"/>
    <x v="1"/>
    <s v="Chandigarh"/>
    <x v="1"/>
    <x v="1"/>
    <x v="8"/>
    <x v="0"/>
    <x v="3"/>
    <s v="Delivered"/>
  </r>
  <r>
    <s v="ORD00757"/>
    <x v="206"/>
    <s v="CUST371"/>
    <s v="Priya"/>
    <x v="1"/>
    <n v="41"/>
    <x v="2"/>
    <x v="1"/>
    <x v="2"/>
    <x v="6"/>
    <n v="2"/>
    <n v="48901"/>
    <n v="0"/>
    <n v="0"/>
    <n v="17604.36"/>
    <n v="80"/>
    <n v="115486.36"/>
    <x v="3"/>
    <x v="1"/>
    <s v="Chandigarh"/>
    <x v="1"/>
    <x v="1"/>
    <x v="6"/>
    <x v="1"/>
    <x v="1"/>
    <s v="Cancelled"/>
  </r>
  <r>
    <s v="ORD00758"/>
    <x v="22"/>
    <s v="CUST113"/>
    <s v="Rahul"/>
    <x v="0"/>
    <n v="27"/>
    <x v="1"/>
    <x v="0"/>
    <x v="1"/>
    <x v="7"/>
    <n v="3"/>
    <n v="2214"/>
    <n v="20"/>
    <n v="1328.4"/>
    <n v="956.45"/>
    <n v="182"/>
    <n v="6452.05"/>
    <x v="3"/>
    <x v="0"/>
    <s v="Mumbai"/>
    <x v="0"/>
    <x v="0"/>
    <x v="1"/>
    <x v="1"/>
    <x v="2"/>
    <s v="Shipped"/>
  </r>
  <r>
    <s v="ORD00759"/>
    <x v="295"/>
    <s v="CUST518"/>
    <s v="Karan"/>
    <x v="1"/>
    <n v="59"/>
    <x v="0"/>
    <x v="0"/>
    <x v="0"/>
    <x v="1"/>
    <n v="5"/>
    <n v="37151"/>
    <n v="5"/>
    <n v="9287.75"/>
    <n v="31764.1"/>
    <n v="164"/>
    <n v="208395.36"/>
    <x v="0"/>
    <x v="0"/>
    <s v="Jaipur"/>
    <x v="2"/>
    <x v="1"/>
    <x v="1"/>
    <x v="1"/>
    <x v="2"/>
    <s v="Shipped"/>
  </r>
  <r>
    <s v="ORD00760"/>
    <x v="239"/>
    <s v="CUST559"/>
    <s v="Vikas"/>
    <x v="1"/>
    <n v="37"/>
    <x v="4"/>
    <x v="0"/>
    <x v="4"/>
    <x v="4"/>
    <n v="3"/>
    <n v="37260"/>
    <n v="0"/>
    <n v="0"/>
    <n v="20120.400000000001"/>
    <n v="17"/>
    <n v="131917.4"/>
    <x v="1"/>
    <x v="0"/>
    <s v="Lucknow"/>
    <x v="4"/>
    <x v="1"/>
    <x v="9"/>
    <x v="0"/>
    <x v="3"/>
    <s v="Cancelled"/>
  </r>
  <r>
    <s v="ORD00761"/>
    <x v="69"/>
    <s v="CUST831"/>
    <s v="Karan"/>
    <x v="0"/>
    <n v="19"/>
    <x v="9"/>
    <x v="0"/>
    <x v="9"/>
    <x v="5"/>
    <n v="1"/>
    <n v="47891"/>
    <n v="0"/>
    <n v="0"/>
    <n v="8620.3799999999992"/>
    <n v="382"/>
    <n v="56893.38"/>
    <x v="1"/>
    <x v="1"/>
    <s v="Mumbai"/>
    <x v="0"/>
    <x v="0"/>
    <x v="2"/>
    <x v="0"/>
    <x v="2"/>
    <s v="Shipped"/>
  </r>
  <r>
    <s v="ORD00762"/>
    <x v="173"/>
    <s v="CUST715"/>
    <s v="Amit"/>
    <x v="0"/>
    <n v="55"/>
    <x v="4"/>
    <x v="0"/>
    <x v="4"/>
    <x v="1"/>
    <n v="5"/>
    <n v="16719"/>
    <n v="5"/>
    <n v="4179.75"/>
    <n v="14294.74"/>
    <n v="308"/>
    <n v="94017.99"/>
    <x v="1"/>
    <x v="0"/>
    <s v="Patiala"/>
    <x v="1"/>
    <x v="1"/>
    <x v="3"/>
    <x v="0"/>
    <x v="2"/>
    <s v="Returned"/>
  </r>
  <r>
    <s v="ORD00763"/>
    <x v="110"/>
    <s v="CUST836"/>
    <s v="Karan"/>
    <x v="1"/>
    <n v="29"/>
    <x v="2"/>
    <x v="1"/>
    <x v="2"/>
    <x v="5"/>
    <n v="2"/>
    <n v="35205"/>
    <n v="0"/>
    <n v="0"/>
    <n v="12673.8"/>
    <n v="27"/>
    <n v="83110.8"/>
    <x v="2"/>
    <x v="0"/>
    <s v="Mumbai"/>
    <x v="0"/>
    <x v="0"/>
    <x v="5"/>
    <x v="0"/>
    <x v="0"/>
    <s v="Returned"/>
  </r>
  <r>
    <s v="ORD00764"/>
    <x v="319"/>
    <s v="CUST299"/>
    <s v="Neha"/>
    <x v="0"/>
    <n v="56"/>
    <x v="1"/>
    <x v="0"/>
    <x v="1"/>
    <x v="8"/>
    <n v="5"/>
    <n v="1924"/>
    <n v="10"/>
    <n v="962"/>
    <n v="1558.44"/>
    <n v="474"/>
    <n v="10690.44"/>
    <x v="3"/>
    <x v="1"/>
    <s v="Patiala"/>
    <x v="1"/>
    <x v="1"/>
    <x v="0"/>
    <x v="1"/>
    <x v="3"/>
    <s v="Returned"/>
  </r>
  <r>
    <s v="ORD00765"/>
    <x v="129"/>
    <s v="CUST438"/>
    <s v="Arjun"/>
    <x v="0"/>
    <n v="40"/>
    <x v="5"/>
    <x v="0"/>
    <x v="5"/>
    <x v="5"/>
    <n v="5"/>
    <n v="1111"/>
    <n v="10"/>
    <n v="555.5"/>
    <n v="899.91"/>
    <n v="32"/>
    <n v="5931.41"/>
    <x v="2"/>
    <x v="0"/>
    <s v="Chandigarh"/>
    <x v="1"/>
    <x v="1"/>
    <x v="9"/>
    <x v="0"/>
    <x v="1"/>
    <s v="Returned"/>
  </r>
  <r>
    <s v="ORD00766"/>
    <x v="238"/>
    <s v="CUST287"/>
    <s v="Sneha"/>
    <x v="0"/>
    <n v="55"/>
    <x v="8"/>
    <x v="0"/>
    <x v="8"/>
    <x v="0"/>
    <n v="3"/>
    <n v="4451"/>
    <n v="10"/>
    <n v="1335.3"/>
    <n v="2163.19"/>
    <n v="484"/>
    <n v="14664.89"/>
    <x v="0"/>
    <x v="1"/>
    <s v="Lucknow"/>
    <x v="4"/>
    <x v="1"/>
    <x v="6"/>
    <x v="0"/>
    <x v="0"/>
    <s v="Shipped"/>
  </r>
  <r>
    <s v="ORD00767"/>
    <x v="155"/>
    <s v="CUST579"/>
    <s v="Amit"/>
    <x v="0"/>
    <n v="51"/>
    <x v="5"/>
    <x v="0"/>
    <x v="5"/>
    <x v="8"/>
    <n v="1"/>
    <n v="44909"/>
    <n v="20"/>
    <n v="8981.7999999999993"/>
    <n v="6466.9"/>
    <n v="384"/>
    <n v="42778.1"/>
    <x v="1"/>
    <x v="0"/>
    <s v="Delhi"/>
    <x v="5"/>
    <x v="1"/>
    <x v="7"/>
    <x v="1"/>
    <x v="0"/>
    <s v="Shipped"/>
  </r>
  <r>
    <s v="ORD00768"/>
    <x v="292"/>
    <s v="CUST989"/>
    <s v="Vikas"/>
    <x v="1"/>
    <n v="29"/>
    <x v="5"/>
    <x v="0"/>
    <x v="5"/>
    <x v="6"/>
    <n v="4"/>
    <n v="43820"/>
    <n v="10"/>
    <n v="17528"/>
    <n v="28395.360000000001"/>
    <n v="157"/>
    <n v="186304.36"/>
    <x v="1"/>
    <x v="1"/>
    <s v="Bangalore"/>
    <x v="3"/>
    <x v="2"/>
    <x v="3"/>
    <x v="1"/>
    <x v="1"/>
    <s v="Shipped"/>
  </r>
  <r>
    <s v="ORD00769"/>
    <x v="154"/>
    <s v="CUST849"/>
    <s v="Neha"/>
    <x v="0"/>
    <n v="40"/>
    <x v="2"/>
    <x v="1"/>
    <x v="2"/>
    <x v="9"/>
    <n v="3"/>
    <n v="13810"/>
    <n v="10"/>
    <n v="4143"/>
    <n v="6711.66"/>
    <n v="258"/>
    <n v="44256.66"/>
    <x v="2"/>
    <x v="0"/>
    <s v="Lucknow"/>
    <x v="4"/>
    <x v="1"/>
    <x v="7"/>
    <x v="0"/>
    <x v="0"/>
    <s v="Delivered"/>
  </r>
  <r>
    <s v="ORD00770"/>
    <x v="262"/>
    <s v="CUST972"/>
    <s v="Priya"/>
    <x v="1"/>
    <n v="40"/>
    <x v="1"/>
    <x v="0"/>
    <x v="1"/>
    <x v="0"/>
    <n v="2"/>
    <n v="46551"/>
    <n v="15"/>
    <n v="13965.3"/>
    <n v="14244.61"/>
    <n v="269"/>
    <n v="93650.31"/>
    <x v="1"/>
    <x v="1"/>
    <s v="Lucknow"/>
    <x v="4"/>
    <x v="1"/>
    <x v="3"/>
    <x v="0"/>
    <x v="3"/>
    <s v="Cancelled"/>
  </r>
  <r>
    <s v="ORD00771"/>
    <x v="198"/>
    <s v="CUST280"/>
    <s v="Karan"/>
    <x v="0"/>
    <n v="51"/>
    <x v="0"/>
    <x v="0"/>
    <x v="0"/>
    <x v="2"/>
    <n v="1"/>
    <n v="39927"/>
    <n v="20"/>
    <n v="7985.4"/>
    <n v="5749.49"/>
    <n v="5"/>
    <n v="37696.089999999997"/>
    <x v="1"/>
    <x v="0"/>
    <s v="Jaipur"/>
    <x v="2"/>
    <x v="1"/>
    <x v="0"/>
    <x v="0"/>
    <x v="4"/>
    <s v="Shipped"/>
  </r>
  <r>
    <s v="ORD00772"/>
    <x v="274"/>
    <s v="CUST492"/>
    <s v="Karan"/>
    <x v="0"/>
    <n v="24"/>
    <x v="7"/>
    <x v="1"/>
    <x v="7"/>
    <x v="1"/>
    <n v="4"/>
    <n v="26531"/>
    <n v="15"/>
    <n v="15918.6"/>
    <n v="16236.97"/>
    <n v="424"/>
    <n v="106866.37"/>
    <x v="3"/>
    <x v="0"/>
    <s v="Chandigarh"/>
    <x v="1"/>
    <x v="1"/>
    <x v="1"/>
    <x v="0"/>
    <x v="1"/>
    <s v="Shipped"/>
  </r>
  <r>
    <s v="ORD00773"/>
    <x v="33"/>
    <s v="CUST934"/>
    <s v="Neha"/>
    <x v="0"/>
    <n v="50"/>
    <x v="3"/>
    <x v="2"/>
    <x v="3"/>
    <x v="1"/>
    <n v="3"/>
    <n v="17924"/>
    <n v="5"/>
    <n v="2688.6"/>
    <n v="9195.01"/>
    <n v="37"/>
    <n v="60315.41"/>
    <x v="1"/>
    <x v="1"/>
    <s v="Pune"/>
    <x v="0"/>
    <x v="0"/>
    <x v="6"/>
    <x v="1"/>
    <x v="0"/>
    <s v="Cancelled"/>
  </r>
  <r>
    <s v="ORD00774"/>
    <x v="270"/>
    <s v="CUST936"/>
    <s v="Rahul"/>
    <x v="0"/>
    <n v="26"/>
    <x v="8"/>
    <x v="0"/>
    <x v="8"/>
    <x v="2"/>
    <n v="5"/>
    <n v="14793"/>
    <n v="0"/>
    <n v="0"/>
    <n v="13313.7"/>
    <n v="61"/>
    <n v="87339.7"/>
    <x v="3"/>
    <x v="1"/>
    <s v="Chandigarh"/>
    <x v="1"/>
    <x v="1"/>
    <x v="1"/>
    <x v="0"/>
    <x v="4"/>
    <s v="Delivered"/>
  </r>
  <r>
    <s v="ORD00775"/>
    <x v="320"/>
    <s v="CUST269"/>
    <s v="Riya"/>
    <x v="1"/>
    <n v="26"/>
    <x v="1"/>
    <x v="0"/>
    <x v="1"/>
    <x v="2"/>
    <n v="5"/>
    <n v="47888"/>
    <n v="10"/>
    <n v="23944"/>
    <n v="38789.279999999999"/>
    <n v="381"/>
    <n v="254666.28"/>
    <x v="2"/>
    <x v="1"/>
    <s v="Pune"/>
    <x v="0"/>
    <x v="0"/>
    <x v="0"/>
    <x v="0"/>
    <x v="3"/>
    <s v="Cancelled"/>
  </r>
  <r>
    <s v="ORD00776"/>
    <x v="310"/>
    <s v="CUST354"/>
    <s v="Rahul"/>
    <x v="1"/>
    <n v="42"/>
    <x v="9"/>
    <x v="0"/>
    <x v="9"/>
    <x v="5"/>
    <n v="4"/>
    <n v="9646"/>
    <n v="5"/>
    <n v="1929.2"/>
    <n v="6597.86"/>
    <n v="331"/>
    <n v="43583.66"/>
    <x v="2"/>
    <x v="1"/>
    <s v="Lucknow"/>
    <x v="4"/>
    <x v="1"/>
    <x v="6"/>
    <x v="1"/>
    <x v="4"/>
    <s v="Returned"/>
  </r>
  <r>
    <s v="ORD00777"/>
    <x v="230"/>
    <s v="CUST912"/>
    <s v="Priya"/>
    <x v="0"/>
    <n v="38"/>
    <x v="4"/>
    <x v="0"/>
    <x v="4"/>
    <x v="5"/>
    <n v="4"/>
    <n v="4941"/>
    <n v="20"/>
    <n v="3952.8"/>
    <n v="2846.02"/>
    <n v="305"/>
    <n v="18962.22"/>
    <x v="0"/>
    <x v="1"/>
    <s v="Mumbai"/>
    <x v="0"/>
    <x v="0"/>
    <x v="7"/>
    <x v="0"/>
    <x v="0"/>
    <s v="Delivered"/>
  </r>
  <r>
    <s v="ORD00778"/>
    <x v="146"/>
    <s v="CUST650"/>
    <s v="Rahul"/>
    <x v="0"/>
    <n v="52"/>
    <x v="7"/>
    <x v="1"/>
    <x v="7"/>
    <x v="2"/>
    <n v="3"/>
    <n v="39057"/>
    <n v="10"/>
    <n v="11717.1"/>
    <n v="18981.7"/>
    <n v="493"/>
    <n v="124928.6"/>
    <x v="2"/>
    <x v="1"/>
    <s v="Bangalore"/>
    <x v="3"/>
    <x v="2"/>
    <x v="0"/>
    <x v="0"/>
    <x v="3"/>
    <s v="Cancelled"/>
  </r>
  <r>
    <s v="ORD00779"/>
    <x v="147"/>
    <s v="CUST465"/>
    <s v="Rahul"/>
    <x v="0"/>
    <n v="49"/>
    <x v="0"/>
    <x v="0"/>
    <x v="0"/>
    <x v="7"/>
    <n v="3"/>
    <n v="1818"/>
    <n v="10"/>
    <n v="545.4"/>
    <n v="883.55"/>
    <n v="304"/>
    <n v="6096.15"/>
    <x v="2"/>
    <x v="1"/>
    <s v="Patiala"/>
    <x v="1"/>
    <x v="1"/>
    <x v="9"/>
    <x v="0"/>
    <x v="1"/>
    <s v="Shipped"/>
  </r>
  <r>
    <s v="ORD00780"/>
    <x v="85"/>
    <s v="CUST357"/>
    <s v="Vikas"/>
    <x v="1"/>
    <n v="18"/>
    <x v="5"/>
    <x v="0"/>
    <x v="5"/>
    <x v="5"/>
    <n v="2"/>
    <n v="18717"/>
    <n v="10"/>
    <n v="3743.4"/>
    <n v="6064.31"/>
    <n v="4"/>
    <n v="39758.910000000003"/>
    <x v="3"/>
    <x v="0"/>
    <s v="Pune"/>
    <x v="0"/>
    <x v="0"/>
    <x v="2"/>
    <x v="1"/>
    <x v="0"/>
    <s v="Shipped"/>
  </r>
  <r>
    <s v="ORD00781"/>
    <x v="321"/>
    <s v="CUST221"/>
    <s v="Karan"/>
    <x v="1"/>
    <n v="21"/>
    <x v="2"/>
    <x v="1"/>
    <x v="2"/>
    <x v="3"/>
    <n v="4"/>
    <n v="14573"/>
    <n v="0"/>
    <n v="0"/>
    <n v="10492.56"/>
    <n v="385"/>
    <n v="69169.56"/>
    <x v="2"/>
    <x v="1"/>
    <s v="Lucknow"/>
    <x v="4"/>
    <x v="1"/>
    <x v="3"/>
    <x v="0"/>
    <x v="3"/>
    <s v="Shipped"/>
  </r>
  <r>
    <s v="ORD00782"/>
    <x v="134"/>
    <s v="CUST249"/>
    <s v="Arjun"/>
    <x v="1"/>
    <n v="54"/>
    <x v="8"/>
    <x v="0"/>
    <x v="8"/>
    <x v="5"/>
    <n v="4"/>
    <n v="11813"/>
    <n v="10"/>
    <n v="4725.2"/>
    <n v="7654.82"/>
    <n v="205"/>
    <n v="50386.62"/>
    <x v="3"/>
    <x v="1"/>
    <s v="Jaipur"/>
    <x v="2"/>
    <x v="1"/>
    <x v="7"/>
    <x v="0"/>
    <x v="2"/>
    <s v="Returned"/>
  </r>
  <r>
    <s v="ORD00783"/>
    <x v="0"/>
    <s v="CUST417"/>
    <s v="Anjali"/>
    <x v="1"/>
    <n v="32"/>
    <x v="0"/>
    <x v="0"/>
    <x v="0"/>
    <x v="2"/>
    <n v="1"/>
    <n v="8738"/>
    <n v="5"/>
    <n v="436.9"/>
    <n v="1494.2"/>
    <n v="184"/>
    <n v="9979.2999999999993"/>
    <x v="3"/>
    <x v="1"/>
    <s v="Delhi"/>
    <x v="5"/>
    <x v="1"/>
    <x v="5"/>
    <x v="0"/>
    <x v="1"/>
    <s v="Shipped"/>
  </r>
  <r>
    <s v="ORD00784"/>
    <x v="204"/>
    <s v="CUST978"/>
    <s v="Riya"/>
    <x v="1"/>
    <n v="29"/>
    <x v="0"/>
    <x v="0"/>
    <x v="0"/>
    <x v="0"/>
    <n v="4"/>
    <n v="1489"/>
    <n v="20"/>
    <n v="1191.2"/>
    <n v="857.66"/>
    <n v="442"/>
    <n v="6064.46"/>
    <x v="1"/>
    <x v="1"/>
    <s v="Jaipur"/>
    <x v="2"/>
    <x v="1"/>
    <x v="8"/>
    <x v="1"/>
    <x v="4"/>
    <s v="Delivered"/>
  </r>
  <r>
    <s v="ORD00785"/>
    <x v="257"/>
    <s v="CUST624"/>
    <s v="Karan"/>
    <x v="1"/>
    <n v="29"/>
    <x v="7"/>
    <x v="1"/>
    <x v="7"/>
    <x v="2"/>
    <n v="1"/>
    <n v="9101"/>
    <n v="5"/>
    <n v="455.05"/>
    <n v="1556.27"/>
    <n v="408"/>
    <n v="10610.22"/>
    <x v="3"/>
    <x v="1"/>
    <s v="Bangalore"/>
    <x v="3"/>
    <x v="2"/>
    <x v="9"/>
    <x v="1"/>
    <x v="3"/>
    <s v="Shipped"/>
  </r>
  <r>
    <s v="ORD00786"/>
    <x v="290"/>
    <s v="CUST907"/>
    <s v="Neha"/>
    <x v="1"/>
    <n v="58"/>
    <x v="2"/>
    <x v="1"/>
    <x v="2"/>
    <x v="6"/>
    <n v="3"/>
    <n v="28364"/>
    <n v="20"/>
    <n v="17018.400000000001"/>
    <n v="12253.25"/>
    <n v="411"/>
    <n v="80737.850000000006"/>
    <x v="3"/>
    <x v="0"/>
    <s v="Jaipur"/>
    <x v="2"/>
    <x v="1"/>
    <x v="5"/>
    <x v="1"/>
    <x v="1"/>
    <s v="Returned"/>
  </r>
  <r>
    <s v="ORD00787"/>
    <x v="223"/>
    <s v="CUST942"/>
    <s v="Neha"/>
    <x v="1"/>
    <n v="25"/>
    <x v="4"/>
    <x v="0"/>
    <x v="4"/>
    <x v="2"/>
    <n v="3"/>
    <n v="26567"/>
    <n v="20"/>
    <n v="15940.2"/>
    <n v="11476.94"/>
    <n v="289"/>
    <n v="75526.740000000005"/>
    <x v="2"/>
    <x v="1"/>
    <s v="Delhi"/>
    <x v="5"/>
    <x v="1"/>
    <x v="6"/>
    <x v="1"/>
    <x v="2"/>
    <s v="Returned"/>
  </r>
  <r>
    <s v="ORD00788"/>
    <x v="35"/>
    <s v="CUST538"/>
    <s v="Arjun"/>
    <x v="1"/>
    <n v="40"/>
    <x v="4"/>
    <x v="0"/>
    <x v="4"/>
    <x v="0"/>
    <n v="4"/>
    <n v="36398"/>
    <n v="20"/>
    <n v="29118.400000000001"/>
    <n v="20965.25"/>
    <n v="62"/>
    <n v="137500.85"/>
    <x v="0"/>
    <x v="1"/>
    <s v="Delhi"/>
    <x v="5"/>
    <x v="1"/>
    <x v="6"/>
    <x v="0"/>
    <x v="2"/>
    <s v="Returned"/>
  </r>
  <r>
    <s v="ORD00789"/>
    <x v="306"/>
    <s v="CUST882"/>
    <s v="Neha"/>
    <x v="0"/>
    <n v="26"/>
    <x v="9"/>
    <x v="0"/>
    <x v="9"/>
    <x v="7"/>
    <n v="3"/>
    <n v="5708"/>
    <n v="10"/>
    <n v="1712.4"/>
    <n v="2774.09"/>
    <n v="270"/>
    <n v="18455.689999999999"/>
    <x v="3"/>
    <x v="0"/>
    <s v="Chandigarh"/>
    <x v="1"/>
    <x v="1"/>
    <x v="9"/>
    <x v="1"/>
    <x v="0"/>
    <s v="Shipped"/>
  </r>
  <r>
    <s v="ORD00790"/>
    <x v="322"/>
    <s v="CUST800"/>
    <s v="Arjun"/>
    <x v="1"/>
    <n v="34"/>
    <x v="1"/>
    <x v="0"/>
    <x v="1"/>
    <x v="6"/>
    <n v="5"/>
    <n v="41929"/>
    <n v="10"/>
    <n v="20964.5"/>
    <n v="33962.49"/>
    <n v="167"/>
    <n v="222809.99"/>
    <x v="1"/>
    <x v="1"/>
    <s v="Lucknow"/>
    <x v="4"/>
    <x v="1"/>
    <x v="5"/>
    <x v="0"/>
    <x v="3"/>
    <s v="Cancelled"/>
  </r>
  <r>
    <s v="ORD00791"/>
    <x v="222"/>
    <s v="CUST545"/>
    <s v="Riya"/>
    <x v="1"/>
    <n v="43"/>
    <x v="9"/>
    <x v="0"/>
    <x v="9"/>
    <x v="2"/>
    <n v="4"/>
    <n v="28575"/>
    <n v="15"/>
    <n v="17145"/>
    <n v="17487.900000000001"/>
    <n v="226"/>
    <n v="114868.9"/>
    <x v="1"/>
    <x v="1"/>
    <s v="Jaipur"/>
    <x v="2"/>
    <x v="1"/>
    <x v="0"/>
    <x v="0"/>
    <x v="4"/>
    <s v="Delivered"/>
  </r>
  <r>
    <s v="ORD00792"/>
    <x v="323"/>
    <s v="CUST426"/>
    <s v="Vikas"/>
    <x v="1"/>
    <n v="55"/>
    <x v="1"/>
    <x v="0"/>
    <x v="1"/>
    <x v="4"/>
    <n v="3"/>
    <n v="13660"/>
    <n v="20"/>
    <n v="8196"/>
    <n v="5901.12"/>
    <n v="12"/>
    <n v="38697.120000000003"/>
    <x v="2"/>
    <x v="1"/>
    <s v="Bangalore"/>
    <x v="3"/>
    <x v="2"/>
    <x v="4"/>
    <x v="1"/>
    <x v="0"/>
    <s v="Returned"/>
  </r>
  <r>
    <s v="ORD00793"/>
    <x v="42"/>
    <s v="CUST641"/>
    <s v="Arjun"/>
    <x v="0"/>
    <n v="23"/>
    <x v="2"/>
    <x v="1"/>
    <x v="2"/>
    <x v="6"/>
    <n v="2"/>
    <n v="24228"/>
    <n v="10"/>
    <n v="4845.6000000000004"/>
    <n v="7849.87"/>
    <n v="308"/>
    <n v="51768.27"/>
    <x v="1"/>
    <x v="0"/>
    <s v="Bangalore"/>
    <x v="3"/>
    <x v="2"/>
    <x v="3"/>
    <x v="1"/>
    <x v="4"/>
    <s v="Cancelled"/>
  </r>
  <r>
    <s v="ORD00794"/>
    <x v="123"/>
    <s v="CUST120"/>
    <s v="Anjali"/>
    <x v="0"/>
    <n v="47"/>
    <x v="1"/>
    <x v="0"/>
    <x v="1"/>
    <x v="2"/>
    <n v="3"/>
    <n v="39349"/>
    <n v="20"/>
    <n v="23609.4"/>
    <n v="16998.77"/>
    <n v="228"/>
    <n v="111664.37"/>
    <x v="0"/>
    <x v="0"/>
    <s v="Pune"/>
    <x v="0"/>
    <x v="0"/>
    <x v="9"/>
    <x v="1"/>
    <x v="2"/>
    <s v="Shipped"/>
  </r>
  <r>
    <s v="ORD00795"/>
    <x v="270"/>
    <s v="CUST861"/>
    <s v="Karan"/>
    <x v="0"/>
    <n v="37"/>
    <x v="9"/>
    <x v="0"/>
    <x v="9"/>
    <x v="0"/>
    <n v="5"/>
    <n v="10892"/>
    <n v="20"/>
    <n v="10892"/>
    <n v="7842.24"/>
    <n v="420"/>
    <n v="51830.239999999998"/>
    <x v="0"/>
    <x v="1"/>
    <s v="Mumbai"/>
    <x v="0"/>
    <x v="0"/>
    <x v="5"/>
    <x v="0"/>
    <x v="0"/>
    <s v="Cancelled"/>
  </r>
  <r>
    <s v="ORD00796"/>
    <x v="175"/>
    <s v="CUST414"/>
    <s v="Priya"/>
    <x v="1"/>
    <n v="37"/>
    <x v="5"/>
    <x v="0"/>
    <x v="5"/>
    <x v="0"/>
    <n v="1"/>
    <n v="22810"/>
    <n v="10"/>
    <n v="2281"/>
    <n v="3695.22"/>
    <n v="477"/>
    <n v="24701.22"/>
    <x v="2"/>
    <x v="1"/>
    <s v="Lucknow"/>
    <x v="4"/>
    <x v="1"/>
    <x v="8"/>
    <x v="1"/>
    <x v="1"/>
    <s v="Shipped"/>
  </r>
  <r>
    <s v="ORD00797"/>
    <x v="282"/>
    <s v="CUST487"/>
    <s v="Arjun"/>
    <x v="0"/>
    <n v="57"/>
    <x v="4"/>
    <x v="0"/>
    <x v="4"/>
    <x v="1"/>
    <n v="2"/>
    <n v="14573"/>
    <n v="20"/>
    <n v="5829.2"/>
    <n v="4197.0200000000004"/>
    <n v="237"/>
    <n v="27750.82"/>
    <x v="0"/>
    <x v="1"/>
    <s v="Bangalore"/>
    <x v="3"/>
    <x v="2"/>
    <x v="1"/>
    <x v="1"/>
    <x v="2"/>
    <s v="Cancelled"/>
  </r>
  <r>
    <s v="ORD00798"/>
    <x v="237"/>
    <s v="CUST633"/>
    <s v="Priya"/>
    <x v="1"/>
    <n v="31"/>
    <x v="3"/>
    <x v="2"/>
    <x v="3"/>
    <x v="4"/>
    <n v="5"/>
    <n v="24050"/>
    <n v="15"/>
    <n v="18037.5"/>
    <n v="18398.25"/>
    <n v="437"/>
    <n v="121047.75"/>
    <x v="0"/>
    <x v="1"/>
    <s v="Chandigarh"/>
    <x v="1"/>
    <x v="1"/>
    <x v="1"/>
    <x v="0"/>
    <x v="1"/>
    <s v="Returned"/>
  </r>
  <r>
    <s v="ORD00799"/>
    <x v="153"/>
    <s v="CUST552"/>
    <s v="Karan"/>
    <x v="0"/>
    <n v="47"/>
    <x v="1"/>
    <x v="0"/>
    <x v="1"/>
    <x v="6"/>
    <n v="5"/>
    <n v="48099"/>
    <n v="5"/>
    <n v="12024.75"/>
    <n v="41124.639999999999"/>
    <n v="491"/>
    <n v="270085.90000000002"/>
    <x v="1"/>
    <x v="1"/>
    <s v="Lucknow"/>
    <x v="4"/>
    <x v="1"/>
    <x v="9"/>
    <x v="1"/>
    <x v="4"/>
    <s v="Cancelled"/>
  </r>
  <r>
    <s v="ORD00800"/>
    <x v="289"/>
    <s v="CUST327"/>
    <s v="Amit"/>
    <x v="1"/>
    <n v="18"/>
    <x v="0"/>
    <x v="0"/>
    <x v="0"/>
    <x v="6"/>
    <n v="5"/>
    <n v="37475"/>
    <n v="10"/>
    <n v="18737.5"/>
    <n v="30354.75"/>
    <n v="279"/>
    <n v="199271.25"/>
    <x v="3"/>
    <x v="1"/>
    <s v="Patiala"/>
    <x v="1"/>
    <x v="1"/>
    <x v="4"/>
    <x v="1"/>
    <x v="1"/>
    <s v="Shipped"/>
  </r>
  <r>
    <s v="ORD00801"/>
    <x v="147"/>
    <s v="CUST179"/>
    <s v="Vikas"/>
    <x v="0"/>
    <n v="58"/>
    <x v="5"/>
    <x v="0"/>
    <x v="5"/>
    <x v="3"/>
    <n v="2"/>
    <n v="36204"/>
    <n v="0"/>
    <n v="0"/>
    <n v="13033.44"/>
    <n v="133"/>
    <n v="85574.44"/>
    <x v="1"/>
    <x v="1"/>
    <s v="Pune"/>
    <x v="0"/>
    <x v="0"/>
    <x v="4"/>
    <x v="0"/>
    <x v="3"/>
    <s v="Cancelled"/>
  </r>
  <r>
    <s v="ORD00802"/>
    <x v="232"/>
    <s v="CUST712"/>
    <s v="Sneha"/>
    <x v="0"/>
    <n v="26"/>
    <x v="8"/>
    <x v="0"/>
    <x v="8"/>
    <x v="1"/>
    <n v="4"/>
    <n v="38685"/>
    <n v="0"/>
    <n v="0"/>
    <n v="27853.200000000001"/>
    <n v="454"/>
    <n v="183047.2"/>
    <x v="0"/>
    <x v="0"/>
    <s v="Chandigarh"/>
    <x v="1"/>
    <x v="1"/>
    <x v="5"/>
    <x v="0"/>
    <x v="3"/>
    <s v="Returned"/>
  </r>
  <r>
    <s v="ORD00803"/>
    <x v="324"/>
    <s v="CUST818"/>
    <s v="Amit"/>
    <x v="0"/>
    <n v="52"/>
    <x v="4"/>
    <x v="0"/>
    <x v="4"/>
    <x v="7"/>
    <n v="3"/>
    <n v="14708"/>
    <n v="10"/>
    <n v="4412.3999999999996"/>
    <n v="7148.09"/>
    <n v="196"/>
    <n v="47055.69"/>
    <x v="2"/>
    <x v="0"/>
    <s v="Mumbai"/>
    <x v="0"/>
    <x v="0"/>
    <x v="6"/>
    <x v="1"/>
    <x v="3"/>
    <s v="Returned"/>
  </r>
  <r>
    <s v="ORD00804"/>
    <x v="144"/>
    <s v="CUST846"/>
    <s v="Rahul"/>
    <x v="1"/>
    <n v="24"/>
    <x v="7"/>
    <x v="1"/>
    <x v="7"/>
    <x v="0"/>
    <n v="3"/>
    <n v="14838"/>
    <n v="10"/>
    <n v="4451.3999999999996"/>
    <n v="7211.27"/>
    <n v="147"/>
    <n v="47420.87"/>
    <x v="2"/>
    <x v="0"/>
    <s v="Mumbai"/>
    <x v="0"/>
    <x v="0"/>
    <x v="3"/>
    <x v="1"/>
    <x v="2"/>
    <s v="Returned"/>
  </r>
  <r>
    <s v="ORD00805"/>
    <x v="110"/>
    <s v="CUST747"/>
    <s v="Vikas"/>
    <x v="0"/>
    <n v="26"/>
    <x v="0"/>
    <x v="0"/>
    <x v="0"/>
    <x v="5"/>
    <n v="4"/>
    <n v="34698"/>
    <n v="10"/>
    <n v="13879.2"/>
    <n v="22484.3"/>
    <n v="304"/>
    <n v="147701.1"/>
    <x v="2"/>
    <x v="0"/>
    <s v="Bangalore"/>
    <x v="3"/>
    <x v="2"/>
    <x v="0"/>
    <x v="1"/>
    <x v="2"/>
    <s v="Cancelled"/>
  </r>
  <r>
    <s v="ORD00806"/>
    <x v="204"/>
    <s v="CUST568"/>
    <s v="Vikas"/>
    <x v="0"/>
    <n v="47"/>
    <x v="4"/>
    <x v="0"/>
    <x v="4"/>
    <x v="1"/>
    <n v="5"/>
    <n v="46766"/>
    <n v="10"/>
    <n v="23383"/>
    <n v="37880.46"/>
    <n v="163"/>
    <n v="248490.46"/>
    <x v="3"/>
    <x v="0"/>
    <s v="Pune"/>
    <x v="0"/>
    <x v="0"/>
    <x v="1"/>
    <x v="0"/>
    <x v="3"/>
    <s v="Returned"/>
  </r>
  <r>
    <s v="ORD00807"/>
    <x v="117"/>
    <s v="CUST827"/>
    <s v="Neha"/>
    <x v="0"/>
    <n v="30"/>
    <x v="4"/>
    <x v="0"/>
    <x v="4"/>
    <x v="5"/>
    <n v="3"/>
    <n v="644"/>
    <n v="5"/>
    <n v="96.6"/>
    <n v="330.37"/>
    <n v="253"/>
    <n v="2418.77"/>
    <x v="0"/>
    <x v="1"/>
    <s v="Jaipur"/>
    <x v="2"/>
    <x v="1"/>
    <x v="3"/>
    <x v="0"/>
    <x v="0"/>
    <s v="Cancelled"/>
  </r>
  <r>
    <s v="ORD00808"/>
    <x v="274"/>
    <s v="CUST654"/>
    <s v="Neha"/>
    <x v="0"/>
    <n v="49"/>
    <x v="8"/>
    <x v="0"/>
    <x v="8"/>
    <x v="5"/>
    <n v="1"/>
    <n v="7604"/>
    <n v="10"/>
    <n v="760.4"/>
    <n v="1231.8499999999999"/>
    <n v="405"/>
    <n v="8480.4500000000007"/>
    <x v="2"/>
    <x v="1"/>
    <s v="Lucknow"/>
    <x v="4"/>
    <x v="1"/>
    <x v="6"/>
    <x v="0"/>
    <x v="2"/>
    <s v="Cancelled"/>
  </r>
  <r>
    <s v="ORD00809"/>
    <x v="95"/>
    <s v="CUST664"/>
    <s v="Amit"/>
    <x v="0"/>
    <n v="25"/>
    <x v="7"/>
    <x v="1"/>
    <x v="7"/>
    <x v="6"/>
    <n v="5"/>
    <n v="19653"/>
    <n v="0"/>
    <n v="0"/>
    <n v="17687.7"/>
    <n v="309"/>
    <n v="116261.7"/>
    <x v="1"/>
    <x v="0"/>
    <s v="Pune"/>
    <x v="0"/>
    <x v="0"/>
    <x v="1"/>
    <x v="1"/>
    <x v="3"/>
    <s v="Returned"/>
  </r>
  <r>
    <s v="ORD00810"/>
    <x v="325"/>
    <s v="CUST917"/>
    <s v="Vikas"/>
    <x v="0"/>
    <n v="37"/>
    <x v="4"/>
    <x v="0"/>
    <x v="4"/>
    <x v="7"/>
    <n v="2"/>
    <n v="42230"/>
    <n v="10"/>
    <n v="8446"/>
    <n v="13682.52"/>
    <n v="156"/>
    <n v="89852.52"/>
    <x v="3"/>
    <x v="1"/>
    <s v="Jaipur"/>
    <x v="2"/>
    <x v="1"/>
    <x v="0"/>
    <x v="1"/>
    <x v="2"/>
    <s v="Delivered"/>
  </r>
  <r>
    <s v="ORD00811"/>
    <x v="69"/>
    <s v="CUST745"/>
    <s v="Arjun"/>
    <x v="0"/>
    <n v="23"/>
    <x v="7"/>
    <x v="1"/>
    <x v="7"/>
    <x v="1"/>
    <n v="2"/>
    <n v="29934"/>
    <n v="20"/>
    <n v="11973.6"/>
    <n v="8620.99"/>
    <n v="362"/>
    <n v="56877.39"/>
    <x v="0"/>
    <x v="1"/>
    <s v="Mumbai"/>
    <x v="0"/>
    <x v="0"/>
    <x v="4"/>
    <x v="0"/>
    <x v="4"/>
    <s v="Cancelled"/>
  </r>
  <r>
    <s v="ORD00812"/>
    <x v="52"/>
    <s v="CUST253"/>
    <s v="Riya"/>
    <x v="0"/>
    <n v="27"/>
    <x v="3"/>
    <x v="2"/>
    <x v="3"/>
    <x v="2"/>
    <n v="1"/>
    <n v="28168"/>
    <n v="10"/>
    <n v="2816.8"/>
    <n v="4563.22"/>
    <n v="158"/>
    <n v="30072.42"/>
    <x v="0"/>
    <x v="1"/>
    <s v="Lucknow"/>
    <x v="4"/>
    <x v="1"/>
    <x v="8"/>
    <x v="1"/>
    <x v="2"/>
    <s v="Returned"/>
  </r>
  <r>
    <s v="ORD00813"/>
    <x v="326"/>
    <s v="CUST765"/>
    <s v="Arjun"/>
    <x v="1"/>
    <n v="36"/>
    <x v="0"/>
    <x v="0"/>
    <x v="0"/>
    <x v="8"/>
    <n v="4"/>
    <n v="35314"/>
    <n v="5"/>
    <n v="7062.8"/>
    <n v="24154.78"/>
    <n v="456"/>
    <n v="158803.98000000001"/>
    <x v="2"/>
    <x v="0"/>
    <s v="Patiala"/>
    <x v="1"/>
    <x v="1"/>
    <x v="9"/>
    <x v="0"/>
    <x v="4"/>
    <s v="Shipped"/>
  </r>
  <r>
    <s v="ORD00814"/>
    <x v="129"/>
    <s v="CUST537"/>
    <s v="Arjun"/>
    <x v="1"/>
    <n v="55"/>
    <x v="6"/>
    <x v="0"/>
    <x v="6"/>
    <x v="4"/>
    <n v="1"/>
    <n v="27249"/>
    <n v="20"/>
    <n v="5449.8"/>
    <n v="3923.86"/>
    <n v="475"/>
    <n v="26198.06"/>
    <x v="0"/>
    <x v="1"/>
    <s v="Delhi"/>
    <x v="5"/>
    <x v="1"/>
    <x v="8"/>
    <x v="0"/>
    <x v="0"/>
    <s v="Delivered"/>
  </r>
  <r>
    <s v="ORD00815"/>
    <x v="76"/>
    <s v="CUST323"/>
    <s v="Priya"/>
    <x v="1"/>
    <n v="29"/>
    <x v="2"/>
    <x v="1"/>
    <x v="2"/>
    <x v="8"/>
    <n v="3"/>
    <n v="49236"/>
    <n v="10"/>
    <n v="14770.8"/>
    <n v="23928.7"/>
    <n v="256"/>
    <n v="157121.9"/>
    <x v="2"/>
    <x v="0"/>
    <s v="Chandigarh"/>
    <x v="1"/>
    <x v="1"/>
    <x v="2"/>
    <x v="0"/>
    <x v="3"/>
    <s v="Shipped"/>
  </r>
  <r>
    <s v="ORD00816"/>
    <x v="168"/>
    <s v="CUST259"/>
    <s v="Priya"/>
    <x v="1"/>
    <n v="26"/>
    <x v="3"/>
    <x v="2"/>
    <x v="3"/>
    <x v="7"/>
    <n v="1"/>
    <n v="30859"/>
    <n v="5"/>
    <n v="1542.95"/>
    <n v="5276.89"/>
    <n v="480"/>
    <n v="35072.94"/>
    <x v="2"/>
    <x v="1"/>
    <s v="Mumbai"/>
    <x v="0"/>
    <x v="0"/>
    <x v="1"/>
    <x v="0"/>
    <x v="1"/>
    <s v="Cancelled"/>
  </r>
  <r>
    <s v="ORD00817"/>
    <x v="327"/>
    <s v="CUST957"/>
    <s v="Karan"/>
    <x v="1"/>
    <n v="44"/>
    <x v="7"/>
    <x v="1"/>
    <x v="7"/>
    <x v="4"/>
    <n v="4"/>
    <n v="37642"/>
    <n v="15"/>
    <n v="22585.200000000001"/>
    <n v="23036.9"/>
    <n v="32"/>
    <n v="151051.70000000001"/>
    <x v="1"/>
    <x v="0"/>
    <s v="Patiala"/>
    <x v="1"/>
    <x v="1"/>
    <x v="0"/>
    <x v="0"/>
    <x v="4"/>
    <s v="Delivered"/>
  </r>
  <r>
    <s v="ORD00818"/>
    <x v="72"/>
    <s v="CUST514"/>
    <s v="Anjali"/>
    <x v="0"/>
    <n v="23"/>
    <x v="6"/>
    <x v="0"/>
    <x v="6"/>
    <x v="5"/>
    <n v="5"/>
    <n v="48628"/>
    <n v="15"/>
    <n v="36471"/>
    <n v="37200.42"/>
    <n v="224"/>
    <n v="244093.42"/>
    <x v="2"/>
    <x v="0"/>
    <s v="Chandigarh"/>
    <x v="1"/>
    <x v="1"/>
    <x v="7"/>
    <x v="1"/>
    <x v="2"/>
    <s v="Delivered"/>
  </r>
  <r>
    <s v="ORD00819"/>
    <x v="117"/>
    <s v="CUST387"/>
    <s v="Riya"/>
    <x v="0"/>
    <n v="49"/>
    <x v="9"/>
    <x v="0"/>
    <x v="9"/>
    <x v="0"/>
    <n v="5"/>
    <n v="16368"/>
    <n v="15"/>
    <n v="12276"/>
    <n v="12521.52"/>
    <n v="443"/>
    <n v="82528.52"/>
    <x v="1"/>
    <x v="1"/>
    <s v="Patiala"/>
    <x v="1"/>
    <x v="1"/>
    <x v="6"/>
    <x v="1"/>
    <x v="2"/>
    <s v="Returned"/>
  </r>
  <r>
    <s v="ORD00820"/>
    <x v="38"/>
    <s v="CUST306"/>
    <s v="Rahul"/>
    <x v="0"/>
    <n v="37"/>
    <x v="1"/>
    <x v="0"/>
    <x v="1"/>
    <x v="6"/>
    <n v="2"/>
    <n v="31757"/>
    <n v="0"/>
    <n v="0"/>
    <n v="11432.52"/>
    <n v="191"/>
    <n v="75137.52"/>
    <x v="1"/>
    <x v="0"/>
    <s v="Chandigarh"/>
    <x v="1"/>
    <x v="1"/>
    <x v="2"/>
    <x v="0"/>
    <x v="3"/>
    <s v="Returned"/>
  </r>
  <r>
    <s v="ORD00821"/>
    <x v="127"/>
    <s v="CUST190"/>
    <s v="Sneha"/>
    <x v="1"/>
    <n v="29"/>
    <x v="5"/>
    <x v="0"/>
    <x v="5"/>
    <x v="4"/>
    <n v="4"/>
    <n v="37757"/>
    <n v="10"/>
    <n v="15102.8"/>
    <n v="24466.54"/>
    <n v="430"/>
    <n v="160821.74"/>
    <x v="3"/>
    <x v="1"/>
    <s v="Patiala"/>
    <x v="1"/>
    <x v="1"/>
    <x v="2"/>
    <x v="1"/>
    <x v="1"/>
    <s v="Returned"/>
  </r>
  <r>
    <s v="ORD00822"/>
    <x v="160"/>
    <s v="CUST551"/>
    <s v="Arjun"/>
    <x v="1"/>
    <n v="55"/>
    <x v="9"/>
    <x v="0"/>
    <x v="9"/>
    <x v="8"/>
    <n v="2"/>
    <n v="42743"/>
    <n v="5"/>
    <n v="4274.3"/>
    <n v="14618.11"/>
    <n v="473"/>
    <n v="96302.81"/>
    <x v="2"/>
    <x v="1"/>
    <s v="Patiala"/>
    <x v="1"/>
    <x v="1"/>
    <x v="7"/>
    <x v="1"/>
    <x v="1"/>
    <s v="Shipped"/>
  </r>
  <r>
    <s v="ORD00823"/>
    <x v="146"/>
    <s v="CUST705"/>
    <s v="Priya"/>
    <x v="0"/>
    <n v="58"/>
    <x v="4"/>
    <x v="0"/>
    <x v="4"/>
    <x v="5"/>
    <n v="3"/>
    <n v="20225"/>
    <n v="10"/>
    <n v="6067.5"/>
    <n v="9829.35"/>
    <n v="463"/>
    <n v="64899.85"/>
    <x v="1"/>
    <x v="1"/>
    <s v="Patiala"/>
    <x v="1"/>
    <x v="1"/>
    <x v="7"/>
    <x v="1"/>
    <x v="0"/>
    <s v="Cancelled"/>
  </r>
  <r>
    <s v="ORD00824"/>
    <x v="294"/>
    <s v="CUST362"/>
    <s v="Rahul"/>
    <x v="1"/>
    <n v="49"/>
    <x v="2"/>
    <x v="1"/>
    <x v="2"/>
    <x v="6"/>
    <n v="2"/>
    <n v="8375"/>
    <n v="15"/>
    <n v="2512.5"/>
    <n v="2562.75"/>
    <n v="470"/>
    <n v="17270.25"/>
    <x v="1"/>
    <x v="0"/>
    <s v="Bangalore"/>
    <x v="3"/>
    <x v="2"/>
    <x v="0"/>
    <x v="0"/>
    <x v="3"/>
    <s v="Shipped"/>
  </r>
  <r>
    <s v="ORD00825"/>
    <x v="233"/>
    <s v="CUST869"/>
    <s v="Sneha"/>
    <x v="1"/>
    <n v="58"/>
    <x v="5"/>
    <x v="0"/>
    <x v="5"/>
    <x v="1"/>
    <n v="1"/>
    <n v="5347"/>
    <n v="10"/>
    <n v="534.70000000000005"/>
    <n v="866.21"/>
    <n v="428"/>
    <n v="6106.51"/>
    <x v="3"/>
    <x v="1"/>
    <s v="Lucknow"/>
    <x v="4"/>
    <x v="1"/>
    <x v="9"/>
    <x v="0"/>
    <x v="1"/>
    <s v="Shipped"/>
  </r>
  <r>
    <s v="ORD00826"/>
    <x v="172"/>
    <s v="CUST730"/>
    <s v="Sneha"/>
    <x v="1"/>
    <n v="19"/>
    <x v="7"/>
    <x v="1"/>
    <x v="7"/>
    <x v="5"/>
    <n v="2"/>
    <n v="24967"/>
    <n v="10"/>
    <n v="4993.3999999999996"/>
    <n v="8089.31"/>
    <n v="104"/>
    <n v="53133.91"/>
    <x v="2"/>
    <x v="0"/>
    <s v="Jaipur"/>
    <x v="2"/>
    <x v="1"/>
    <x v="0"/>
    <x v="0"/>
    <x v="1"/>
    <s v="Cancelled"/>
  </r>
  <r>
    <s v="ORD00827"/>
    <x v="128"/>
    <s v="CUST914"/>
    <s v="Amit"/>
    <x v="1"/>
    <n v="38"/>
    <x v="2"/>
    <x v="1"/>
    <x v="2"/>
    <x v="1"/>
    <n v="4"/>
    <n v="33363"/>
    <n v="0"/>
    <n v="0"/>
    <n v="24021.360000000001"/>
    <n v="353"/>
    <n v="157826.35999999999"/>
    <x v="3"/>
    <x v="1"/>
    <s v="Patiala"/>
    <x v="1"/>
    <x v="1"/>
    <x v="0"/>
    <x v="0"/>
    <x v="2"/>
    <s v="Shipped"/>
  </r>
  <r>
    <s v="ORD00828"/>
    <x v="291"/>
    <s v="CUST158"/>
    <s v="Neha"/>
    <x v="1"/>
    <n v="38"/>
    <x v="2"/>
    <x v="1"/>
    <x v="2"/>
    <x v="9"/>
    <n v="3"/>
    <n v="11118"/>
    <n v="15"/>
    <n v="5003.1000000000004"/>
    <n v="5103.16"/>
    <n v="443"/>
    <n v="33897.06"/>
    <x v="3"/>
    <x v="1"/>
    <s v="Bangalore"/>
    <x v="3"/>
    <x v="2"/>
    <x v="6"/>
    <x v="0"/>
    <x v="3"/>
    <s v="Shipped"/>
  </r>
  <r>
    <s v="ORD00829"/>
    <x v="210"/>
    <s v="CUST773"/>
    <s v="Vikas"/>
    <x v="1"/>
    <n v="59"/>
    <x v="7"/>
    <x v="1"/>
    <x v="7"/>
    <x v="0"/>
    <n v="1"/>
    <n v="34518"/>
    <n v="0"/>
    <n v="0"/>
    <n v="6213.24"/>
    <n v="91"/>
    <n v="40822.239999999998"/>
    <x v="2"/>
    <x v="1"/>
    <s v="Jaipur"/>
    <x v="2"/>
    <x v="1"/>
    <x v="6"/>
    <x v="1"/>
    <x v="4"/>
    <s v="Shipped"/>
  </r>
  <r>
    <s v="ORD00830"/>
    <x v="328"/>
    <s v="CUST325"/>
    <s v="Riya"/>
    <x v="0"/>
    <n v="56"/>
    <x v="0"/>
    <x v="0"/>
    <x v="0"/>
    <x v="1"/>
    <n v="3"/>
    <n v="30273"/>
    <n v="10"/>
    <n v="9081.9"/>
    <n v="14712.68"/>
    <n v="294"/>
    <n v="96743.78"/>
    <x v="0"/>
    <x v="1"/>
    <s v="Pune"/>
    <x v="0"/>
    <x v="0"/>
    <x v="6"/>
    <x v="1"/>
    <x v="4"/>
    <s v="Returned"/>
  </r>
  <r>
    <s v="ORD00831"/>
    <x v="25"/>
    <s v="CUST421"/>
    <s v="Sneha"/>
    <x v="0"/>
    <n v="42"/>
    <x v="4"/>
    <x v="0"/>
    <x v="4"/>
    <x v="6"/>
    <n v="2"/>
    <n v="11342"/>
    <n v="10"/>
    <n v="2268.4"/>
    <n v="3674.81"/>
    <n v="459"/>
    <n v="24549.41"/>
    <x v="0"/>
    <x v="0"/>
    <s v="Lucknow"/>
    <x v="4"/>
    <x v="1"/>
    <x v="5"/>
    <x v="0"/>
    <x v="0"/>
    <s v="Cancelled"/>
  </r>
  <r>
    <s v="ORD00832"/>
    <x v="206"/>
    <s v="CUST690"/>
    <s v="Arjun"/>
    <x v="1"/>
    <n v="58"/>
    <x v="6"/>
    <x v="0"/>
    <x v="6"/>
    <x v="4"/>
    <n v="1"/>
    <n v="48064"/>
    <n v="20"/>
    <n v="9612.7999999999993"/>
    <n v="6921.22"/>
    <n v="115"/>
    <n v="45487.42"/>
    <x v="0"/>
    <x v="0"/>
    <s v="Delhi"/>
    <x v="5"/>
    <x v="1"/>
    <x v="0"/>
    <x v="1"/>
    <x v="3"/>
    <s v="Delivered"/>
  </r>
  <r>
    <s v="ORD00833"/>
    <x v="21"/>
    <s v="CUST330"/>
    <s v="Karan"/>
    <x v="1"/>
    <n v="35"/>
    <x v="5"/>
    <x v="0"/>
    <x v="5"/>
    <x v="9"/>
    <n v="5"/>
    <n v="32836"/>
    <n v="15"/>
    <n v="24627"/>
    <n v="25119.54"/>
    <n v="464"/>
    <n v="165136.54"/>
    <x v="0"/>
    <x v="1"/>
    <s v="Mumbai"/>
    <x v="0"/>
    <x v="0"/>
    <x v="2"/>
    <x v="0"/>
    <x v="2"/>
    <s v="Returned"/>
  </r>
  <r>
    <s v="ORD00834"/>
    <x v="14"/>
    <s v="CUST934"/>
    <s v="Sneha"/>
    <x v="1"/>
    <n v="40"/>
    <x v="1"/>
    <x v="0"/>
    <x v="1"/>
    <x v="1"/>
    <n v="5"/>
    <n v="43163"/>
    <n v="10"/>
    <n v="21581.5"/>
    <n v="34962.03"/>
    <n v="202"/>
    <n v="229397.53"/>
    <x v="2"/>
    <x v="1"/>
    <s v="Pune"/>
    <x v="0"/>
    <x v="0"/>
    <x v="0"/>
    <x v="0"/>
    <x v="4"/>
    <s v="Shipped"/>
  </r>
  <r>
    <s v="ORD00835"/>
    <x v="236"/>
    <s v="CUST594"/>
    <s v="Anjali"/>
    <x v="0"/>
    <n v="29"/>
    <x v="6"/>
    <x v="0"/>
    <x v="6"/>
    <x v="4"/>
    <n v="1"/>
    <n v="31573"/>
    <n v="10"/>
    <n v="3157.3"/>
    <n v="5114.83"/>
    <n v="152"/>
    <n v="33682.53"/>
    <x v="2"/>
    <x v="0"/>
    <s v="Chandigarh"/>
    <x v="1"/>
    <x v="1"/>
    <x v="1"/>
    <x v="1"/>
    <x v="0"/>
    <s v="Delivered"/>
  </r>
  <r>
    <s v="ORD00836"/>
    <x v="134"/>
    <s v="CUST305"/>
    <s v="Karan"/>
    <x v="1"/>
    <n v="29"/>
    <x v="3"/>
    <x v="2"/>
    <x v="3"/>
    <x v="8"/>
    <n v="1"/>
    <n v="48245"/>
    <n v="20"/>
    <n v="9649"/>
    <n v="6947.28"/>
    <n v="5"/>
    <n v="45548.28"/>
    <x v="1"/>
    <x v="0"/>
    <s v="Patiala"/>
    <x v="1"/>
    <x v="1"/>
    <x v="4"/>
    <x v="0"/>
    <x v="3"/>
    <s v="Shipped"/>
  </r>
  <r>
    <s v="ORD00837"/>
    <x v="78"/>
    <s v="CUST586"/>
    <s v="Vikas"/>
    <x v="1"/>
    <n v="27"/>
    <x v="8"/>
    <x v="0"/>
    <x v="8"/>
    <x v="3"/>
    <n v="4"/>
    <n v="47145"/>
    <n v="20"/>
    <n v="37716"/>
    <n v="27155.52"/>
    <n v="457"/>
    <n v="178476.52"/>
    <x v="2"/>
    <x v="1"/>
    <s v="Delhi"/>
    <x v="5"/>
    <x v="1"/>
    <x v="0"/>
    <x v="1"/>
    <x v="4"/>
    <s v="Returned"/>
  </r>
  <r>
    <s v="ORD00838"/>
    <x v="34"/>
    <s v="CUST266"/>
    <s v="Vikas"/>
    <x v="1"/>
    <n v="56"/>
    <x v="2"/>
    <x v="1"/>
    <x v="2"/>
    <x v="7"/>
    <n v="5"/>
    <n v="25380"/>
    <n v="0"/>
    <n v="0"/>
    <n v="22842"/>
    <n v="309"/>
    <n v="150051"/>
    <x v="1"/>
    <x v="0"/>
    <s v="Pune"/>
    <x v="0"/>
    <x v="0"/>
    <x v="0"/>
    <x v="1"/>
    <x v="2"/>
    <s v="Cancelled"/>
  </r>
  <r>
    <s v="ORD00839"/>
    <x v="37"/>
    <s v="CUST636"/>
    <s v="Rahul"/>
    <x v="0"/>
    <n v="22"/>
    <x v="8"/>
    <x v="0"/>
    <x v="8"/>
    <x v="0"/>
    <n v="1"/>
    <n v="40566"/>
    <n v="10"/>
    <n v="4056.6"/>
    <n v="6571.69"/>
    <n v="112"/>
    <n v="43193.09"/>
    <x v="1"/>
    <x v="1"/>
    <s v="Chandigarh"/>
    <x v="1"/>
    <x v="1"/>
    <x v="6"/>
    <x v="1"/>
    <x v="2"/>
    <s v="Returned"/>
  </r>
  <r>
    <s v="ORD00840"/>
    <x v="244"/>
    <s v="CUST260"/>
    <s v="Vikas"/>
    <x v="1"/>
    <n v="37"/>
    <x v="0"/>
    <x v="0"/>
    <x v="0"/>
    <x v="9"/>
    <n v="1"/>
    <n v="6815"/>
    <n v="20"/>
    <n v="1363"/>
    <n v="981.36"/>
    <n v="338"/>
    <n v="6771.36"/>
    <x v="0"/>
    <x v="0"/>
    <s v="Lucknow"/>
    <x v="4"/>
    <x v="1"/>
    <x v="6"/>
    <x v="1"/>
    <x v="4"/>
    <s v="Returned"/>
  </r>
  <r>
    <s v="ORD00841"/>
    <x v="135"/>
    <s v="CUST397"/>
    <s v="Rahul"/>
    <x v="0"/>
    <n v="51"/>
    <x v="0"/>
    <x v="0"/>
    <x v="0"/>
    <x v="3"/>
    <n v="3"/>
    <n v="49678"/>
    <n v="15"/>
    <n v="22355.1"/>
    <n v="22802.2"/>
    <n v="277"/>
    <n v="149758.1"/>
    <x v="1"/>
    <x v="0"/>
    <s v="Chandigarh"/>
    <x v="1"/>
    <x v="1"/>
    <x v="6"/>
    <x v="0"/>
    <x v="4"/>
    <s v="Returned"/>
  </r>
  <r>
    <s v="ORD00842"/>
    <x v="30"/>
    <s v="CUST288"/>
    <s v="Anjali"/>
    <x v="1"/>
    <n v="46"/>
    <x v="9"/>
    <x v="0"/>
    <x v="9"/>
    <x v="2"/>
    <n v="4"/>
    <n v="21247"/>
    <n v="5"/>
    <n v="4249.3999999999996"/>
    <n v="14532.95"/>
    <n v="439"/>
    <n v="95710.55"/>
    <x v="3"/>
    <x v="1"/>
    <s v="Patiala"/>
    <x v="1"/>
    <x v="1"/>
    <x v="8"/>
    <x v="0"/>
    <x v="2"/>
    <s v="Returned"/>
  </r>
  <r>
    <s v="ORD00843"/>
    <x v="2"/>
    <s v="CUST836"/>
    <s v="Riya"/>
    <x v="1"/>
    <n v="31"/>
    <x v="2"/>
    <x v="1"/>
    <x v="2"/>
    <x v="6"/>
    <n v="2"/>
    <n v="10921"/>
    <n v="5"/>
    <n v="1092.0999999999999"/>
    <n v="3734.98"/>
    <n v="395"/>
    <n v="24879.88"/>
    <x v="3"/>
    <x v="0"/>
    <s v="Patiala"/>
    <x v="1"/>
    <x v="1"/>
    <x v="4"/>
    <x v="0"/>
    <x v="2"/>
    <s v="Cancelled"/>
  </r>
  <r>
    <s v="ORD00844"/>
    <x v="68"/>
    <s v="CUST523"/>
    <s v="Arjun"/>
    <x v="1"/>
    <n v="20"/>
    <x v="3"/>
    <x v="2"/>
    <x v="3"/>
    <x v="0"/>
    <n v="2"/>
    <n v="41264"/>
    <n v="5"/>
    <n v="4126.3999999999996"/>
    <n v="14112.29"/>
    <n v="7"/>
    <n v="92520.89"/>
    <x v="2"/>
    <x v="0"/>
    <s v="Delhi"/>
    <x v="5"/>
    <x v="1"/>
    <x v="4"/>
    <x v="1"/>
    <x v="4"/>
    <s v="Shipped"/>
  </r>
  <r>
    <s v="ORD00845"/>
    <x v="165"/>
    <s v="CUST162"/>
    <s v="Anjali"/>
    <x v="1"/>
    <n v="37"/>
    <x v="9"/>
    <x v="0"/>
    <x v="9"/>
    <x v="6"/>
    <n v="5"/>
    <n v="15722"/>
    <n v="20"/>
    <n v="15722"/>
    <n v="11319.84"/>
    <n v="333"/>
    <n v="74540.84"/>
    <x v="3"/>
    <x v="0"/>
    <s v="Bangalore"/>
    <x v="3"/>
    <x v="2"/>
    <x v="5"/>
    <x v="0"/>
    <x v="3"/>
    <s v="Delivered"/>
  </r>
  <r>
    <s v="ORD00846"/>
    <x v="50"/>
    <s v="CUST459"/>
    <s v="Sneha"/>
    <x v="0"/>
    <n v="26"/>
    <x v="0"/>
    <x v="0"/>
    <x v="0"/>
    <x v="9"/>
    <n v="4"/>
    <n v="48345"/>
    <n v="5"/>
    <n v="9669"/>
    <n v="33067.980000000003"/>
    <n v="107"/>
    <n v="216885.98"/>
    <x v="1"/>
    <x v="1"/>
    <s v="Mumbai"/>
    <x v="0"/>
    <x v="0"/>
    <x v="7"/>
    <x v="0"/>
    <x v="3"/>
    <s v="Returned"/>
  </r>
  <r>
    <s v="ORD00847"/>
    <x v="84"/>
    <s v="CUST499"/>
    <s v="Amit"/>
    <x v="1"/>
    <n v="59"/>
    <x v="4"/>
    <x v="0"/>
    <x v="4"/>
    <x v="9"/>
    <n v="2"/>
    <n v="32961"/>
    <n v="0"/>
    <n v="0"/>
    <n v="11865.96"/>
    <n v="103"/>
    <n v="77890.960000000006"/>
    <x v="3"/>
    <x v="0"/>
    <s v="Delhi"/>
    <x v="5"/>
    <x v="1"/>
    <x v="6"/>
    <x v="0"/>
    <x v="0"/>
    <s v="Returned"/>
  </r>
  <r>
    <s v="ORD00848"/>
    <x v="71"/>
    <s v="CUST891"/>
    <s v="Arjun"/>
    <x v="1"/>
    <n v="36"/>
    <x v="7"/>
    <x v="1"/>
    <x v="7"/>
    <x v="0"/>
    <n v="3"/>
    <n v="20711"/>
    <n v="20"/>
    <n v="12426.6"/>
    <n v="8947.15"/>
    <n v="216"/>
    <n v="58869.55"/>
    <x v="0"/>
    <x v="1"/>
    <s v="Mumbai"/>
    <x v="0"/>
    <x v="0"/>
    <x v="8"/>
    <x v="1"/>
    <x v="4"/>
    <s v="Shipped"/>
  </r>
  <r>
    <s v="ORD00849"/>
    <x v="71"/>
    <s v="CUST681"/>
    <s v="Priya"/>
    <x v="0"/>
    <n v="49"/>
    <x v="8"/>
    <x v="0"/>
    <x v="8"/>
    <x v="2"/>
    <n v="5"/>
    <n v="19707"/>
    <n v="10"/>
    <n v="9853.5"/>
    <n v="15962.67"/>
    <n v="346"/>
    <n v="104990.17"/>
    <x v="3"/>
    <x v="1"/>
    <s v="Jaipur"/>
    <x v="2"/>
    <x v="1"/>
    <x v="1"/>
    <x v="1"/>
    <x v="0"/>
    <s v="Returned"/>
  </r>
  <r>
    <s v="ORD00850"/>
    <x v="223"/>
    <s v="CUST201"/>
    <s v="Sneha"/>
    <x v="1"/>
    <n v="45"/>
    <x v="3"/>
    <x v="2"/>
    <x v="3"/>
    <x v="9"/>
    <n v="1"/>
    <n v="37289"/>
    <n v="20"/>
    <n v="7457.8"/>
    <n v="5369.62"/>
    <n v="297"/>
    <n v="35497.82"/>
    <x v="1"/>
    <x v="1"/>
    <s v="Bangalore"/>
    <x v="3"/>
    <x v="2"/>
    <x v="4"/>
    <x v="0"/>
    <x v="2"/>
    <s v="Delivered"/>
  </r>
  <r>
    <s v="ORD00851"/>
    <x v="285"/>
    <s v="CUST356"/>
    <s v="Rahul"/>
    <x v="0"/>
    <n v="53"/>
    <x v="3"/>
    <x v="2"/>
    <x v="3"/>
    <x v="9"/>
    <n v="5"/>
    <n v="35009"/>
    <n v="0"/>
    <n v="0"/>
    <n v="31508.1"/>
    <n v="316"/>
    <n v="206869.1"/>
    <x v="1"/>
    <x v="0"/>
    <s v="Pune"/>
    <x v="0"/>
    <x v="0"/>
    <x v="0"/>
    <x v="1"/>
    <x v="3"/>
    <s v="Cancelled"/>
  </r>
  <r>
    <s v="ORD00852"/>
    <x v="329"/>
    <s v="CUST495"/>
    <s v="Amit"/>
    <x v="0"/>
    <n v="30"/>
    <x v="8"/>
    <x v="0"/>
    <x v="8"/>
    <x v="8"/>
    <n v="3"/>
    <n v="26210"/>
    <n v="20"/>
    <n v="15726"/>
    <n v="11322.72"/>
    <n v="459"/>
    <n v="74685.72"/>
    <x v="3"/>
    <x v="0"/>
    <s v="Mumbai"/>
    <x v="0"/>
    <x v="0"/>
    <x v="9"/>
    <x v="0"/>
    <x v="0"/>
    <s v="Returned"/>
  </r>
  <r>
    <s v="ORD00853"/>
    <x v="184"/>
    <s v="CUST310"/>
    <s v="Vikas"/>
    <x v="0"/>
    <n v="49"/>
    <x v="2"/>
    <x v="1"/>
    <x v="2"/>
    <x v="0"/>
    <n v="4"/>
    <n v="13804"/>
    <n v="5"/>
    <n v="2760.8"/>
    <n v="9441.94"/>
    <n v="349"/>
    <n v="62246.14"/>
    <x v="0"/>
    <x v="0"/>
    <s v="Patiala"/>
    <x v="1"/>
    <x v="1"/>
    <x v="5"/>
    <x v="1"/>
    <x v="4"/>
    <s v="Returned"/>
  </r>
  <r>
    <s v="ORD00854"/>
    <x v="330"/>
    <s v="CUST117"/>
    <s v="Karan"/>
    <x v="1"/>
    <n v="59"/>
    <x v="1"/>
    <x v="0"/>
    <x v="1"/>
    <x v="6"/>
    <n v="2"/>
    <n v="20640"/>
    <n v="0"/>
    <n v="0"/>
    <n v="7430.4"/>
    <n v="97"/>
    <n v="48807.4"/>
    <x v="1"/>
    <x v="0"/>
    <s v="Mumbai"/>
    <x v="0"/>
    <x v="0"/>
    <x v="4"/>
    <x v="1"/>
    <x v="0"/>
    <s v="Returned"/>
  </r>
  <r>
    <s v="ORD00855"/>
    <x v="133"/>
    <s v="CUST177"/>
    <s v="Rahul"/>
    <x v="1"/>
    <n v="47"/>
    <x v="3"/>
    <x v="2"/>
    <x v="3"/>
    <x v="0"/>
    <n v="4"/>
    <n v="32637"/>
    <n v="15"/>
    <n v="19582.2"/>
    <n v="19973.84"/>
    <n v="162"/>
    <n v="131101.64000000001"/>
    <x v="1"/>
    <x v="1"/>
    <s v="Patiala"/>
    <x v="1"/>
    <x v="1"/>
    <x v="2"/>
    <x v="0"/>
    <x v="1"/>
    <s v="Shipped"/>
  </r>
  <r>
    <s v="ORD00856"/>
    <x v="290"/>
    <s v="CUST219"/>
    <s v="Anjali"/>
    <x v="0"/>
    <n v="18"/>
    <x v="3"/>
    <x v="2"/>
    <x v="3"/>
    <x v="4"/>
    <n v="5"/>
    <n v="30196"/>
    <n v="5"/>
    <n v="7549"/>
    <n v="25817.58"/>
    <n v="472"/>
    <n v="169720.58"/>
    <x v="2"/>
    <x v="1"/>
    <s v="Patiala"/>
    <x v="1"/>
    <x v="1"/>
    <x v="4"/>
    <x v="0"/>
    <x v="0"/>
    <s v="Returned"/>
  </r>
  <r>
    <s v="ORD00857"/>
    <x v="112"/>
    <s v="CUST763"/>
    <s v="Anjali"/>
    <x v="1"/>
    <n v="21"/>
    <x v="6"/>
    <x v="0"/>
    <x v="6"/>
    <x v="8"/>
    <n v="2"/>
    <n v="22407"/>
    <n v="5"/>
    <n v="2240.6999999999998"/>
    <n v="7663.19"/>
    <n v="46"/>
    <n v="50282.49"/>
    <x v="2"/>
    <x v="0"/>
    <s v="Lucknow"/>
    <x v="4"/>
    <x v="1"/>
    <x v="1"/>
    <x v="0"/>
    <x v="0"/>
    <s v="Returned"/>
  </r>
  <r>
    <s v="ORD00858"/>
    <x v="299"/>
    <s v="CUST418"/>
    <s v="Rahul"/>
    <x v="1"/>
    <n v="25"/>
    <x v="8"/>
    <x v="0"/>
    <x v="8"/>
    <x v="7"/>
    <n v="4"/>
    <n v="21850"/>
    <n v="15"/>
    <n v="13110"/>
    <n v="13372.2"/>
    <n v="303"/>
    <n v="87965.2"/>
    <x v="1"/>
    <x v="0"/>
    <s v="Lucknow"/>
    <x v="4"/>
    <x v="1"/>
    <x v="7"/>
    <x v="1"/>
    <x v="3"/>
    <s v="Shipped"/>
  </r>
  <r>
    <s v="ORD00859"/>
    <x v="56"/>
    <s v="CUST830"/>
    <s v="Riya"/>
    <x v="0"/>
    <n v="31"/>
    <x v="5"/>
    <x v="0"/>
    <x v="5"/>
    <x v="3"/>
    <n v="1"/>
    <n v="24965"/>
    <n v="20"/>
    <n v="4993"/>
    <n v="3594.96"/>
    <n v="431"/>
    <n v="23997.96"/>
    <x v="0"/>
    <x v="0"/>
    <s v="Patiala"/>
    <x v="1"/>
    <x v="1"/>
    <x v="0"/>
    <x v="1"/>
    <x v="0"/>
    <s v="Delivered"/>
  </r>
  <r>
    <s v="ORD00860"/>
    <x v="95"/>
    <s v="CUST564"/>
    <s v="Sneha"/>
    <x v="1"/>
    <n v="24"/>
    <x v="8"/>
    <x v="0"/>
    <x v="8"/>
    <x v="8"/>
    <n v="2"/>
    <n v="44956"/>
    <n v="15"/>
    <n v="13486.8"/>
    <n v="13756.54"/>
    <n v="136"/>
    <n v="90317.74"/>
    <x v="2"/>
    <x v="1"/>
    <s v="Mumbai"/>
    <x v="0"/>
    <x v="0"/>
    <x v="0"/>
    <x v="0"/>
    <x v="2"/>
    <s v="Delivered"/>
  </r>
  <r>
    <s v="ORD00861"/>
    <x v="236"/>
    <s v="CUST312"/>
    <s v="Riya"/>
    <x v="0"/>
    <n v="57"/>
    <x v="5"/>
    <x v="0"/>
    <x v="5"/>
    <x v="0"/>
    <n v="3"/>
    <n v="42360"/>
    <n v="15"/>
    <n v="19062"/>
    <n v="19443.240000000002"/>
    <n v="46"/>
    <n v="127507.24"/>
    <x v="1"/>
    <x v="0"/>
    <s v="Patiala"/>
    <x v="1"/>
    <x v="1"/>
    <x v="4"/>
    <x v="1"/>
    <x v="0"/>
    <s v="Shipped"/>
  </r>
  <r>
    <s v="ORD00862"/>
    <x v="176"/>
    <s v="CUST246"/>
    <s v="Priya"/>
    <x v="1"/>
    <n v="39"/>
    <x v="7"/>
    <x v="1"/>
    <x v="7"/>
    <x v="2"/>
    <n v="2"/>
    <n v="26834"/>
    <n v="20"/>
    <n v="10733.6"/>
    <n v="7728.19"/>
    <n v="488"/>
    <n v="51150.59"/>
    <x v="2"/>
    <x v="0"/>
    <s v="Mumbai"/>
    <x v="0"/>
    <x v="0"/>
    <x v="6"/>
    <x v="1"/>
    <x v="1"/>
    <s v="Shipped"/>
  </r>
  <r>
    <s v="ORD00863"/>
    <x v="57"/>
    <s v="CUST635"/>
    <s v="Riya"/>
    <x v="1"/>
    <n v="52"/>
    <x v="1"/>
    <x v="0"/>
    <x v="1"/>
    <x v="0"/>
    <n v="4"/>
    <n v="43417"/>
    <n v="20"/>
    <n v="34733.599999999999"/>
    <n v="25008.19"/>
    <n v="360"/>
    <n v="164302.59"/>
    <x v="0"/>
    <x v="1"/>
    <s v="Mumbai"/>
    <x v="0"/>
    <x v="0"/>
    <x v="8"/>
    <x v="0"/>
    <x v="0"/>
    <s v="Shipped"/>
  </r>
  <r>
    <s v="ORD00864"/>
    <x v="317"/>
    <s v="CUST293"/>
    <s v="Anjali"/>
    <x v="0"/>
    <n v="33"/>
    <x v="3"/>
    <x v="2"/>
    <x v="3"/>
    <x v="4"/>
    <n v="5"/>
    <n v="36728"/>
    <n v="10"/>
    <n v="18364"/>
    <n v="29749.68"/>
    <n v="119"/>
    <n v="195144.68"/>
    <x v="2"/>
    <x v="1"/>
    <s v="Delhi"/>
    <x v="5"/>
    <x v="1"/>
    <x v="0"/>
    <x v="1"/>
    <x v="1"/>
    <s v="Delivered"/>
  </r>
  <r>
    <s v="ORD00865"/>
    <x v="236"/>
    <s v="CUST482"/>
    <s v="Anjali"/>
    <x v="0"/>
    <n v="25"/>
    <x v="6"/>
    <x v="0"/>
    <x v="6"/>
    <x v="7"/>
    <n v="1"/>
    <n v="41533"/>
    <n v="0"/>
    <n v="0"/>
    <n v="7475.94"/>
    <n v="229"/>
    <n v="49237.94"/>
    <x v="3"/>
    <x v="0"/>
    <s v="Pune"/>
    <x v="0"/>
    <x v="0"/>
    <x v="9"/>
    <x v="1"/>
    <x v="4"/>
    <s v="Shipped"/>
  </r>
  <r>
    <s v="ORD00866"/>
    <x v="26"/>
    <s v="CUST379"/>
    <s v="Rahul"/>
    <x v="0"/>
    <n v="55"/>
    <x v="5"/>
    <x v="0"/>
    <x v="5"/>
    <x v="6"/>
    <n v="5"/>
    <n v="30419"/>
    <n v="10"/>
    <n v="15209.5"/>
    <n v="24639.39"/>
    <n v="45"/>
    <n v="161569.89000000001"/>
    <x v="1"/>
    <x v="0"/>
    <s v="Pune"/>
    <x v="0"/>
    <x v="0"/>
    <x v="2"/>
    <x v="0"/>
    <x v="1"/>
    <s v="Shipped"/>
  </r>
  <r>
    <s v="ORD00867"/>
    <x v="310"/>
    <s v="CUST366"/>
    <s v="Sneha"/>
    <x v="1"/>
    <n v="24"/>
    <x v="4"/>
    <x v="0"/>
    <x v="4"/>
    <x v="5"/>
    <n v="3"/>
    <n v="41505"/>
    <n v="20"/>
    <n v="24903"/>
    <n v="17930.16"/>
    <n v="297"/>
    <n v="117839.16"/>
    <x v="0"/>
    <x v="1"/>
    <s v="Mumbai"/>
    <x v="0"/>
    <x v="0"/>
    <x v="0"/>
    <x v="0"/>
    <x v="3"/>
    <s v="Delivered"/>
  </r>
  <r>
    <s v="ORD00868"/>
    <x v="195"/>
    <s v="CUST770"/>
    <s v="Neha"/>
    <x v="0"/>
    <n v="49"/>
    <x v="2"/>
    <x v="1"/>
    <x v="2"/>
    <x v="0"/>
    <n v="3"/>
    <n v="5310"/>
    <n v="10"/>
    <n v="1593"/>
    <n v="2580.66"/>
    <n v="400"/>
    <n v="17317.66"/>
    <x v="0"/>
    <x v="1"/>
    <s v="Delhi"/>
    <x v="5"/>
    <x v="1"/>
    <x v="4"/>
    <x v="0"/>
    <x v="4"/>
    <s v="Returned"/>
  </r>
  <r>
    <s v="ORD00869"/>
    <x v="252"/>
    <s v="CUST580"/>
    <s v="Anjali"/>
    <x v="1"/>
    <n v="32"/>
    <x v="8"/>
    <x v="0"/>
    <x v="8"/>
    <x v="8"/>
    <n v="4"/>
    <n v="14528"/>
    <n v="20"/>
    <n v="11622.4"/>
    <n v="8368.1299999999992"/>
    <n v="121"/>
    <n v="54978.73"/>
    <x v="1"/>
    <x v="0"/>
    <s v="Chandigarh"/>
    <x v="1"/>
    <x v="1"/>
    <x v="5"/>
    <x v="0"/>
    <x v="4"/>
    <s v="Cancelled"/>
  </r>
  <r>
    <s v="ORD00870"/>
    <x v="122"/>
    <s v="CUST103"/>
    <s v="Priya"/>
    <x v="1"/>
    <n v="34"/>
    <x v="7"/>
    <x v="1"/>
    <x v="7"/>
    <x v="8"/>
    <n v="4"/>
    <n v="29992"/>
    <n v="5"/>
    <n v="5998.4"/>
    <n v="20514.53"/>
    <n v="338"/>
    <n v="134822.13"/>
    <x v="3"/>
    <x v="1"/>
    <s v="Patiala"/>
    <x v="1"/>
    <x v="1"/>
    <x v="1"/>
    <x v="1"/>
    <x v="2"/>
    <s v="Cancelled"/>
  </r>
  <r>
    <s v="ORD00871"/>
    <x v="6"/>
    <s v="CUST210"/>
    <s v="Arjun"/>
    <x v="0"/>
    <n v="28"/>
    <x v="1"/>
    <x v="0"/>
    <x v="1"/>
    <x v="8"/>
    <n v="4"/>
    <n v="29117"/>
    <n v="15"/>
    <n v="17470.2"/>
    <n v="17819.599999999999"/>
    <n v="300"/>
    <n v="117117.4"/>
    <x v="1"/>
    <x v="0"/>
    <s v="Pune"/>
    <x v="0"/>
    <x v="0"/>
    <x v="7"/>
    <x v="0"/>
    <x v="4"/>
    <s v="Cancelled"/>
  </r>
  <r>
    <s v="ORD00872"/>
    <x v="96"/>
    <s v="CUST685"/>
    <s v="Rahul"/>
    <x v="0"/>
    <n v="32"/>
    <x v="1"/>
    <x v="0"/>
    <x v="1"/>
    <x v="0"/>
    <n v="1"/>
    <n v="6441"/>
    <n v="20"/>
    <n v="1288.2"/>
    <n v="927.5"/>
    <n v="124"/>
    <n v="6204.3"/>
    <x v="1"/>
    <x v="0"/>
    <s v="Jaipur"/>
    <x v="2"/>
    <x v="1"/>
    <x v="5"/>
    <x v="0"/>
    <x v="3"/>
    <s v="Shipped"/>
  </r>
  <r>
    <s v="ORD00873"/>
    <x v="112"/>
    <s v="CUST376"/>
    <s v="Vikas"/>
    <x v="0"/>
    <n v="25"/>
    <x v="3"/>
    <x v="2"/>
    <x v="3"/>
    <x v="6"/>
    <n v="3"/>
    <n v="23228"/>
    <n v="15"/>
    <n v="10452.6"/>
    <n v="10661.65"/>
    <n v="74"/>
    <n v="69967.05"/>
    <x v="2"/>
    <x v="1"/>
    <s v="Bangalore"/>
    <x v="3"/>
    <x v="2"/>
    <x v="1"/>
    <x v="1"/>
    <x v="2"/>
    <s v="Returned"/>
  </r>
  <r>
    <s v="ORD00874"/>
    <x v="301"/>
    <s v="CUST528"/>
    <s v="Karan"/>
    <x v="0"/>
    <n v="53"/>
    <x v="0"/>
    <x v="0"/>
    <x v="0"/>
    <x v="2"/>
    <n v="5"/>
    <n v="13705"/>
    <n v="20"/>
    <n v="13705"/>
    <n v="9867.6"/>
    <n v="26"/>
    <n v="64713.599999999999"/>
    <x v="0"/>
    <x v="0"/>
    <s v="Jaipur"/>
    <x v="2"/>
    <x v="1"/>
    <x v="1"/>
    <x v="1"/>
    <x v="3"/>
    <s v="Shipped"/>
  </r>
  <r>
    <s v="ORD00875"/>
    <x v="331"/>
    <s v="CUST894"/>
    <s v="Neha"/>
    <x v="0"/>
    <n v="38"/>
    <x v="3"/>
    <x v="2"/>
    <x v="3"/>
    <x v="2"/>
    <n v="2"/>
    <n v="48561"/>
    <n v="20"/>
    <n v="19424.400000000001"/>
    <n v="13985.57"/>
    <n v="179"/>
    <n v="91862.17"/>
    <x v="1"/>
    <x v="0"/>
    <s v="Bangalore"/>
    <x v="3"/>
    <x v="2"/>
    <x v="0"/>
    <x v="1"/>
    <x v="2"/>
    <s v="Cancelled"/>
  </r>
  <r>
    <s v="ORD00876"/>
    <x v="305"/>
    <s v="CUST458"/>
    <s v="Anjali"/>
    <x v="1"/>
    <n v="28"/>
    <x v="2"/>
    <x v="1"/>
    <x v="2"/>
    <x v="7"/>
    <n v="2"/>
    <n v="17048"/>
    <n v="10"/>
    <n v="3409.6"/>
    <n v="5523.55"/>
    <n v="126"/>
    <n v="36335.949999999997"/>
    <x v="0"/>
    <x v="1"/>
    <s v="Jaipur"/>
    <x v="2"/>
    <x v="1"/>
    <x v="4"/>
    <x v="0"/>
    <x v="2"/>
    <s v="Delivered"/>
  </r>
  <r>
    <s v="ORD00877"/>
    <x v="172"/>
    <s v="CUST929"/>
    <s v="Priya"/>
    <x v="0"/>
    <n v="55"/>
    <x v="1"/>
    <x v="0"/>
    <x v="1"/>
    <x v="7"/>
    <n v="2"/>
    <n v="46981"/>
    <n v="0"/>
    <n v="0"/>
    <n v="16913.16"/>
    <n v="252"/>
    <n v="111127.16"/>
    <x v="3"/>
    <x v="0"/>
    <s v="Mumbai"/>
    <x v="0"/>
    <x v="0"/>
    <x v="1"/>
    <x v="1"/>
    <x v="0"/>
    <s v="Delivered"/>
  </r>
  <r>
    <s v="ORD00878"/>
    <x v="206"/>
    <s v="CUST537"/>
    <s v="Sneha"/>
    <x v="0"/>
    <n v="59"/>
    <x v="4"/>
    <x v="0"/>
    <x v="4"/>
    <x v="7"/>
    <n v="3"/>
    <n v="42665"/>
    <n v="10"/>
    <n v="12799.5"/>
    <n v="20735.189999999999"/>
    <n v="452"/>
    <n v="136382.69"/>
    <x v="0"/>
    <x v="1"/>
    <s v="Delhi"/>
    <x v="5"/>
    <x v="1"/>
    <x v="0"/>
    <x v="0"/>
    <x v="3"/>
    <s v="Cancelled"/>
  </r>
  <r>
    <s v="ORD00879"/>
    <x v="216"/>
    <s v="CUST419"/>
    <s v="Sneha"/>
    <x v="0"/>
    <n v="42"/>
    <x v="4"/>
    <x v="0"/>
    <x v="4"/>
    <x v="8"/>
    <n v="3"/>
    <n v="33362"/>
    <n v="0"/>
    <n v="0"/>
    <n v="18015.48"/>
    <n v="429"/>
    <n v="118530.48"/>
    <x v="0"/>
    <x v="1"/>
    <s v="Lucknow"/>
    <x v="4"/>
    <x v="1"/>
    <x v="0"/>
    <x v="0"/>
    <x v="2"/>
    <s v="Returned"/>
  </r>
  <r>
    <s v="ORD00880"/>
    <x v="239"/>
    <s v="CUST510"/>
    <s v="Riya"/>
    <x v="0"/>
    <n v="45"/>
    <x v="8"/>
    <x v="0"/>
    <x v="8"/>
    <x v="4"/>
    <n v="1"/>
    <n v="4860"/>
    <n v="10"/>
    <n v="486"/>
    <n v="787.32"/>
    <n v="245"/>
    <n v="5406.32"/>
    <x v="0"/>
    <x v="1"/>
    <s v="Delhi"/>
    <x v="5"/>
    <x v="1"/>
    <x v="7"/>
    <x v="1"/>
    <x v="4"/>
    <s v="Cancelled"/>
  </r>
  <r>
    <s v="ORD00881"/>
    <x v="1"/>
    <s v="CUST979"/>
    <s v="Rahul"/>
    <x v="1"/>
    <n v="34"/>
    <x v="0"/>
    <x v="0"/>
    <x v="0"/>
    <x v="9"/>
    <n v="3"/>
    <n v="39078"/>
    <n v="15"/>
    <n v="17585.099999999999"/>
    <n v="17936.8"/>
    <n v="64"/>
    <n v="117649.7"/>
    <x v="2"/>
    <x v="1"/>
    <s v="Pune"/>
    <x v="0"/>
    <x v="0"/>
    <x v="5"/>
    <x v="0"/>
    <x v="0"/>
    <s v="Shipped"/>
  </r>
  <r>
    <s v="ORD00882"/>
    <x v="290"/>
    <s v="CUST999"/>
    <s v="Neha"/>
    <x v="1"/>
    <n v="47"/>
    <x v="7"/>
    <x v="1"/>
    <x v="7"/>
    <x v="1"/>
    <n v="5"/>
    <n v="5258"/>
    <n v="15"/>
    <n v="3943.5"/>
    <n v="4022.37"/>
    <n v="359"/>
    <n v="26727.87"/>
    <x v="0"/>
    <x v="1"/>
    <s v="Patiala"/>
    <x v="1"/>
    <x v="1"/>
    <x v="3"/>
    <x v="0"/>
    <x v="2"/>
    <s v="Cancelled"/>
  </r>
  <r>
    <s v="ORD00883"/>
    <x v="319"/>
    <s v="CUST321"/>
    <s v="Priya"/>
    <x v="0"/>
    <n v="31"/>
    <x v="1"/>
    <x v="0"/>
    <x v="1"/>
    <x v="0"/>
    <n v="5"/>
    <n v="13845"/>
    <n v="15"/>
    <n v="10383.75"/>
    <n v="10591.42"/>
    <n v="169"/>
    <n v="69601.679999999993"/>
    <x v="2"/>
    <x v="1"/>
    <s v="Pune"/>
    <x v="0"/>
    <x v="0"/>
    <x v="3"/>
    <x v="0"/>
    <x v="4"/>
    <s v="Returned"/>
  </r>
  <r>
    <s v="ORD00884"/>
    <x v="65"/>
    <s v="CUST575"/>
    <s v="Karan"/>
    <x v="0"/>
    <n v="19"/>
    <x v="0"/>
    <x v="0"/>
    <x v="0"/>
    <x v="6"/>
    <n v="3"/>
    <n v="39216"/>
    <n v="20"/>
    <n v="23529.599999999999"/>
    <n v="16941.310000000001"/>
    <n v="13"/>
    <n v="111072.71"/>
    <x v="0"/>
    <x v="1"/>
    <s v="Delhi"/>
    <x v="5"/>
    <x v="1"/>
    <x v="0"/>
    <x v="1"/>
    <x v="1"/>
    <s v="Delivered"/>
  </r>
  <r>
    <s v="ORD00885"/>
    <x v="141"/>
    <s v="CUST250"/>
    <s v="Neha"/>
    <x v="1"/>
    <n v="40"/>
    <x v="2"/>
    <x v="1"/>
    <x v="2"/>
    <x v="3"/>
    <n v="5"/>
    <n v="21764"/>
    <n v="20"/>
    <n v="21764"/>
    <n v="15670.08"/>
    <n v="260"/>
    <n v="102986.08"/>
    <x v="2"/>
    <x v="0"/>
    <s v="Patiala"/>
    <x v="1"/>
    <x v="1"/>
    <x v="9"/>
    <x v="1"/>
    <x v="1"/>
    <s v="Delivered"/>
  </r>
  <r>
    <s v="ORD00886"/>
    <x v="88"/>
    <s v="CUST916"/>
    <s v="Priya"/>
    <x v="0"/>
    <n v="21"/>
    <x v="9"/>
    <x v="0"/>
    <x v="9"/>
    <x v="2"/>
    <n v="1"/>
    <n v="35662"/>
    <n v="20"/>
    <n v="7132.4"/>
    <n v="5135.33"/>
    <n v="390"/>
    <n v="34054.93"/>
    <x v="0"/>
    <x v="1"/>
    <s v="Lucknow"/>
    <x v="4"/>
    <x v="1"/>
    <x v="8"/>
    <x v="1"/>
    <x v="3"/>
    <s v="Returned"/>
  </r>
  <r>
    <s v="ORD00887"/>
    <x v="22"/>
    <s v="CUST553"/>
    <s v="Anjali"/>
    <x v="0"/>
    <n v="26"/>
    <x v="9"/>
    <x v="0"/>
    <x v="9"/>
    <x v="7"/>
    <n v="2"/>
    <n v="32832"/>
    <n v="10"/>
    <n v="6566.4"/>
    <n v="10637.57"/>
    <n v="492"/>
    <n v="70227.17"/>
    <x v="1"/>
    <x v="1"/>
    <s v="Delhi"/>
    <x v="5"/>
    <x v="1"/>
    <x v="2"/>
    <x v="1"/>
    <x v="1"/>
    <s v="Delivered"/>
  </r>
  <r>
    <s v="ORD00888"/>
    <x v="128"/>
    <s v="CUST957"/>
    <s v="Anjali"/>
    <x v="1"/>
    <n v="51"/>
    <x v="9"/>
    <x v="0"/>
    <x v="9"/>
    <x v="2"/>
    <n v="5"/>
    <n v="42505"/>
    <n v="15"/>
    <n v="31878.75"/>
    <n v="32516.32"/>
    <n v="414"/>
    <n v="213576.58"/>
    <x v="1"/>
    <x v="0"/>
    <s v="Mumbai"/>
    <x v="0"/>
    <x v="0"/>
    <x v="5"/>
    <x v="0"/>
    <x v="2"/>
    <s v="Returned"/>
  </r>
  <r>
    <s v="ORD00889"/>
    <x v="149"/>
    <s v="CUST179"/>
    <s v="Neha"/>
    <x v="0"/>
    <n v="60"/>
    <x v="0"/>
    <x v="0"/>
    <x v="0"/>
    <x v="5"/>
    <n v="4"/>
    <n v="42685"/>
    <n v="20"/>
    <n v="34148"/>
    <n v="24586.560000000001"/>
    <n v="281"/>
    <n v="161459.56"/>
    <x v="2"/>
    <x v="0"/>
    <s v="Patiala"/>
    <x v="1"/>
    <x v="1"/>
    <x v="1"/>
    <x v="1"/>
    <x v="1"/>
    <s v="Delivered"/>
  </r>
  <r>
    <s v="ORD00890"/>
    <x v="244"/>
    <s v="CUST935"/>
    <s v="Rahul"/>
    <x v="0"/>
    <n v="42"/>
    <x v="6"/>
    <x v="0"/>
    <x v="6"/>
    <x v="8"/>
    <n v="4"/>
    <n v="38588"/>
    <n v="5"/>
    <n v="7717.6"/>
    <n v="26394.19"/>
    <n v="304"/>
    <n v="173332.59"/>
    <x v="1"/>
    <x v="0"/>
    <s v="Jaipur"/>
    <x v="2"/>
    <x v="1"/>
    <x v="3"/>
    <x v="1"/>
    <x v="3"/>
    <s v="Cancelled"/>
  </r>
  <r>
    <s v="ORD00891"/>
    <x v="324"/>
    <s v="CUST512"/>
    <s v="Priya"/>
    <x v="1"/>
    <n v="27"/>
    <x v="1"/>
    <x v="0"/>
    <x v="1"/>
    <x v="2"/>
    <n v="4"/>
    <n v="13547"/>
    <n v="15"/>
    <n v="8128.2"/>
    <n v="8290.76"/>
    <n v="303"/>
    <n v="54653.56"/>
    <x v="0"/>
    <x v="0"/>
    <s v="Delhi"/>
    <x v="5"/>
    <x v="1"/>
    <x v="2"/>
    <x v="1"/>
    <x v="1"/>
    <s v="Delivered"/>
  </r>
  <r>
    <s v="ORD00892"/>
    <x v="58"/>
    <s v="CUST271"/>
    <s v="Rahul"/>
    <x v="1"/>
    <n v="53"/>
    <x v="7"/>
    <x v="1"/>
    <x v="7"/>
    <x v="2"/>
    <n v="3"/>
    <n v="21239"/>
    <n v="0"/>
    <n v="0"/>
    <n v="11469.06"/>
    <n v="442"/>
    <n v="75628.06"/>
    <x v="1"/>
    <x v="0"/>
    <s v="Jaipur"/>
    <x v="2"/>
    <x v="1"/>
    <x v="9"/>
    <x v="1"/>
    <x v="3"/>
    <s v="Shipped"/>
  </r>
  <r>
    <s v="ORD00893"/>
    <x v="205"/>
    <s v="CUST485"/>
    <s v="Riya"/>
    <x v="1"/>
    <n v="31"/>
    <x v="1"/>
    <x v="0"/>
    <x v="1"/>
    <x v="1"/>
    <n v="5"/>
    <n v="29270"/>
    <n v="5"/>
    <n v="7317.5"/>
    <n v="25025.85"/>
    <n v="96"/>
    <n v="164154.35"/>
    <x v="0"/>
    <x v="0"/>
    <s v="Chandigarh"/>
    <x v="1"/>
    <x v="1"/>
    <x v="2"/>
    <x v="1"/>
    <x v="4"/>
    <s v="Cancelled"/>
  </r>
  <r>
    <s v="ORD00894"/>
    <x v="269"/>
    <s v="CUST325"/>
    <s v="Neha"/>
    <x v="0"/>
    <n v="50"/>
    <x v="8"/>
    <x v="0"/>
    <x v="8"/>
    <x v="6"/>
    <n v="2"/>
    <n v="21419"/>
    <n v="5"/>
    <n v="2141.9"/>
    <n v="7325.3"/>
    <n v="117"/>
    <n v="48138.400000000001"/>
    <x v="1"/>
    <x v="0"/>
    <s v="Patiala"/>
    <x v="1"/>
    <x v="1"/>
    <x v="1"/>
    <x v="0"/>
    <x v="4"/>
    <s v="Cancelled"/>
  </r>
  <r>
    <s v="ORD00895"/>
    <x v="218"/>
    <s v="CUST900"/>
    <s v="Rahul"/>
    <x v="1"/>
    <n v="32"/>
    <x v="2"/>
    <x v="1"/>
    <x v="2"/>
    <x v="4"/>
    <n v="1"/>
    <n v="49049"/>
    <n v="0"/>
    <n v="0"/>
    <n v="8828.82"/>
    <n v="224"/>
    <n v="58101.82"/>
    <x v="1"/>
    <x v="1"/>
    <s v="Chandigarh"/>
    <x v="1"/>
    <x v="1"/>
    <x v="8"/>
    <x v="1"/>
    <x v="0"/>
    <s v="Delivered"/>
  </r>
  <r>
    <s v="ORD00896"/>
    <x v="140"/>
    <s v="CUST908"/>
    <s v="Anjali"/>
    <x v="1"/>
    <n v="19"/>
    <x v="5"/>
    <x v="0"/>
    <x v="5"/>
    <x v="5"/>
    <n v="3"/>
    <n v="49307"/>
    <n v="5"/>
    <n v="7396.05"/>
    <n v="25294.49"/>
    <n v="113"/>
    <n v="165932.44"/>
    <x v="2"/>
    <x v="0"/>
    <s v="Jaipur"/>
    <x v="2"/>
    <x v="1"/>
    <x v="6"/>
    <x v="0"/>
    <x v="3"/>
    <s v="Delivered"/>
  </r>
  <r>
    <s v="ORD00897"/>
    <x v="265"/>
    <s v="CUST694"/>
    <s v="Neha"/>
    <x v="1"/>
    <n v="50"/>
    <x v="0"/>
    <x v="0"/>
    <x v="0"/>
    <x v="1"/>
    <n v="1"/>
    <n v="16899"/>
    <n v="15"/>
    <n v="2534.85"/>
    <n v="2585.5500000000002"/>
    <n v="2"/>
    <n v="16951.7"/>
    <x v="2"/>
    <x v="0"/>
    <s v="Patiala"/>
    <x v="1"/>
    <x v="1"/>
    <x v="3"/>
    <x v="0"/>
    <x v="1"/>
    <s v="Delivered"/>
  </r>
  <r>
    <s v="ORD00898"/>
    <x v="139"/>
    <s v="CUST546"/>
    <s v="Priya"/>
    <x v="1"/>
    <n v="30"/>
    <x v="7"/>
    <x v="1"/>
    <x v="7"/>
    <x v="2"/>
    <n v="3"/>
    <n v="48086"/>
    <n v="5"/>
    <n v="7212.9"/>
    <n v="24668.12"/>
    <n v="82"/>
    <n v="161795.22"/>
    <x v="3"/>
    <x v="1"/>
    <s v="Pune"/>
    <x v="0"/>
    <x v="0"/>
    <x v="4"/>
    <x v="1"/>
    <x v="0"/>
    <s v="Shipped"/>
  </r>
  <r>
    <s v="ORD00899"/>
    <x v="309"/>
    <s v="CUST804"/>
    <s v="Amit"/>
    <x v="1"/>
    <n v="59"/>
    <x v="6"/>
    <x v="0"/>
    <x v="6"/>
    <x v="6"/>
    <n v="2"/>
    <n v="39784"/>
    <n v="10"/>
    <n v="7956.8"/>
    <n v="12890.02"/>
    <n v="184"/>
    <n v="84685.22"/>
    <x v="1"/>
    <x v="1"/>
    <s v="Pune"/>
    <x v="0"/>
    <x v="0"/>
    <x v="4"/>
    <x v="0"/>
    <x v="3"/>
    <s v="Shipped"/>
  </r>
  <r>
    <s v="ORD00900"/>
    <x v="1"/>
    <s v="CUST294"/>
    <s v="Neha"/>
    <x v="0"/>
    <n v="58"/>
    <x v="8"/>
    <x v="0"/>
    <x v="8"/>
    <x v="7"/>
    <n v="1"/>
    <n v="17849"/>
    <n v="15"/>
    <n v="2677.35"/>
    <n v="2730.9"/>
    <n v="268"/>
    <n v="18170.55"/>
    <x v="3"/>
    <x v="1"/>
    <s v="Pune"/>
    <x v="0"/>
    <x v="0"/>
    <x v="2"/>
    <x v="0"/>
    <x v="1"/>
    <s v="Shipped"/>
  </r>
  <r>
    <s v="ORD00901"/>
    <x v="53"/>
    <s v="CUST345"/>
    <s v="Neha"/>
    <x v="0"/>
    <n v="18"/>
    <x v="2"/>
    <x v="1"/>
    <x v="2"/>
    <x v="5"/>
    <n v="4"/>
    <n v="22659"/>
    <n v="15"/>
    <n v="13595.4"/>
    <n v="13867.31"/>
    <n v="374"/>
    <n v="91281.91"/>
    <x v="0"/>
    <x v="0"/>
    <s v="Chandigarh"/>
    <x v="1"/>
    <x v="1"/>
    <x v="4"/>
    <x v="1"/>
    <x v="4"/>
    <s v="Shipped"/>
  </r>
  <r>
    <s v="ORD00902"/>
    <x v="220"/>
    <s v="CUST943"/>
    <s v="Amit"/>
    <x v="0"/>
    <n v="32"/>
    <x v="5"/>
    <x v="0"/>
    <x v="5"/>
    <x v="0"/>
    <n v="4"/>
    <n v="34273"/>
    <n v="0"/>
    <n v="0"/>
    <n v="24676.560000000001"/>
    <n v="420"/>
    <n v="162188.56"/>
    <x v="3"/>
    <x v="1"/>
    <s v="Bangalore"/>
    <x v="3"/>
    <x v="2"/>
    <x v="3"/>
    <x v="1"/>
    <x v="2"/>
    <s v="Returned"/>
  </r>
  <r>
    <s v="ORD00903"/>
    <x v="209"/>
    <s v="CUST120"/>
    <s v="Riya"/>
    <x v="1"/>
    <n v="26"/>
    <x v="2"/>
    <x v="1"/>
    <x v="2"/>
    <x v="0"/>
    <n v="1"/>
    <n v="5894"/>
    <n v="20"/>
    <n v="1178.8"/>
    <n v="848.74"/>
    <n v="203"/>
    <n v="5766.94"/>
    <x v="2"/>
    <x v="1"/>
    <s v="Delhi"/>
    <x v="5"/>
    <x v="1"/>
    <x v="3"/>
    <x v="0"/>
    <x v="2"/>
    <s v="Delivered"/>
  </r>
  <r>
    <s v="ORD00904"/>
    <x v="290"/>
    <s v="CUST702"/>
    <s v="Amit"/>
    <x v="1"/>
    <n v="53"/>
    <x v="1"/>
    <x v="0"/>
    <x v="1"/>
    <x v="1"/>
    <n v="5"/>
    <n v="31840"/>
    <n v="20"/>
    <n v="31840"/>
    <n v="22924.799999999999"/>
    <n v="434"/>
    <n v="150718.79999999999"/>
    <x v="2"/>
    <x v="0"/>
    <s v="Jaipur"/>
    <x v="2"/>
    <x v="1"/>
    <x v="5"/>
    <x v="0"/>
    <x v="0"/>
    <s v="Returned"/>
  </r>
  <r>
    <s v="ORD00905"/>
    <x v="260"/>
    <s v="CUST703"/>
    <s v="Amit"/>
    <x v="1"/>
    <n v="44"/>
    <x v="3"/>
    <x v="2"/>
    <x v="3"/>
    <x v="0"/>
    <n v="1"/>
    <n v="3751"/>
    <n v="10"/>
    <n v="375.1"/>
    <n v="607.66"/>
    <n v="21"/>
    <n v="4004.56"/>
    <x v="2"/>
    <x v="1"/>
    <s v="Lucknow"/>
    <x v="4"/>
    <x v="1"/>
    <x v="4"/>
    <x v="1"/>
    <x v="4"/>
    <s v="Delivered"/>
  </r>
  <r>
    <s v="ORD00906"/>
    <x v="10"/>
    <s v="CUST344"/>
    <s v="Neha"/>
    <x v="0"/>
    <n v="43"/>
    <x v="0"/>
    <x v="0"/>
    <x v="0"/>
    <x v="2"/>
    <n v="1"/>
    <n v="9225"/>
    <n v="5"/>
    <n v="461.25"/>
    <n v="1577.47"/>
    <n v="455"/>
    <n v="10796.23"/>
    <x v="0"/>
    <x v="0"/>
    <s v="Lucknow"/>
    <x v="4"/>
    <x v="1"/>
    <x v="0"/>
    <x v="1"/>
    <x v="3"/>
    <s v="Shipped"/>
  </r>
  <r>
    <s v="ORD00907"/>
    <x v="169"/>
    <s v="CUST917"/>
    <s v="Riya"/>
    <x v="1"/>
    <n v="44"/>
    <x v="8"/>
    <x v="0"/>
    <x v="8"/>
    <x v="5"/>
    <n v="1"/>
    <n v="6372"/>
    <n v="0"/>
    <n v="0"/>
    <n v="1146.96"/>
    <n v="422"/>
    <n v="7940.96"/>
    <x v="2"/>
    <x v="0"/>
    <s v="Pune"/>
    <x v="0"/>
    <x v="0"/>
    <x v="6"/>
    <x v="0"/>
    <x v="0"/>
    <s v="Shipped"/>
  </r>
  <r>
    <s v="ORD00908"/>
    <x v="332"/>
    <s v="CUST853"/>
    <s v="Sneha"/>
    <x v="0"/>
    <n v="24"/>
    <x v="2"/>
    <x v="1"/>
    <x v="2"/>
    <x v="0"/>
    <n v="5"/>
    <n v="49982"/>
    <n v="10"/>
    <n v="24991"/>
    <n v="40485.42"/>
    <n v="205"/>
    <n v="265609.42"/>
    <x v="1"/>
    <x v="1"/>
    <s v="Delhi"/>
    <x v="5"/>
    <x v="1"/>
    <x v="0"/>
    <x v="1"/>
    <x v="0"/>
    <s v="Shipped"/>
  </r>
  <r>
    <s v="ORD00909"/>
    <x v="225"/>
    <s v="CUST948"/>
    <s v="Rahul"/>
    <x v="0"/>
    <n v="44"/>
    <x v="3"/>
    <x v="2"/>
    <x v="3"/>
    <x v="0"/>
    <n v="5"/>
    <n v="35237"/>
    <n v="10"/>
    <n v="17618.5"/>
    <n v="28541.97"/>
    <n v="14"/>
    <n v="187122.47"/>
    <x v="1"/>
    <x v="1"/>
    <s v="Pune"/>
    <x v="0"/>
    <x v="0"/>
    <x v="0"/>
    <x v="1"/>
    <x v="1"/>
    <s v="Returned"/>
  </r>
  <r>
    <s v="ORD00910"/>
    <x v="123"/>
    <s v="CUST763"/>
    <s v="Arjun"/>
    <x v="1"/>
    <n v="47"/>
    <x v="2"/>
    <x v="1"/>
    <x v="2"/>
    <x v="7"/>
    <n v="4"/>
    <n v="26654"/>
    <n v="15"/>
    <n v="15992.4"/>
    <n v="16312.25"/>
    <n v="222"/>
    <n v="107157.85"/>
    <x v="0"/>
    <x v="1"/>
    <s v="Mumbai"/>
    <x v="0"/>
    <x v="0"/>
    <x v="2"/>
    <x v="0"/>
    <x v="2"/>
    <s v="Delivered"/>
  </r>
  <r>
    <s v="ORD00911"/>
    <x v="98"/>
    <s v="CUST287"/>
    <s v="Amit"/>
    <x v="0"/>
    <n v="25"/>
    <x v="8"/>
    <x v="0"/>
    <x v="8"/>
    <x v="5"/>
    <n v="3"/>
    <n v="12886"/>
    <n v="5"/>
    <n v="1932.9"/>
    <n v="6610.52"/>
    <n v="485"/>
    <n v="43820.62"/>
    <x v="3"/>
    <x v="0"/>
    <s v="Chandigarh"/>
    <x v="1"/>
    <x v="1"/>
    <x v="9"/>
    <x v="1"/>
    <x v="3"/>
    <s v="Cancelled"/>
  </r>
  <r>
    <s v="ORD00912"/>
    <x v="106"/>
    <s v="CUST164"/>
    <s v="Riya"/>
    <x v="1"/>
    <n v="28"/>
    <x v="2"/>
    <x v="1"/>
    <x v="2"/>
    <x v="3"/>
    <n v="4"/>
    <n v="35630"/>
    <n v="15"/>
    <n v="21378"/>
    <n v="21805.56"/>
    <n v="107"/>
    <n v="143054.56"/>
    <x v="1"/>
    <x v="1"/>
    <s v="Mumbai"/>
    <x v="0"/>
    <x v="0"/>
    <x v="2"/>
    <x v="0"/>
    <x v="0"/>
    <s v="Returned"/>
  </r>
  <r>
    <s v="ORD00913"/>
    <x v="70"/>
    <s v="CUST107"/>
    <s v="Neha"/>
    <x v="1"/>
    <n v="59"/>
    <x v="9"/>
    <x v="0"/>
    <x v="9"/>
    <x v="8"/>
    <n v="2"/>
    <n v="36760"/>
    <n v="20"/>
    <n v="14704"/>
    <n v="10586.88"/>
    <n v="454"/>
    <n v="69856.88"/>
    <x v="2"/>
    <x v="0"/>
    <s v="Chandigarh"/>
    <x v="1"/>
    <x v="1"/>
    <x v="6"/>
    <x v="1"/>
    <x v="2"/>
    <s v="Shipped"/>
  </r>
  <r>
    <s v="ORD00914"/>
    <x v="233"/>
    <s v="CUST344"/>
    <s v="Riya"/>
    <x v="1"/>
    <n v="49"/>
    <x v="8"/>
    <x v="0"/>
    <x v="8"/>
    <x v="5"/>
    <n v="1"/>
    <n v="18286"/>
    <n v="20"/>
    <n v="3657.2"/>
    <n v="2633.18"/>
    <n v="99"/>
    <n v="17360.98"/>
    <x v="2"/>
    <x v="0"/>
    <s v="Patiala"/>
    <x v="1"/>
    <x v="1"/>
    <x v="2"/>
    <x v="1"/>
    <x v="3"/>
    <s v="Returned"/>
  </r>
  <r>
    <s v="ORD00915"/>
    <x v="205"/>
    <s v="CUST605"/>
    <s v="Karan"/>
    <x v="0"/>
    <n v="52"/>
    <x v="2"/>
    <x v="1"/>
    <x v="2"/>
    <x v="0"/>
    <n v="2"/>
    <n v="25487"/>
    <n v="20"/>
    <n v="10194.799999999999"/>
    <n v="7340.26"/>
    <n v="126"/>
    <n v="48245.46"/>
    <x v="0"/>
    <x v="1"/>
    <s v="Delhi"/>
    <x v="5"/>
    <x v="1"/>
    <x v="1"/>
    <x v="1"/>
    <x v="4"/>
    <s v="Returned"/>
  </r>
  <r>
    <s v="ORD00916"/>
    <x v="296"/>
    <s v="CUST763"/>
    <s v="Riya"/>
    <x v="1"/>
    <n v="51"/>
    <x v="4"/>
    <x v="0"/>
    <x v="4"/>
    <x v="3"/>
    <n v="3"/>
    <n v="3238"/>
    <n v="0"/>
    <n v="0"/>
    <n v="1748.52"/>
    <n v="121"/>
    <n v="11583.52"/>
    <x v="2"/>
    <x v="0"/>
    <s v="Delhi"/>
    <x v="5"/>
    <x v="1"/>
    <x v="2"/>
    <x v="0"/>
    <x v="3"/>
    <s v="Shipped"/>
  </r>
  <r>
    <s v="ORD00917"/>
    <x v="117"/>
    <s v="CUST223"/>
    <s v="Rahul"/>
    <x v="1"/>
    <n v="59"/>
    <x v="7"/>
    <x v="1"/>
    <x v="7"/>
    <x v="8"/>
    <n v="4"/>
    <n v="9369"/>
    <n v="5"/>
    <n v="1873.8"/>
    <n v="6408.4"/>
    <n v="483"/>
    <n v="42493.599999999999"/>
    <x v="0"/>
    <x v="0"/>
    <s v="Bangalore"/>
    <x v="3"/>
    <x v="2"/>
    <x v="9"/>
    <x v="0"/>
    <x v="2"/>
    <s v="Cancelled"/>
  </r>
  <r>
    <s v="ORD00918"/>
    <x v="11"/>
    <s v="CUST283"/>
    <s v="Sneha"/>
    <x v="1"/>
    <n v="20"/>
    <x v="3"/>
    <x v="2"/>
    <x v="3"/>
    <x v="1"/>
    <n v="5"/>
    <n v="7487"/>
    <n v="20"/>
    <n v="7487"/>
    <n v="5390.64"/>
    <n v="492"/>
    <n v="35830.639999999999"/>
    <x v="3"/>
    <x v="0"/>
    <s v="Chandigarh"/>
    <x v="1"/>
    <x v="1"/>
    <x v="1"/>
    <x v="0"/>
    <x v="1"/>
    <s v="Returned"/>
  </r>
  <r>
    <s v="ORD00919"/>
    <x v="68"/>
    <s v="CUST652"/>
    <s v="Anjali"/>
    <x v="0"/>
    <n v="42"/>
    <x v="5"/>
    <x v="0"/>
    <x v="5"/>
    <x v="4"/>
    <n v="5"/>
    <n v="8615"/>
    <n v="5"/>
    <n v="2153.75"/>
    <n v="7365.82"/>
    <n v="143"/>
    <n v="48430.07"/>
    <x v="2"/>
    <x v="0"/>
    <s v="Mumbai"/>
    <x v="0"/>
    <x v="0"/>
    <x v="5"/>
    <x v="0"/>
    <x v="4"/>
    <s v="Delivered"/>
  </r>
  <r>
    <s v="ORD00920"/>
    <x v="169"/>
    <s v="CUST688"/>
    <s v="Amit"/>
    <x v="0"/>
    <n v="47"/>
    <x v="0"/>
    <x v="0"/>
    <x v="0"/>
    <x v="4"/>
    <n v="1"/>
    <n v="17074"/>
    <n v="15"/>
    <n v="2561.1"/>
    <n v="2612.3200000000002"/>
    <n v="197"/>
    <n v="17322.22"/>
    <x v="3"/>
    <x v="1"/>
    <s v="Delhi"/>
    <x v="5"/>
    <x v="1"/>
    <x v="3"/>
    <x v="1"/>
    <x v="2"/>
    <s v="Delivered"/>
  </r>
  <r>
    <s v="ORD00921"/>
    <x v="124"/>
    <s v="CUST454"/>
    <s v="Karan"/>
    <x v="0"/>
    <n v="22"/>
    <x v="6"/>
    <x v="0"/>
    <x v="6"/>
    <x v="4"/>
    <n v="5"/>
    <n v="31555"/>
    <n v="0"/>
    <n v="0"/>
    <n v="28399.5"/>
    <n v="290"/>
    <n v="186464.5"/>
    <x v="3"/>
    <x v="0"/>
    <s v="Jaipur"/>
    <x v="2"/>
    <x v="1"/>
    <x v="8"/>
    <x v="1"/>
    <x v="2"/>
    <s v="Delivered"/>
  </r>
  <r>
    <s v="ORD00922"/>
    <x v="71"/>
    <s v="CUST251"/>
    <s v="Sneha"/>
    <x v="1"/>
    <n v="42"/>
    <x v="5"/>
    <x v="0"/>
    <x v="5"/>
    <x v="8"/>
    <n v="2"/>
    <n v="36468"/>
    <n v="10"/>
    <n v="7293.6"/>
    <n v="11815.63"/>
    <n v="106"/>
    <n v="77564.03"/>
    <x v="0"/>
    <x v="1"/>
    <s v="Lucknow"/>
    <x v="4"/>
    <x v="1"/>
    <x v="5"/>
    <x v="0"/>
    <x v="0"/>
    <s v="Delivered"/>
  </r>
  <r>
    <s v="ORD00923"/>
    <x v="266"/>
    <s v="CUST613"/>
    <s v="Neha"/>
    <x v="0"/>
    <n v="19"/>
    <x v="7"/>
    <x v="1"/>
    <x v="7"/>
    <x v="7"/>
    <n v="1"/>
    <n v="17001"/>
    <n v="20"/>
    <n v="3400.2"/>
    <n v="2448.14"/>
    <n v="72"/>
    <n v="16120.94"/>
    <x v="2"/>
    <x v="0"/>
    <s v="Patiala"/>
    <x v="1"/>
    <x v="1"/>
    <x v="2"/>
    <x v="0"/>
    <x v="1"/>
    <s v="Delivered"/>
  </r>
  <r>
    <s v="ORD00924"/>
    <x v="333"/>
    <s v="CUST764"/>
    <s v="Vikas"/>
    <x v="1"/>
    <n v="24"/>
    <x v="7"/>
    <x v="1"/>
    <x v="7"/>
    <x v="2"/>
    <n v="1"/>
    <n v="2091"/>
    <n v="10"/>
    <n v="209.1"/>
    <n v="338.74"/>
    <n v="95"/>
    <n v="2315.64"/>
    <x v="1"/>
    <x v="1"/>
    <s v="Pune"/>
    <x v="0"/>
    <x v="0"/>
    <x v="1"/>
    <x v="1"/>
    <x v="1"/>
    <s v="Cancelled"/>
  </r>
  <r>
    <s v="ORD00925"/>
    <x v="299"/>
    <s v="CUST685"/>
    <s v="Riya"/>
    <x v="0"/>
    <n v="24"/>
    <x v="4"/>
    <x v="0"/>
    <x v="4"/>
    <x v="9"/>
    <n v="5"/>
    <n v="27061"/>
    <n v="15"/>
    <n v="20295.75"/>
    <n v="20701.669999999998"/>
    <n v="389"/>
    <n v="136099.92000000001"/>
    <x v="2"/>
    <x v="1"/>
    <s v="Jaipur"/>
    <x v="2"/>
    <x v="1"/>
    <x v="1"/>
    <x v="0"/>
    <x v="2"/>
    <s v="Cancelled"/>
  </r>
  <r>
    <s v="ORD00926"/>
    <x v="267"/>
    <s v="CUST300"/>
    <s v="Priya"/>
    <x v="0"/>
    <n v="35"/>
    <x v="4"/>
    <x v="0"/>
    <x v="4"/>
    <x v="5"/>
    <n v="3"/>
    <n v="9812"/>
    <n v="20"/>
    <n v="5887.2"/>
    <n v="4238.78"/>
    <n v="136"/>
    <n v="27923.58"/>
    <x v="1"/>
    <x v="0"/>
    <s v="Delhi"/>
    <x v="5"/>
    <x v="1"/>
    <x v="8"/>
    <x v="1"/>
    <x v="4"/>
    <s v="Cancelled"/>
  </r>
  <r>
    <s v="ORD00927"/>
    <x v="103"/>
    <s v="CUST542"/>
    <s v="Arjun"/>
    <x v="0"/>
    <n v="48"/>
    <x v="8"/>
    <x v="0"/>
    <x v="8"/>
    <x v="1"/>
    <n v="2"/>
    <n v="42773"/>
    <n v="0"/>
    <n v="0"/>
    <n v="15398.28"/>
    <n v="254"/>
    <n v="101198.28"/>
    <x v="1"/>
    <x v="0"/>
    <s v="Pune"/>
    <x v="0"/>
    <x v="0"/>
    <x v="2"/>
    <x v="1"/>
    <x v="2"/>
    <s v="Cancelled"/>
  </r>
  <r>
    <s v="ORD00928"/>
    <x v="304"/>
    <s v="CUST512"/>
    <s v="Priya"/>
    <x v="1"/>
    <n v="42"/>
    <x v="5"/>
    <x v="0"/>
    <x v="5"/>
    <x v="7"/>
    <n v="1"/>
    <n v="14852"/>
    <n v="15"/>
    <n v="2227.8000000000002"/>
    <n v="2272.36"/>
    <n v="109"/>
    <n v="15005.56"/>
    <x v="3"/>
    <x v="1"/>
    <s v="Delhi"/>
    <x v="5"/>
    <x v="1"/>
    <x v="8"/>
    <x v="0"/>
    <x v="4"/>
    <s v="Returned"/>
  </r>
  <r>
    <s v="ORD00929"/>
    <x v="298"/>
    <s v="CUST876"/>
    <s v="Anjali"/>
    <x v="1"/>
    <n v="58"/>
    <x v="9"/>
    <x v="0"/>
    <x v="9"/>
    <x v="3"/>
    <n v="3"/>
    <n v="8496"/>
    <n v="15"/>
    <n v="3823.2"/>
    <n v="3899.66"/>
    <n v="138"/>
    <n v="25702.46"/>
    <x v="0"/>
    <x v="0"/>
    <s v="Delhi"/>
    <x v="5"/>
    <x v="1"/>
    <x v="7"/>
    <x v="0"/>
    <x v="3"/>
    <s v="Shipped"/>
  </r>
  <r>
    <s v="ORD00930"/>
    <x v="250"/>
    <s v="CUST222"/>
    <s v="Anjali"/>
    <x v="1"/>
    <n v="49"/>
    <x v="9"/>
    <x v="0"/>
    <x v="9"/>
    <x v="2"/>
    <n v="3"/>
    <n v="8963"/>
    <n v="20"/>
    <n v="5377.8"/>
    <n v="3872.02"/>
    <n v="168"/>
    <n v="25551.22"/>
    <x v="1"/>
    <x v="0"/>
    <s v="Delhi"/>
    <x v="5"/>
    <x v="1"/>
    <x v="6"/>
    <x v="1"/>
    <x v="0"/>
    <s v="Shipped"/>
  </r>
  <r>
    <s v="ORD00931"/>
    <x v="129"/>
    <s v="CUST108"/>
    <s v="Sneha"/>
    <x v="1"/>
    <n v="41"/>
    <x v="4"/>
    <x v="0"/>
    <x v="4"/>
    <x v="3"/>
    <n v="5"/>
    <n v="13929"/>
    <n v="0"/>
    <n v="0"/>
    <n v="12536.1"/>
    <n v="429"/>
    <n v="82610.100000000006"/>
    <x v="3"/>
    <x v="0"/>
    <s v="Mumbai"/>
    <x v="0"/>
    <x v="0"/>
    <x v="0"/>
    <x v="0"/>
    <x v="2"/>
    <s v="Delivered"/>
  </r>
  <r>
    <s v="ORD00932"/>
    <x v="172"/>
    <s v="CUST917"/>
    <s v="Rahul"/>
    <x v="1"/>
    <n v="20"/>
    <x v="6"/>
    <x v="0"/>
    <x v="6"/>
    <x v="4"/>
    <n v="3"/>
    <n v="5257"/>
    <n v="0"/>
    <n v="0"/>
    <n v="2838.78"/>
    <n v="305"/>
    <n v="18914.78"/>
    <x v="1"/>
    <x v="1"/>
    <s v="Pune"/>
    <x v="0"/>
    <x v="0"/>
    <x v="6"/>
    <x v="1"/>
    <x v="0"/>
    <s v="Cancelled"/>
  </r>
  <r>
    <s v="ORD00933"/>
    <x v="148"/>
    <s v="CUST730"/>
    <s v="Neha"/>
    <x v="0"/>
    <n v="34"/>
    <x v="3"/>
    <x v="2"/>
    <x v="3"/>
    <x v="4"/>
    <n v="5"/>
    <n v="38726"/>
    <n v="10"/>
    <n v="19363"/>
    <n v="31368.06"/>
    <n v="69"/>
    <n v="205704.06"/>
    <x v="1"/>
    <x v="0"/>
    <s v="Bangalore"/>
    <x v="3"/>
    <x v="2"/>
    <x v="8"/>
    <x v="0"/>
    <x v="3"/>
    <s v="Shipped"/>
  </r>
  <r>
    <s v="ORD00934"/>
    <x v="319"/>
    <s v="CUST802"/>
    <s v="Rahul"/>
    <x v="0"/>
    <n v="37"/>
    <x v="9"/>
    <x v="0"/>
    <x v="9"/>
    <x v="3"/>
    <n v="3"/>
    <n v="36827"/>
    <n v="20"/>
    <n v="22096.2"/>
    <n v="15909.26"/>
    <n v="406"/>
    <n v="104700.06"/>
    <x v="3"/>
    <x v="1"/>
    <s v="Jaipur"/>
    <x v="2"/>
    <x v="1"/>
    <x v="9"/>
    <x v="0"/>
    <x v="0"/>
    <s v="Cancelled"/>
  </r>
  <r>
    <s v="ORD00935"/>
    <x v="97"/>
    <s v="CUST176"/>
    <s v="Neha"/>
    <x v="1"/>
    <n v="41"/>
    <x v="4"/>
    <x v="0"/>
    <x v="4"/>
    <x v="4"/>
    <n v="5"/>
    <n v="41450"/>
    <n v="15"/>
    <n v="31087.5"/>
    <n v="31709.25"/>
    <n v="432"/>
    <n v="208303.75"/>
    <x v="3"/>
    <x v="1"/>
    <s v="Lucknow"/>
    <x v="4"/>
    <x v="1"/>
    <x v="3"/>
    <x v="1"/>
    <x v="3"/>
    <s v="Shipped"/>
  </r>
  <r>
    <s v="ORD00936"/>
    <x v="91"/>
    <s v="CUST368"/>
    <s v="Anjali"/>
    <x v="0"/>
    <n v="49"/>
    <x v="7"/>
    <x v="1"/>
    <x v="7"/>
    <x v="1"/>
    <n v="4"/>
    <n v="26576"/>
    <n v="5"/>
    <n v="5315.2"/>
    <n v="18177.98"/>
    <n v="152"/>
    <n v="119318.78"/>
    <x v="1"/>
    <x v="1"/>
    <s v="Delhi"/>
    <x v="5"/>
    <x v="1"/>
    <x v="7"/>
    <x v="1"/>
    <x v="1"/>
    <s v="Shipped"/>
  </r>
  <r>
    <s v="ORD00937"/>
    <x v="108"/>
    <s v="CUST910"/>
    <s v="Arjun"/>
    <x v="1"/>
    <n v="29"/>
    <x v="0"/>
    <x v="0"/>
    <x v="0"/>
    <x v="5"/>
    <n v="1"/>
    <n v="24845"/>
    <n v="5"/>
    <n v="1242.25"/>
    <n v="4248.49"/>
    <n v="17"/>
    <n v="27868.240000000002"/>
    <x v="1"/>
    <x v="0"/>
    <s v="Mumbai"/>
    <x v="0"/>
    <x v="0"/>
    <x v="7"/>
    <x v="1"/>
    <x v="1"/>
    <s v="Delivered"/>
  </r>
  <r>
    <s v="ORD00938"/>
    <x v="189"/>
    <s v="CUST635"/>
    <s v="Riya"/>
    <x v="1"/>
    <n v="55"/>
    <x v="0"/>
    <x v="0"/>
    <x v="0"/>
    <x v="1"/>
    <n v="2"/>
    <n v="49886"/>
    <n v="15"/>
    <n v="14965.8"/>
    <n v="15265.12"/>
    <n v="266"/>
    <n v="100337.32"/>
    <x v="2"/>
    <x v="0"/>
    <s v="Chandigarh"/>
    <x v="1"/>
    <x v="1"/>
    <x v="0"/>
    <x v="0"/>
    <x v="4"/>
    <s v="Shipped"/>
  </r>
  <r>
    <s v="ORD00939"/>
    <x v="334"/>
    <s v="CUST755"/>
    <s v="Anjali"/>
    <x v="0"/>
    <n v="52"/>
    <x v="6"/>
    <x v="0"/>
    <x v="6"/>
    <x v="0"/>
    <n v="5"/>
    <n v="31838"/>
    <n v="15"/>
    <n v="23878.5"/>
    <n v="24356.07"/>
    <n v="154"/>
    <n v="159821.57"/>
    <x v="0"/>
    <x v="0"/>
    <s v="Jaipur"/>
    <x v="2"/>
    <x v="1"/>
    <x v="1"/>
    <x v="0"/>
    <x v="0"/>
    <s v="Shipped"/>
  </r>
  <r>
    <s v="ORD00940"/>
    <x v="282"/>
    <s v="CUST232"/>
    <s v="Riya"/>
    <x v="0"/>
    <n v="43"/>
    <x v="2"/>
    <x v="1"/>
    <x v="2"/>
    <x v="9"/>
    <n v="5"/>
    <n v="41624"/>
    <n v="5"/>
    <n v="10406"/>
    <n v="35588.519999999997"/>
    <n v="290"/>
    <n v="233592.52"/>
    <x v="0"/>
    <x v="0"/>
    <s v="Bangalore"/>
    <x v="3"/>
    <x v="2"/>
    <x v="2"/>
    <x v="0"/>
    <x v="2"/>
    <s v="Shipped"/>
  </r>
  <r>
    <s v="ORD00941"/>
    <x v="67"/>
    <s v="CUST928"/>
    <s v="Karan"/>
    <x v="0"/>
    <n v="40"/>
    <x v="2"/>
    <x v="1"/>
    <x v="2"/>
    <x v="9"/>
    <n v="5"/>
    <n v="7734"/>
    <n v="0"/>
    <n v="0"/>
    <n v="6960.6"/>
    <n v="264"/>
    <n v="45894.6"/>
    <x v="2"/>
    <x v="1"/>
    <s v="Mumbai"/>
    <x v="0"/>
    <x v="0"/>
    <x v="8"/>
    <x v="0"/>
    <x v="4"/>
    <s v="Delivered"/>
  </r>
  <r>
    <s v="ORD00942"/>
    <x v="15"/>
    <s v="CUST468"/>
    <s v="Priya"/>
    <x v="0"/>
    <n v="46"/>
    <x v="3"/>
    <x v="2"/>
    <x v="3"/>
    <x v="9"/>
    <n v="1"/>
    <n v="13846"/>
    <n v="5"/>
    <n v="692.3"/>
    <n v="2367.67"/>
    <n v="300"/>
    <n v="15821.37"/>
    <x v="2"/>
    <x v="1"/>
    <s v="Chandigarh"/>
    <x v="1"/>
    <x v="1"/>
    <x v="4"/>
    <x v="1"/>
    <x v="4"/>
    <s v="Cancelled"/>
  </r>
  <r>
    <s v="ORD00943"/>
    <x v="335"/>
    <s v="CUST272"/>
    <s v="Neha"/>
    <x v="1"/>
    <n v="51"/>
    <x v="3"/>
    <x v="2"/>
    <x v="3"/>
    <x v="9"/>
    <n v="3"/>
    <n v="7577"/>
    <n v="10"/>
    <n v="2273.1"/>
    <n v="3682.42"/>
    <n v="242"/>
    <n v="24382.32"/>
    <x v="0"/>
    <x v="0"/>
    <s v="Patiala"/>
    <x v="1"/>
    <x v="1"/>
    <x v="0"/>
    <x v="0"/>
    <x v="2"/>
    <s v="Returned"/>
  </r>
  <r>
    <s v="ORD00944"/>
    <x v="304"/>
    <s v="CUST621"/>
    <s v="Priya"/>
    <x v="0"/>
    <n v="20"/>
    <x v="1"/>
    <x v="0"/>
    <x v="1"/>
    <x v="1"/>
    <n v="5"/>
    <n v="32146"/>
    <n v="10"/>
    <n v="16073"/>
    <n v="26038.26"/>
    <n v="38"/>
    <n v="170733.26"/>
    <x v="0"/>
    <x v="1"/>
    <s v="Patiala"/>
    <x v="1"/>
    <x v="1"/>
    <x v="2"/>
    <x v="1"/>
    <x v="0"/>
    <s v="Returned"/>
  </r>
  <r>
    <s v="ORD00945"/>
    <x v="336"/>
    <s v="CUST101"/>
    <s v="Priya"/>
    <x v="0"/>
    <n v="37"/>
    <x v="8"/>
    <x v="0"/>
    <x v="8"/>
    <x v="0"/>
    <n v="2"/>
    <n v="36331"/>
    <n v="15"/>
    <n v="10899.3"/>
    <n v="11117.29"/>
    <n v="386"/>
    <n v="73265.990000000005"/>
    <x v="1"/>
    <x v="0"/>
    <s v="Mumbai"/>
    <x v="0"/>
    <x v="0"/>
    <x v="2"/>
    <x v="1"/>
    <x v="4"/>
    <s v="Shipped"/>
  </r>
  <r>
    <s v="ORD00946"/>
    <x v="12"/>
    <s v="CUST501"/>
    <s v="Priya"/>
    <x v="1"/>
    <n v="54"/>
    <x v="3"/>
    <x v="2"/>
    <x v="3"/>
    <x v="2"/>
    <n v="3"/>
    <n v="30863"/>
    <n v="0"/>
    <n v="0"/>
    <n v="16666.02"/>
    <n v="493"/>
    <n v="109748.02"/>
    <x v="3"/>
    <x v="1"/>
    <s v="Patiala"/>
    <x v="1"/>
    <x v="1"/>
    <x v="3"/>
    <x v="0"/>
    <x v="3"/>
    <s v="Cancelled"/>
  </r>
  <r>
    <s v="ORD00947"/>
    <x v="97"/>
    <s v="CUST195"/>
    <s v="Neha"/>
    <x v="1"/>
    <n v="18"/>
    <x v="8"/>
    <x v="0"/>
    <x v="8"/>
    <x v="3"/>
    <n v="1"/>
    <n v="14652"/>
    <n v="0"/>
    <n v="0"/>
    <n v="2637.36"/>
    <n v="24"/>
    <n v="17313.36"/>
    <x v="3"/>
    <x v="1"/>
    <s v="Chandigarh"/>
    <x v="1"/>
    <x v="1"/>
    <x v="1"/>
    <x v="0"/>
    <x v="1"/>
    <s v="Returned"/>
  </r>
  <r>
    <s v="ORD00948"/>
    <x v="214"/>
    <s v="CUST810"/>
    <s v="Amit"/>
    <x v="1"/>
    <n v="21"/>
    <x v="0"/>
    <x v="0"/>
    <x v="0"/>
    <x v="9"/>
    <n v="5"/>
    <n v="1032"/>
    <n v="10"/>
    <n v="516"/>
    <n v="835.92"/>
    <n v="234"/>
    <n v="5713.92"/>
    <x v="3"/>
    <x v="0"/>
    <s v="Mumbai"/>
    <x v="0"/>
    <x v="0"/>
    <x v="1"/>
    <x v="0"/>
    <x v="3"/>
    <s v="Delivered"/>
  </r>
  <r>
    <s v="ORD00949"/>
    <x v="217"/>
    <s v="CUST787"/>
    <s v="Karan"/>
    <x v="0"/>
    <n v="42"/>
    <x v="5"/>
    <x v="0"/>
    <x v="5"/>
    <x v="2"/>
    <n v="5"/>
    <n v="4697"/>
    <n v="0"/>
    <n v="0"/>
    <n v="4227.3"/>
    <n v="377"/>
    <n v="28089.3"/>
    <x v="3"/>
    <x v="1"/>
    <s v="Pune"/>
    <x v="0"/>
    <x v="0"/>
    <x v="5"/>
    <x v="0"/>
    <x v="3"/>
    <s v="Delivered"/>
  </r>
  <r>
    <s v="ORD00950"/>
    <x v="22"/>
    <s v="CUST171"/>
    <s v="Sneha"/>
    <x v="1"/>
    <n v="44"/>
    <x v="9"/>
    <x v="0"/>
    <x v="9"/>
    <x v="4"/>
    <n v="1"/>
    <n v="5912"/>
    <n v="10"/>
    <n v="591.20000000000005"/>
    <n v="957.74"/>
    <n v="45"/>
    <n v="6323.54"/>
    <x v="0"/>
    <x v="0"/>
    <s v="Mumbai"/>
    <x v="0"/>
    <x v="0"/>
    <x v="9"/>
    <x v="1"/>
    <x v="2"/>
    <s v="Delivered"/>
  </r>
  <r>
    <s v="ORD00951"/>
    <x v="167"/>
    <s v="CUST398"/>
    <s v="Amit"/>
    <x v="0"/>
    <n v="39"/>
    <x v="2"/>
    <x v="1"/>
    <x v="2"/>
    <x v="1"/>
    <n v="2"/>
    <n v="43132"/>
    <n v="0"/>
    <n v="0"/>
    <n v="15527.52"/>
    <n v="296"/>
    <n v="102087.52"/>
    <x v="1"/>
    <x v="0"/>
    <s v="Chandigarh"/>
    <x v="1"/>
    <x v="1"/>
    <x v="5"/>
    <x v="1"/>
    <x v="0"/>
    <s v="Delivered"/>
  </r>
  <r>
    <s v="ORD00952"/>
    <x v="123"/>
    <s v="CUST858"/>
    <s v="Vikas"/>
    <x v="1"/>
    <n v="23"/>
    <x v="9"/>
    <x v="0"/>
    <x v="9"/>
    <x v="3"/>
    <n v="1"/>
    <n v="47653"/>
    <n v="5"/>
    <n v="2382.65"/>
    <n v="8148.66"/>
    <n v="319"/>
    <n v="53738.01"/>
    <x v="0"/>
    <x v="0"/>
    <s v="Bangalore"/>
    <x v="3"/>
    <x v="2"/>
    <x v="7"/>
    <x v="1"/>
    <x v="3"/>
    <s v="Delivered"/>
  </r>
  <r>
    <s v="ORD00953"/>
    <x v="294"/>
    <s v="CUST827"/>
    <s v="Anjali"/>
    <x v="1"/>
    <n v="49"/>
    <x v="9"/>
    <x v="0"/>
    <x v="9"/>
    <x v="4"/>
    <n v="5"/>
    <n v="34519"/>
    <n v="10"/>
    <n v="17259.5"/>
    <n v="27960.39"/>
    <n v="202"/>
    <n v="183497.89"/>
    <x v="0"/>
    <x v="0"/>
    <s v="Pune"/>
    <x v="0"/>
    <x v="0"/>
    <x v="1"/>
    <x v="0"/>
    <x v="0"/>
    <s v="Cancelled"/>
  </r>
  <r>
    <s v="ORD00954"/>
    <x v="337"/>
    <s v="CUST761"/>
    <s v="Amit"/>
    <x v="0"/>
    <n v="23"/>
    <x v="7"/>
    <x v="1"/>
    <x v="7"/>
    <x v="8"/>
    <n v="3"/>
    <n v="39182"/>
    <n v="15"/>
    <n v="17631.900000000001"/>
    <n v="17984.54"/>
    <n v="76"/>
    <n v="117974.64"/>
    <x v="2"/>
    <x v="0"/>
    <s v="Jaipur"/>
    <x v="2"/>
    <x v="1"/>
    <x v="4"/>
    <x v="0"/>
    <x v="4"/>
    <s v="Delivered"/>
  </r>
  <r>
    <s v="ORD00955"/>
    <x v="86"/>
    <s v="CUST420"/>
    <s v="Arjun"/>
    <x v="0"/>
    <n v="51"/>
    <x v="9"/>
    <x v="0"/>
    <x v="9"/>
    <x v="0"/>
    <n v="4"/>
    <n v="34291"/>
    <n v="20"/>
    <n v="27432.799999999999"/>
    <n v="19751.62"/>
    <n v="458"/>
    <n v="129940.82"/>
    <x v="3"/>
    <x v="1"/>
    <s v="Mumbai"/>
    <x v="0"/>
    <x v="0"/>
    <x v="5"/>
    <x v="1"/>
    <x v="1"/>
    <s v="Delivered"/>
  </r>
  <r>
    <s v="ORD00956"/>
    <x v="177"/>
    <s v="CUST382"/>
    <s v="Priya"/>
    <x v="1"/>
    <n v="44"/>
    <x v="7"/>
    <x v="1"/>
    <x v="7"/>
    <x v="2"/>
    <n v="4"/>
    <n v="30226"/>
    <n v="0"/>
    <n v="0"/>
    <n v="21762.720000000001"/>
    <n v="174"/>
    <n v="142840.72"/>
    <x v="0"/>
    <x v="1"/>
    <s v="Jaipur"/>
    <x v="2"/>
    <x v="1"/>
    <x v="5"/>
    <x v="0"/>
    <x v="3"/>
    <s v="Returned"/>
  </r>
  <r>
    <s v="ORD00957"/>
    <x v="191"/>
    <s v="CUST302"/>
    <s v="Anjali"/>
    <x v="0"/>
    <n v="54"/>
    <x v="5"/>
    <x v="0"/>
    <x v="5"/>
    <x v="8"/>
    <n v="3"/>
    <n v="3452"/>
    <n v="20"/>
    <n v="2071.1999999999998"/>
    <n v="1491.26"/>
    <n v="219"/>
    <n v="9995.06"/>
    <x v="1"/>
    <x v="0"/>
    <s v="Jaipur"/>
    <x v="2"/>
    <x v="1"/>
    <x v="8"/>
    <x v="1"/>
    <x v="3"/>
    <s v="Shipped"/>
  </r>
  <r>
    <s v="ORD00958"/>
    <x v="101"/>
    <s v="CUST170"/>
    <s v="Neha"/>
    <x v="1"/>
    <n v="24"/>
    <x v="6"/>
    <x v="0"/>
    <x v="6"/>
    <x v="3"/>
    <n v="4"/>
    <n v="29812"/>
    <n v="5"/>
    <n v="5962.4"/>
    <n v="20391.41"/>
    <n v="257"/>
    <n v="133934.01"/>
    <x v="3"/>
    <x v="0"/>
    <s v="Bangalore"/>
    <x v="3"/>
    <x v="2"/>
    <x v="5"/>
    <x v="1"/>
    <x v="3"/>
    <s v="Delivered"/>
  </r>
  <r>
    <s v="ORD00959"/>
    <x v="322"/>
    <s v="CUST305"/>
    <s v="Anjali"/>
    <x v="0"/>
    <n v="33"/>
    <x v="6"/>
    <x v="0"/>
    <x v="6"/>
    <x v="7"/>
    <n v="4"/>
    <n v="12665"/>
    <n v="10"/>
    <n v="5066"/>
    <n v="8206.92"/>
    <n v="304"/>
    <n v="54104.92"/>
    <x v="0"/>
    <x v="0"/>
    <s v="Jaipur"/>
    <x v="2"/>
    <x v="1"/>
    <x v="7"/>
    <x v="1"/>
    <x v="3"/>
    <s v="Returned"/>
  </r>
  <r>
    <s v="ORD00960"/>
    <x v="279"/>
    <s v="CUST108"/>
    <s v="Sneha"/>
    <x v="1"/>
    <n v="34"/>
    <x v="0"/>
    <x v="0"/>
    <x v="0"/>
    <x v="3"/>
    <n v="2"/>
    <n v="19888"/>
    <n v="5"/>
    <n v="1988.8"/>
    <n v="6801.7"/>
    <n v="174"/>
    <n v="44762.9"/>
    <x v="1"/>
    <x v="1"/>
    <s v="Delhi"/>
    <x v="5"/>
    <x v="1"/>
    <x v="5"/>
    <x v="1"/>
    <x v="3"/>
    <s v="Shipped"/>
  </r>
  <r>
    <s v="ORD00961"/>
    <x v="34"/>
    <s v="CUST808"/>
    <s v="Priya"/>
    <x v="1"/>
    <n v="58"/>
    <x v="1"/>
    <x v="0"/>
    <x v="1"/>
    <x v="9"/>
    <n v="5"/>
    <n v="24187"/>
    <n v="20"/>
    <n v="24187"/>
    <n v="17414.64"/>
    <n v="271"/>
    <n v="114433.64"/>
    <x v="0"/>
    <x v="1"/>
    <s v="Delhi"/>
    <x v="5"/>
    <x v="1"/>
    <x v="7"/>
    <x v="1"/>
    <x v="2"/>
    <s v="Delivered"/>
  </r>
  <r>
    <s v="ORD00962"/>
    <x v="51"/>
    <s v="CUST203"/>
    <s v="Sneha"/>
    <x v="1"/>
    <n v="21"/>
    <x v="2"/>
    <x v="1"/>
    <x v="2"/>
    <x v="4"/>
    <n v="1"/>
    <n v="27343"/>
    <n v="5"/>
    <n v="1367.15"/>
    <n v="4675.6499999999996"/>
    <n v="427"/>
    <n v="31078.5"/>
    <x v="3"/>
    <x v="0"/>
    <s v="Chandigarh"/>
    <x v="1"/>
    <x v="1"/>
    <x v="4"/>
    <x v="0"/>
    <x v="0"/>
    <s v="Shipped"/>
  </r>
  <r>
    <s v="ORD00963"/>
    <x v="64"/>
    <s v="CUST992"/>
    <s v="Priya"/>
    <x v="0"/>
    <n v="23"/>
    <x v="4"/>
    <x v="0"/>
    <x v="4"/>
    <x v="2"/>
    <n v="1"/>
    <n v="36253"/>
    <n v="0"/>
    <n v="0"/>
    <n v="6525.54"/>
    <n v="493"/>
    <n v="43271.54"/>
    <x v="2"/>
    <x v="0"/>
    <s v="Patiala"/>
    <x v="1"/>
    <x v="1"/>
    <x v="5"/>
    <x v="0"/>
    <x v="2"/>
    <s v="Delivered"/>
  </r>
  <r>
    <s v="ORD00964"/>
    <x v="242"/>
    <s v="CUST363"/>
    <s v="Sneha"/>
    <x v="1"/>
    <n v="47"/>
    <x v="6"/>
    <x v="0"/>
    <x v="6"/>
    <x v="3"/>
    <n v="2"/>
    <n v="6461"/>
    <n v="0"/>
    <n v="0"/>
    <n v="2325.96"/>
    <n v="137"/>
    <n v="15384.96"/>
    <x v="0"/>
    <x v="1"/>
    <s v="Mumbai"/>
    <x v="0"/>
    <x v="0"/>
    <x v="1"/>
    <x v="1"/>
    <x v="2"/>
    <s v="Cancelled"/>
  </r>
  <r>
    <s v="ORD00965"/>
    <x v="181"/>
    <s v="CUST175"/>
    <s v="Neha"/>
    <x v="0"/>
    <n v="26"/>
    <x v="0"/>
    <x v="0"/>
    <x v="0"/>
    <x v="0"/>
    <n v="5"/>
    <n v="34990"/>
    <n v="20"/>
    <n v="34990"/>
    <n v="25192.799999999999"/>
    <n v="340"/>
    <n v="165492.79999999999"/>
    <x v="3"/>
    <x v="0"/>
    <s v="Lucknow"/>
    <x v="4"/>
    <x v="1"/>
    <x v="9"/>
    <x v="1"/>
    <x v="0"/>
    <s v="Shipped"/>
  </r>
  <r>
    <s v="ORD00966"/>
    <x v="99"/>
    <s v="CUST509"/>
    <s v="Arjun"/>
    <x v="1"/>
    <n v="33"/>
    <x v="1"/>
    <x v="0"/>
    <x v="1"/>
    <x v="1"/>
    <n v="3"/>
    <n v="6736"/>
    <n v="15"/>
    <n v="3031.2"/>
    <n v="3091.82"/>
    <n v="130"/>
    <n v="20398.62"/>
    <x v="2"/>
    <x v="0"/>
    <s v="Delhi"/>
    <x v="5"/>
    <x v="1"/>
    <x v="6"/>
    <x v="1"/>
    <x v="3"/>
    <s v="Cancelled"/>
  </r>
  <r>
    <s v="ORD00967"/>
    <x v="268"/>
    <s v="CUST151"/>
    <s v="Amit"/>
    <x v="0"/>
    <n v="27"/>
    <x v="0"/>
    <x v="0"/>
    <x v="0"/>
    <x v="6"/>
    <n v="1"/>
    <n v="24799"/>
    <n v="0"/>
    <n v="0"/>
    <n v="4463.82"/>
    <n v="488"/>
    <n v="29750.82"/>
    <x v="3"/>
    <x v="1"/>
    <s v="Chandigarh"/>
    <x v="1"/>
    <x v="1"/>
    <x v="0"/>
    <x v="1"/>
    <x v="1"/>
    <s v="Shipped"/>
  </r>
  <r>
    <s v="ORD00968"/>
    <x v="177"/>
    <s v="CUST611"/>
    <s v="Rahul"/>
    <x v="1"/>
    <n v="47"/>
    <x v="9"/>
    <x v="0"/>
    <x v="9"/>
    <x v="6"/>
    <n v="1"/>
    <n v="9195"/>
    <n v="20"/>
    <n v="1839"/>
    <n v="1324.08"/>
    <n v="174"/>
    <n v="8854.08"/>
    <x v="2"/>
    <x v="0"/>
    <s v="Delhi"/>
    <x v="5"/>
    <x v="1"/>
    <x v="9"/>
    <x v="1"/>
    <x v="4"/>
    <s v="Returned"/>
  </r>
  <r>
    <s v="ORD00969"/>
    <x v="304"/>
    <s v="CUST466"/>
    <s v="Riya"/>
    <x v="0"/>
    <n v="41"/>
    <x v="1"/>
    <x v="0"/>
    <x v="1"/>
    <x v="9"/>
    <n v="3"/>
    <n v="46281"/>
    <n v="5"/>
    <n v="6942.15"/>
    <n v="23742.15"/>
    <n v="54"/>
    <n v="155697"/>
    <x v="2"/>
    <x v="1"/>
    <s v="Mumbai"/>
    <x v="0"/>
    <x v="0"/>
    <x v="6"/>
    <x v="1"/>
    <x v="2"/>
    <s v="Cancelled"/>
  </r>
  <r>
    <s v="ORD00970"/>
    <x v="267"/>
    <s v="CUST886"/>
    <s v="Sneha"/>
    <x v="1"/>
    <n v="47"/>
    <x v="1"/>
    <x v="0"/>
    <x v="1"/>
    <x v="8"/>
    <n v="3"/>
    <n v="11665"/>
    <n v="15"/>
    <n v="5249.25"/>
    <n v="5354.23"/>
    <n v="392"/>
    <n v="35491.99"/>
    <x v="3"/>
    <x v="1"/>
    <s v="Jaipur"/>
    <x v="2"/>
    <x v="1"/>
    <x v="4"/>
    <x v="0"/>
    <x v="4"/>
    <s v="Returned"/>
  </r>
  <r>
    <s v="ORD00971"/>
    <x v="8"/>
    <s v="CUST692"/>
    <s v="Neha"/>
    <x v="0"/>
    <n v="23"/>
    <x v="1"/>
    <x v="0"/>
    <x v="1"/>
    <x v="0"/>
    <n v="2"/>
    <n v="41905"/>
    <n v="20"/>
    <n v="16762"/>
    <n v="12068.64"/>
    <n v="427"/>
    <n v="79543.64"/>
    <x v="2"/>
    <x v="1"/>
    <s v="Patiala"/>
    <x v="1"/>
    <x v="1"/>
    <x v="8"/>
    <x v="0"/>
    <x v="0"/>
    <s v="Cancelled"/>
  </r>
  <r>
    <s v="ORD00972"/>
    <x v="203"/>
    <s v="CUST251"/>
    <s v="Arjun"/>
    <x v="1"/>
    <n v="38"/>
    <x v="1"/>
    <x v="0"/>
    <x v="1"/>
    <x v="4"/>
    <n v="1"/>
    <n v="13855"/>
    <n v="15"/>
    <n v="2078.25"/>
    <n v="2119.8200000000002"/>
    <n v="127"/>
    <n v="14023.57"/>
    <x v="1"/>
    <x v="0"/>
    <s v="Jaipur"/>
    <x v="2"/>
    <x v="1"/>
    <x v="5"/>
    <x v="1"/>
    <x v="4"/>
    <s v="Delivered"/>
  </r>
  <r>
    <s v="ORD00973"/>
    <x v="316"/>
    <s v="CUST798"/>
    <s v="Sneha"/>
    <x v="1"/>
    <n v="51"/>
    <x v="2"/>
    <x v="1"/>
    <x v="2"/>
    <x v="0"/>
    <n v="4"/>
    <n v="29217"/>
    <n v="0"/>
    <n v="0"/>
    <n v="21036.240000000002"/>
    <n v="188"/>
    <n v="138092.24"/>
    <x v="2"/>
    <x v="1"/>
    <s v="Mumbai"/>
    <x v="0"/>
    <x v="0"/>
    <x v="3"/>
    <x v="0"/>
    <x v="0"/>
    <s v="Delivered"/>
  </r>
  <r>
    <s v="ORD00974"/>
    <x v="192"/>
    <s v="CUST431"/>
    <s v="Priya"/>
    <x v="0"/>
    <n v="19"/>
    <x v="3"/>
    <x v="2"/>
    <x v="3"/>
    <x v="6"/>
    <n v="3"/>
    <n v="34047"/>
    <n v="0"/>
    <n v="0"/>
    <n v="18385.38"/>
    <n v="42"/>
    <n v="120568.38"/>
    <x v="2"/>
    <x v="1"/>
    <s v="Delhi"/>
    <x v="5"/>
    <x v="1"/>
    <x v="2"/>
    <x v="0"/>
    <x v="4"/>
    <s v="Delivered"/>
  </r>
  <r>
    <s v="ORD00975"/>
    <x v="338"/>
    <s v="CUST242"/>
    <s v="Riya"/>
    <x v="1"/>
    <n v="47"/>
    <x v="7"/>
    <x v="1"/>
    <x v="7"/>
    <x v="1"/>
    <n v="4"/>
    <n v="40544"/>
    <n v="5"/>
    <n v="8108.8"/>
    <n v="27732.1"/>
    <n v="384"/>
    <n v="182183.3"/>
    <x v="1"/>
    <x v="0"/>
    <s v="Delhi"/>
    <x v="5"/>
    <x v="1"/>
    <x v="3"/>
    <x v="1"/>
    <x v="0"/>
    <s v="Cancelled"/>
  </r>
  <r>
    <s v="ORD00976"/>
    <x v="56"/>
    <s v="CUST276"/>
    <s v="Rahul"/>
    <x v="1"/>
    <n v="23"/>
    <x v="0"/>
    <x v="0"/>
    <x v="0"/>
    <x v="6"/>
    <n v="1"/>
    <n v="34177"/>
    <n v="15"/>
    <n v="5126.55"/>
    <n v="5229.08"/>
    <n v="114"/>
    <n v="34393.53"/>
    <x v="3"/>
    <x v="0"/>
    <s v="Bangalore"/>
    <x v="3"/>
    <x v="2"/>
    <x v="5"/>
    <x v="0"/>
    <x v="4"/>
    <s v="Cancelled"/>
  </r>
  <r>
    <s v="ORD00977"/>
    <x v="111"/>
    <s v="CUST137"/>
    <s v="Neha"/>
    <x v="1"/>
    <n v="35"/>
    <x v="7"/>
    <x v="1"/>
    <x v="7"/>
    <x v="0"/>
    <n v="4"/>
    <n v="32481"/>
    <n v="20"/>
    <n v="25984.799999999999"/>
    <n v="18709.060000000001"/>
    <n v="431"/>
    <n v="123079.26"/>
    <x v="2"/>
    <x v="1"/>
    <s v="Mumbai"/>
    <x v="0"/>
    <x v="0"/>
    <x v="8"/>
    <x v="1"/>
    <x v="3"/>
    <s v="Cancelled"/>
  </r>
  <r>
    <s v="ORD00978"/>
    <x v="23"/>
    <s v="CUST947"/>
    <s v="Anjali"/>
    <x v="1"/>
    <n v="45"/>
    <x v="5"/>
    <x v="0"/>
    <x v="5"/>
    <x v="2"/>
    <n v="4"/>
    <n v="26540"/>
    <n v="10"/>
    <n v="10616"/>
    <n v="17197.919999999998"/>
    <n v="448"/>
    <n v="113189.92"/>
    <x v="0"/>
    <x v="1"/>
    <s v="Bangalore"/>
    <x v="3"/>
    <x v="2"/>
    <x v="6"/>
    <x v="1"/>
    <x v="4"/>
    <s v="Shipped"/>
  </r>
  <r>
    <s v="ORD00979"/>
    <x v="251"/>
    <s v="CUST468"/>
    <s v="Neha"/>
    <x v="0"/>
    <n v="57"/>
    <x v="1"/>
    <x v="0"/>
    <x v="1"/>
    <x v="1"/>
    <n v="2"/>
    <n v="7396"/>
    <n v="20"/>
    <n v="2958.4"/>
    <n v="2130.0500000000002"/>
    <n v="160"/>
    <n v="14123.65"/>
    <x v="0"/>
    <x v="1"/>
    <s v="Chandigarh"/>
    <x v="1"/>
    <x v="1"/>
    <x v="9"/>
    <x v="1"/>
    <x v="1"/>
    <s v="Returned"/>
  </r>
  <r>
    <s v="ORD00980"/>
    <x v="97"/>
    <s v="CUST944"/>
    <s v="Riya"/>
    <x v="1"/>
    <n v="19"/>
    <x v="4"/>
    <x v="0"/>
    <x v="4"/>
    <x v="5"/>
    <n v="4"/>
    <n v="12010"/>
    <n v="5"/>
    <n v="2402"/>
    <n v="8214.84"/>
    <n v="40"/>
    <n v="53892.84"/>
    <x v="1"/>
    <x v="1"/>
    <s v="Mumbai"/>
    <x v="0"/>
    <x v="0"/>
    <x v="9"/>
    <x v="1"/>
    <x v="0"/>
    <s v="Returned"/>
  </r>
  <r>
    <s v="ORD00981"/>
    <x v="327"/>
    <s v="CUST139"/>
    <s v="Riya"/>
    <x v="1"/>
    <n v="26"/>
    <x v="8"/>
    <x v="0"/>
    <x v="8"/>
    <x v="8"/>
    <n v="2"/>
    <n v="2315"/>
    <n v="20"/>
    <n v="926"/>
    <n v="666.72"/>
    <n v="203"/>
    <n v="4573.72"/>
    <x v="2"/>
    <x v="1"/>
    <s v="Pune"/>
    <x v="0"/>
    <x v="0"/>
    <x v="3"/>
    <x v="0"/>
    <x v="1"/>
    <s v="Returned"/>
  </r>
  <r>
    <s v="ORD00982"/>
    <x v="92"/>
    <s v="CUST106"/>
    <s v="Sneha"/>
    <x v="1"/>
    <n v="59"/>
    <x v="4"/>
    <x v="0"/>
    <x v="4"/>
    <x v="7"/>
    <n v="2"/>
    <n v="14022"/>
    <n v="20"/>
    <n v="5608.8"/>
    <n v="4038.34"/>
    <n v="455"/>
    <n v="26928.54"/>
    <x v="3"/>
    <x v="0"/>
    <s v="Delhi"/>
    <x v="5"/>
    <x v="1"/>
    <x v="0"/>
    <x v="0"/>
    <x v="3"/>
    <s v="Returned"/>
  </r>
  <r>
    <s v="ORD00983"/>
    <x v="272"/>
    <s v="CUST518"/>
    <s v="Rahul"/>
    <x v="1"/>
    <n v="58"/>
    <x v="3"/>
    <x v="2"/>
    <x v="3"/>
    <x v="0"/>
    <n v="3"/>
    <n v="31885"/>
    <n v="5"/>
    <n v="4782.75"/>
    <n v="16357"/>
    <n v="220"/>
    <n v="107449.26"/>
    <x v="0"/>
    <x v="0"/>
    <s v="Jaipur"/>
    <x v="2"/>
    <x v="1"/>
    <x v="6"/>
    <x v="0"/>
    <x v="0"/>
    <s v="Returned"/>
  </r>
  <r>
    <s v="ORD00984"/>
    <x v="244"/>
    <s v="CUST396"/>
    <s v="Rahul"/>
    <x v="1"/>
    <n v="32"/>
    <x v="3"/>
    <x v="2"/>
    <x v="3"/>
    <x v="3"/>
    <n v="2"/>
    <n v="12286"/>
    <n v="20"/>
    <n v="4914.3999999999996"/>
    <n v="3538.37"/>
    <n v="422"/>
    <n v="23617.97"/>
    <x v="3"/>
    <x v="1"/>
    <s v="Patiala"/>
    <x v="1"/>
    <x v="1"/>
    <x v="1"/>
    <x v="0"/>
    <x v="3"/>
    <s v="Cancelled"/>
  </r>
  <r>
    <s v="ORD00985"/>
    <x v="88"/>
    <s v="CUST376"/>
    <s v="Riya"/>
    <x v="0"/>
    <n v="23"/>
    <x v="8"/>
    <x v="0"/>
    <x v="8"/>
    <x v="6"/>
    <n v="3"/>
    <n v="49317"/>
    <n v="20"/>
    <n v="29590.2"/>
    <n v="21304.94"/>
    <n v="76"/>
    <n v="139741.74"/>
    <x v="1"/>
    <x v="0"/>
    <s v="Pune"/>
    <x v="0"/>
    <x v="0"/>
    <x v="5"/>
    <x v="0"/>
    <x v="1"/>
    <s v="Shipped"/>
  </r>
  <r>
    <s v="ORD00986"/>
    <x v="285"/>
    <s v="CUST180"/>
    <s v="Rahul"/>
    <x v="1"/>
    <n v="59"/>
    <x v="6"/>
    <x v="0"/>
    <x v="6"/>
    <x v="3"/>
    <n v="1"/>
    <n v="2308"/>
    <n v="20"/>
    <n v="461.6"/>
    <n v="332.35"/>
    <n v="445"/>
    <n v="2623.75"/>
    <x v="1"/>
    <x v="1"/>
    <s v="Bangalore"/>
    <x v="3"/>
    <x v="2"/>
    <x v="4"/>
    <x v="0"/>
    <x v="4"/>
    <s v="Shipped"/>
  </r>
  <r>
    <s v="ORD00987"/>
    <x v="304"/>
    <s v="CUST544"/>
    <s v="Sneha"/>
    <x v="1"/>
    <n v="49"/>
    <x v="2"/>
    <x v="1"/>
    <x v="2"/>
    <x v="8"/>
    <n v="2"/>
    <n v="12242"/>
    <n v="5"/>
    <n v="1224.2"/>
    <n v="4186.76"/>
    <n v="314"/>
    <n v="27760.560000000001"/>
    <x v="0"/>
    <x v="0"/>
    <s v="Delhi"/>
    <x v="5"/>
    <x v="1"/>
    <x v="3"/>
    <x v="1"/>
    <x v="1"/>
    <s v="Returned"/>
  </r>
  <r>
    <s v="ORD00988"/>
    <x v="0"/>
    <s v="CUST865"/>
    <s v="Vikas"/>
    <x v="1"/>
    <n v="54"/>
    <x v="9"/>
    <x v="0"/>
    <x v="9"/>
    <x v="0"/>
    <n v="4"/>
    <n v="2691"/>
    <n v="15"/>
    <n v="1614.6"/>
    <n v="1646.89"/>
    <n v="248"/>
    <n v="11044.29"/>
    <x v="0"/>
    <x v="1"/>
    <s v="Chandigarh"/>
    <x v="1"/>
    <x v="1"/>
    <x v="7"/>
    <x v="0"/>
    <x v="0"/>
    <s v="Returned"/>
  </r>
  <r>
    <s v="ORD00989"/>
    <x v="289"/>
    <s v="CUST852"/>
    <s v="Anjali"/>
    <x v="1"/>
    <n v="52"/>
    <x v="4"/>
    <x v="0"/>
    <x v="4"/>
    <x v="8"/>
    <n v="1"/>
    <n v="3151"/>
    <n v="15"/>
    <n v="472.65"/>
    <n v="482.1"/>
    <n v="224"/>
    <n v="3384.45"/>
    <x v="2"/>
    <x v="1"/>
    <s v="Bangalore"/>
    <x v="3"/>
    <x v="2"/>
    <x v="4"/>
    <x v="0"/>
    <x v="2"/>
    <s v="Delivered"/>
  </r>
  <r>
    <s v="ORD00990"/>
    <x v="125"/>
    <s v="CUST213"/>
    <s v="Riya"/>
    <x v="1"/>
    <n v="52"/>
    <x v="9"/>
    <x v="0"/>
    <x v="9"/>
    <x v="6"/>
    <n v="5"/>
    <n v="31839"/>
    <n v="15"/>
    <n v="23879.25"/>
    <n v="24356.83"/>
    <n v="295"/>
    <n v="159967.57999999999"/>
    <x v="0"/>
    <x v="0"/>
    <s v="Pune"/>
    <x v="0"/>
    <x v="0"/>
    <x v="2"/>
    <x v="1"/>
    <x v="1"/>
    <s v="Returned"/>
  </r>
  <r>
    <s v="ORD00991"/>
    <x v="143"/>
    <s v="CUST982"/>
    <s v="Vikas"/>
    <x v="1"/>
    <n v="54"/>
    <x v="3"/>
    <x v="2"/>
    <x v="3"/>
    <x v="1"/>
    <n v="1"/>
    <n v="18336"/>
    <n v="0"/>
    <n v="0"/>
    <n v="3300.48"/>
    <n v="116"/>
    <n v="21752.48"/>
    <x v="3"/>
    <x v="1"/>
    <s v="Lucknow"/>
    <x v="4"/>
    <x v="1"/>
    <x v="6"/>
    <x v="0"/>
    <x v="2"/>
    <s v="Returned"/>
  </r>
  <r>
    <s v="ORD00992"/>
    <x v="77"/>
    <s v="CUST283"/>
    <s v="Karan"/>
    <x v="0"/>
    <n v="57"/>
    <x v="2"/>
    <x v="1"/>
    <x v="2"/>
    <x v="6"/>
    <n v="5"/>
    <n v="39114"/>
    <n v="20"/>
    <n v="39114"/>
    <n v="28162.080000000002"/>
    <n v="411"/>
    <n v="185029.08"/>
    <x v="0"/>
    <x v="1"/>
    <s v="Mumbai"/>
    <x v="0"/>
    <x v="0"/>
    <x v="6"/>
    <x v="1"/>
    <x v="2"/>
    <s v="Delivered"/>
  </r>
  <r>
    <s v="ORD00993"/>
    <x v="106"/>
    <s v="CUST225"/>
    <s v="Karan"/>
    <x v="1"/>
    <n v="27"/>
    <x v="3"/>
    <x v="2"/>
    <x v="3"/>
    <x v="5"/>
    <n v="1"/>
    <n v="17294"/>
    <n v="15"/>
    <n v="2594.1"/>
    <n v="2645.98"/>
    <n v="210"/>
    <n v="17555.88"/>
    <x v="1"/>
    <x v="0"/>
    <s v="Jaipur"/>
    <x v="2"/>
    <x v="1"/>
    <x v="2"/>
    <x v="1"/>
    <x v="2"/>
    <s v="Shipped"/>
  </r>
  <r>
    <s v="ORD00994"/>
    <x v="257"/>
    <s v="CUST442"/>
    <s v="Sneha"/>
    <x v="0"/>
    <n v="48"/>
    <x v="7"/>
    <x v="1"/>
    <x v="7"/>
    <x v="8"/>
    <n v="1"/>
    <n v="24272"/>
    <n v="20"/>
    <n v="4854.3999999999996"/>
    <n v="3495.17"/>
    <n v="462"/>
    <n v="23374.77"/>
    <x v="3"/>
    <x v="0"/>
    <s v="Bangalore"/>
    <x v="3"/>
    <x v="2"/>
    <x v="5"/>
    <x v="1"/>
    <x v="1"/>
    <s v="Cancelled"/>
  </r>
  <r>
    <s v="ORD00995"/>
    <x v="212"/>
    <s v="CUST205"/>
    <s v="Vikas"/>
    <x v="1"/>
    <n v="50"/>
    <x v="4"/>
    <x v="0"/>
    <x v="4"/>
    <x v="3"/>
    <n v="2"/>
    <n v="39387"/>
    <n v="15"/>
    <n v="11816.1"/>
    <n v="12052.42"/>
    <n v="127"/>
    <n v="79137.320000000007"/>
    <x v="2"/>
    <x v="1"/>
    <s v="Delhi"/>
    <x v="5"/>
    <x v="1"/>
    <x v="8"/>
    <x v="0"/>
    <x v="4"/>
    <s v="Delivered"/>
  </r>
  <r>
    <s v="ORD00996"/>
    <x v="117"/>
    <s v="CUST724"/>
    <s v="Karan"/>
    <x v="1"/>
    <n v="30"/>
    <x v="9"/>
    <x v="0"/>
    <x v="9"/>
    <x v="4"/>
    <n v="4"/>
    <n v="1783"/>
    <n v="5"/>
    <n v="356.6"/>
    <n v="1219.57"/>
    <n v="382"/>
    <n v="8376.9699999999993"/>
    <x v="2"/>
    <x v="1"/>
    <s v="Chandigarh"/>
    <x v="1"/>
    <x v="1"/>
    <x v="4"/>
    <x v="1"/>
    <x v="4"/>
    <s v="Delivered"/>
  </r>
  <r>
    <s v="ORD00997"/>
    <x v="116"/>
    <s v="CUST522"/>
    <s v="Rahul"/>
    <x v="1"/>
    <n v="34"/>
    <x v="9"/>
    <x v="0"/>
    <x v="9"/>
    <x v="6"/>
    <n v="2"/>
    <n v="9037"/>
    <n v="20"/>
    <n v="3614.8"/>
    <n v="2602.66"/>
    <n v="427"/>
    <n v="17488.86"/>
    <x v="3"/>
    <x v="1"/>
    <s v="Mumbai"/>
    <x v="0"/>
    <x v="0"/>
    <x v="6"/>
    <x v="0"/>
    <x v="1"/>
    <s v="Shipped"/>
  </r>
  <r>
    <s v="ORD00998"/>
    <x v="334"/>
    <s v="CUST640"/>
    <s v="Amit"/>
    <x v="0"/>
    <n v="28"/>
    <x v="7"/>
    <x v="1"/>
    <x v="7"/>
    <x v="1"/>
    <n v="4"/>
    <n v="4700"/>
    <n v="10"/>
    <n v="1880"/>
    <n v="3045.6"/>
    <n v="112"/>
    <n v="20077.599999999999"/>
    <x v="2"/>
    <x v="0"/>
    <s v="Lucknow"/>
    <x v="4"/>
    <x v="1"/>
    <x v="9"/>
    <x v="0"/>
    <x v="3"/>
    <s v="Cancelled"/>
  </r>
  <r>
    <s v="ORD00999"/>
    <x v="331"/>
    <s v="CUST947"/>
    <s v="Priya"/>
    <x v="1"/>
    <n v="27"/>
    <x v="0"/>
    <x v="0"/>
    <x v="0"/>
    <x v="8"/>
    <n v="3"/>
    <n v="3766"/>
    <n v="0"/>
    <n v="0"/>
    <n v="2033.64"/>
    <n v="38"/>
    <n v="13369.64"/>
    <x v="3"/>
    <x v="1"/>
    <s v="Chandigarh"/>
    <x v="1"/>
    <x v="1"/>
    <x v="9"/>
    <x v="1"/>
    <x v="4"/>
    <s v="Cancelled"/>
  </r>
  <r>
    <s v="ORD01000"/>
    <x v="165"/>
    <s v="CUST131"/>
    <s v="Sneha"/>
    <x v="0"/>
    <n v="39"/>
    <x v="0"/>
    <x v="0"/>
    <x v="0"/>
    <x v="9"/>
    <n v="3"/>
    <n v="26044"/>
    <n v="20"/>
    <n v="15626.4"/>
    <n v="11251.01"/>
    <n v="346"/>
    <n v="74102.61"/>
    <x v="0"/>
    <x v="0"/>
    <s v="Patiala"/>
    <x v="1"/>
    <x v="1"/>
    <x v="7"/>
    <x v="1"/>
    <x v="3"/>
    <s v="Shipp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88FF9B-8B51-44BC-B8A7-A5575333F9F7}" name="Rating"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J3:AJ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dataField="1" showAll="0">
      <items count="6">
        <item x="0"/>
        <item x="2"/>
        <item x="3"/>
        <item x="1"/>
        <item x="4"/>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Rating" fld="24"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F57563-B1EA-4977-A7C4-88C4C3113560}" name="Stat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fieldListSortAscending="1">
  <location ref="U3:V9"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axis="axisRow" showAll="0">
      <items count="7">
        <item x="5"/>
        <item x="3"/>
        <item x="0"/>
        <item x="1"/>
        <item x="2"/>
        <item x="4"/>
        <item t="default"/>
      </items>
    </pivotField>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0"/>
  </rowFields>
  <rowItems count="6">
    <i>
      <x/>
    </i>
    <i>
      <x v="1"/>
    </i>
    <i>
      <x v="2"/>
    </i>
    <i>
      <x v="3"/>
    </i>
    <i>
      <x v="4"/>
    </i>
    <i>
      <x v="5"/>
    </i>
  </rowItems>
  <colItems count="1">
    <i/>
  </colItems>
  <dataFields count="1">
    <dataField name="Sum of TotalAmount"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426938-DF3A-4962-ABE7-384E31BB068E}" name="Categor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fieldListSortAscending="1">
  <location ref="E3:F13"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axis="axisRow" showAll="0">
      <items count="11">
        <item x="3"/>
        <item x="5"/>
        <item x="0"/>
        <item x="1"/>
        <item x="4"/>
        <item x="9"/>
        <item x="6"/>
        <item x="2"/>
        <item x="8"/>
        <item x="7"/>
        <item t="default"/>
      </items>
    </pivotField>
    <pivotField showAll="0">
      <items count="4">
        <item x="2"/>
        <item x="0"/>
        <item x="1"/>
        <item t="default"/>
      </items>
    </pivotField>
    <pivotField axis="axisRow" showAll="0">
      <items count="11">
        <item sd="0" x="3"/>
        <item sd="0" x="5"/>
        <item sd="0" x="0"/>
        <item sd="0" x="1"/>
        <item sd="0" x="4"/>
        <item sd="0" x="9"/>
        <item sd="0" x="6"/>
        <item sd="0" x="2"/>
        <item sd="0" x="8"/>
        <item sd="0" x="7"/>
        <item t="default"/>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8"/>
    <field x="6"/>
  </rowFields>
  <rowItems count="10">
    <i>
      <x/>
    </i>
    <i>
      <x v="1"/>
    </i>
    <i>
      <x v="2"/>
    </i>
    <i>
      <x v="3"/>
    </i>
    <i>
      <x v="4"/>
    </i>
    <i>
      <x v="5"/>
    </i>
    <i>
      <x v="6"/>
    </i>
    <i>
      <x v="7"/>
    </i>
    <i>
      <x v="8"/>
    </i>
    <i>
      <x v="9"/>
    </i>
  </rowItems>
  <colItems count="1">
    <i/>
  </colItems>
  <dataFields count="1">
    <dataField name="Sum of TotalAmount"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F4573D-F21F-4015-A9F1-135D8FCCEC0A}" name="Delive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F3:AF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dataField="1" showAll="0">
      <items count="11">
        <item x="0"/>
        <item x="9"/>
        <item x="2"/>
        <item x="1"/>
        <item x="8"/>
        <item x="4"/>
        <item x="5"/>
        <item x="6"/>
        <item x="7"/>
        <item x="3"/>
        <item t="default"/>
      </items>
    </pivotField>
    <pivotField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DeliveryDays" fld="22"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8CCF2A-805A-4758-B0D8-09C4875FC8D4}" name="Total 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C3:AC4" firstHeaderRow="1" firstDataRow="1" firstDataCol="0"/>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TotalAmount" fld="16"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261B94-CF16-4C10-9C9E-3D2332EAF289}" name="Bra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fieldListSortAscending="1">
  <location ref="I3:J14"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items>
    </pivotField>
    <pivotField axis="axisRow"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1">
    <i>
      <x/>
    </i>
    <i>
      <x v="1"/>
    </i>
    <i>
      <x v="2"/>
    </i>
    <i>
      <x v="3"/>
    </i>
    <i>
      <x v="4"/>
    </i>
    <i>
      <x v="5"/>
    </i>
    <i>
      <x v="6"/>
    </i>
    <i>
      <x v="7"/>
    </i>
    <i>
      <x v="8"/>
    </i>
    <i>
      <x v="9"/>
    </i>
    <i t="grand">
      <x/>
    </i>
  </rowItems>
  <colItems count="1">
    <i/>
  </colItems>
  <dataFields count="1">
    <dataField name="Sum of TotalAmount" fld="1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C36B19-9DB3-4DFC-94B8-3C2605CA0F25}" name="Pay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fieldListSortAscending="1">
  <location ref="M3:N8"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axis="axisRow" showAll="0">
      <items count="5">
        <item x="3"/>
        <item x="1"/>
        <item x="0"/>
        <item x="2"/>
        <item t="default"/>
      </items>
    </pivotField>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5">
    <i>
      <x/>
    </i>
    <i>
      <x v="1"/>
    </i>
    <i>
      <x v="2"/>
    </i>
    <i>
      <x v="3"/>
    </i>
    <i t="grand">
      <x/>
    </i>
  </rowItems>
  <colItems count="1">
    <i/>
  </colItems>
  <dataFields count="1">
    <dataField name="Sum of TotalAmount" fld="1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21BE1C-A4FF-4893-B738-4C7A03248518}" name="OrderCha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fieldListSortAscending="1">
  <location ref="Q3:R6"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axis="axisRow"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3">
    <i>
      <x/>
    </i>
    <i>
      <x v="1"/>
    </i>
    <i t="grand">
      <x/>
    </i>
  </rowItems>
  <colItems count="1">
    <i/>
  </colItems>
  <dataFields count="1">
    <dataField name="Sum of TotalAmount" fld="16"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8" count="1" selected="0">
            <x v="0"/>
          </reference>
        </references>
      </pivotArea>
    </chartFormat>
    <chartFormat chart="10" format="6">
      <pivotArea type="data" outline="0" fieldPosition="0">
        <references count="2">
          <reference field="4294967294" count="1" selected="0">
            <x v="0"/>
          </reference>
          <reference field="18" count="1" selected="0">
            <x v="1"/>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5B7399-4998-495E-B7BE-7A235B824DD3}" name="Month"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6" fieldListSortAscending="1">
  <location ref="A3:B16" firstHeaderRow="1" firstDataRow="1" firstDataCol="1"/>
  <pivotFields count="29">
    <pivotField showAll="0"/>
    <pivotField axis="axisRow"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items count="4">
        <item x="1"/>
        <item x="2"/>
        <item x="0"/>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6"/>
    <field x="1"/>
  </rowFields>
  <rowItems count="13">
    <i>
      <x v="1"/>
    </i>
    <i>
      <x v="2"/>
    </i>
    <i>
      <x v="3"/>
    </i>
    <i>
      <x v="4"/>
    </i>
    <i>
      <x v="5"/>
    </i>
    <i>
      <x v="6"/>
    </i>
    <i>
      <x v="7"/>
    </i>
    <i>
      <x v="8"/>
    </i>
    <i>
      <x v="9"/>
    </i>
    <i>
      <x v="10"/>
    </i>
    <i>
      <x v="11"/>
    </i>
    <i>
      <x v="12"/>
    </i>
    <i t="grand">
      <x/>
    </i>
  </rowItems>
  <colItems count="1">
    <i/>
  </colItems>
  <dataFields count="1">
    <dataField name="Sum of TotalAmount" fld="16" showDataAs="percentOfTotal" baseField="0" baseItem="0" numFmtId="10"/>
  </dataFields>
  <chartFormats count="1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6" count="1" selected="0">
            <x v="1"/>
          </reference>
        </references>
      </pivotArea>
    </chartFormat>
    <chartFormat chart="4" format="4">
      <pivotArea type="data" outline="0" fieldPosition="0">
        <references count="2">
          <reference field="4294967294" count="1" selected="0">
            <x v="0"/>
          </reference>
          <reference field="26" count="1" selected="0">
            <x v="2"/>
          </reference>
        </references>
      </pivotArea>
    </chartFormat>
    <chartFormat chart="4" format="5">
      <pivotArea type="data" outline="0" fieldPosition="0">
        <references count="2">
          <reference field="4294967294" count="1" selected="0">
            <x v="0"/>
          </reference>
          <reference field="26" count="1" selected="0">
            <x v="3"/>
          </reference>
        </references>
      </pivotArea>
    </chartFormat>
    <chartFormat chart="4" format="6">
      <pivotArea type="data" outline="0" fieldPosition="0">
        <references count="2">
          <reference field="4294967294" count="1" selected="0">
            <x v="0"/>
          </reference>
          <reference field="26" count="1" selected="0">
            <x v="4"/>
          </reference>
        </references>
      </pivotArea>
    </chartFormat>
    <chartFormat chart="4" format="7">
      <pivotArea type="data" outline="0" fieldPosition="0">
        <references count="2">
          <reference field="4294967294" count="1" selected="0">
            <x v="0"/>
          </reference>
          <reference field="26" count="1" selected="0">
            <x v="5"/>
          </reference>
        </references>
      </pivotArea>
    </chartFormat>
    <chartFormat chart="4" format="8">
      <pivotArea type="data" outline="0" fieldPosition="0">
        <references count="2">
          <reference field="4294967294" count="1" selected="0">
            <x v="0"/>
          </reference>
          <reference field="26" count="1" selected="0">
            <x v="6"/>
          </reference>
        </references>
      </pivotArea>
    </chartFormat>
    <chartFormat chart="4" format="9">
      <pivotArea type="data" outline="0" fieldPosition="0">
        <references count="2">
          <reference field="4294967294" count="1" selected="0">
            <x v="0"/>
          </reference>
          <reference field="26" count="1" selected="0">
            <x v="7"/>
          </reference>
        </references>
      </pivotArea>
    </chartFormat>
    <chartFormat chart="4" format="10">
      <pivotArea type="data" outline="0" fieldPosition="0">
        <references count="2">
          <reference field="4294967294" count="1" selected="0">
            <x v="0"/>
          </reference>
          <reference field="26" count="1" selected="0">
            <x v="8"/>
          </reference>
        </references>
      </pivotArea>
    </chartFormat>
    <chartFormat chart="4" format="11">
      <pivotArea type="data" outline="0" fieldPosition="0">
        <references count="2">
          <reference field="4294967294" count="1" selected="0">
            <x v="0"/>
          </reference>
          <reference field="26" count="1" selected="0">
            <x v="9"/>
          </reference>
        </references>
      </pivotArea>
    </chartFormat>
    <chartFormat chart="4" format="12">
      <pivotArea type="data" outline="0" fieldPosition="0">
        <references count="2">
          <reference field="4294967294" count="1" selected="0">
            <x v="0"/>
          </reference>
          <reference field="26" count="1" selected="0">
            <x v="10"/>
          </reference>
        </references>
      </pivotArea>
    </chartFormat>
    <chartFormat chart="4" format="13">
      <pivotArea type="data" outline="0" fieldPosition="0">
        <references count="2">
          <reference field="4294967294" count="1" selected="0">
            <x v="0"/>
          </reference>
          <reference field="26" count="1" selected="0">
            <x v="11"/>
          </reference>
        </references>
      </pivotArea>
    </chartFormat>
    <chartFormat chart="4" format="14">
      <pivotArea type="data" outline="0" fieldPosition="0">
        <references count="2">
          <reference field="4294967294" count="1" selected="0">
            <x v="0"/>
          </reference>
          <reference field="2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92E67B-9B83-4596-A424-472C2C293711}" name="Retur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fieldListSortAscending="1">
  <location ref="Y3:Z6" firstHeaderRow="1" firstDataRow="1" firstDataCol="1"/>
  <pivotFields count="29">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items count="11">
        <item x="3"/>
        <item x="5"/>
        <item x="0"/>
        <item x="1"/>
        <item x="4"/>
        <item x="9"/>
        <item x="6"/>
        <item x="2"/>
        <item x="8"/>
        <item x="7"/>
        <item t="default"/>
      </items>
    </pivotField>
    <pivotField showAll="0">
      <items count="4">
        <item x="2"/>
        <item x="0"/>
        <item x="1"/>
        <item t="default"/>
      </items>
    </pivotField>
    <pivotField showAll="0">
      <items count="11">
        <item sd="0" x="3"/>
        <item sd="0" x="5"/>
        <item sd="0" x="0"/>
        <item sd="0" x="1"/>
        <item sd="0" x="4"/>
        <item sd="0" x="9"/>
        <item sd="0" x="6"/>
        <item sd="0" x="2"/>
        <item sd="0" x="8"/>
        <item sd="0" x="7"/>
        <item t="default"/>
      </items>
    </pivotField>
    <pivotField showAll="0">
      <items count="11">
        <item x="9"/>
        <item x="7"/>
        <item x="1"/>
        <item x="2"/>
        <item x="3"/>
        <item x="4"/>
        <item x="6"/>
        <item x="8"/>
        <item x="5"/>
        <item x="0"/>
        <item t="default"/>
      </items>
    </pivotField>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axis="axisRow"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3"/>
  </rowFields>
  <rowItems count="3">
    <i>
      <x/>
    </i>
    <i>
      <x v="1"/>
    </i>
    <i t="grand">
      <x/>
    </i>
  </rowItems>
  <colItems count="1">
    <i/>
  </colItems>
  <dataFields count="1">
    <dataField name="Sum of TotalAmount" fld="16"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3" count="1" selected="0">
            <x v="0"/>
          </reference>
        </references>
      </pivotArea>
    </chartFormat>
    <chartFormat chart="12" format="6">
      <pivotArea type="data" outline="0" fieldPosition="0">
        <references count="2">
          <reference field="4294967294" count="1" selected="0">
            <x v="0"/>
          </reference>
          <reference field="23" count="1" selected="0">
            <x v="1"/>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0" format="2">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7014B6B-5CF7-475F-86C8-7140BFD2BCD4}" sourceName="Category">
  <pivotTables>
    <pivotTable tabId="3" name="Rating"/>
    <pivotTable tabId="3" name="Brand"/>
    <pivotTable tabId="3" name="Category"/>
    <pivotTable tabId="3" name="Delivery"/>
    <pivotTable tabId="3" name="Month"/>
    <pivotTable tabId="3" name="OrderChanel"/>
    <pivotTable tabId="3" name="Payment"/>
    <pivotTable tabId="3" name="Return"/>
    <pivotTable tabId="3" name="State"/>
    <pivotTable tabId="3" name="Total sales"/>
  </pivotTables>
  <data>
    <tabular pivotCacheId="195194262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4F7E04-AD1C-4891-ADD7-306953070427}" sourceName="Gender">
  <pivotTables>
    <pivotTable tabId="3" name="Rating"/>
    <pivotTable tabId="3" name="Brand"/>
    <pivotTable tabId="3" name="Category"/>
    <pivotTable tabId="3" name="Delivery"/>
    <pivotTable tabId="3" name="Month"/>
    <pivotTable tabId="3" name="OrderChanel"/>
    <pivotTable tabId="3" name="Payment"/>
    <pivotTable tabId="3" name="Return"/>
    <pivotTable tabId="3" name="State"/>
    <pivotTable tabId="3" name="Total sales"/>
  </pivotTables>
  <data>
    <tabular pivotCacheId="195194262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 xr10:uid="{272847C5-C20B-4CB0-9C59-A08B3C24520A}" sourceName="OrderChannel">
  <pivotTables>
    <pivotTable tabId="3" name="Rating"/>
    <pivotTable tabId="3" name="Brand"/>
    <pivotTable tabId="3" name="Category"/>
    <pivotTable tabId="3" name="Delivery"/>
    <pivotTable tabId="3" name="Month"/>
    <pivotTable tabId="3" name="OrderChanel"/>
    <pivotTable tabId="3" name="Payment"/>
    <pivotTable tabId="3" name="Return"/>
    <pivotTable tabId="3" name="State"/>
    <pivotTable tabId="3" name="Total sales"/>
  </pivotTables>
  <data>
    <tabular pivotCacheId="195194262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6E2A2B-3BC1-4511-BD7D-45D7471EEC17}" sourceName="Region">
  <pivotTables>
    <pivotTable tabId="3" name="Rating"/>
    <pivotTable tabId="3" name="Brand"/>
    <pivotTable tabId="3" name="Category"/>
    <pivotTable tabId="3" name="Delivery"/>
    <pivotTable tabId="3" name="Month"/>
    <pivotTable tabId="3" name="OrderChanel"/>
    <pivotTable tabId="3" name="Payment"/>
    <pivotTable tabId="3" name="Return"/>
    <pivotTable tabId="3" name="State"/>
    <pivotTable tabId="3" name="Total sales"/>
  </pivotTables>
  <data>
    <tabular pivotCacheId="195194262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5867FDC-8F6D-49A7-9FBD-C99865A95C01}" cache="Slicer_Category" caption="Category" rowHeight="234950"/>
  <slicer name="Gender 1" xr10:uid="{0FBA7041-2E23-430E-8F01-D9CB8DF5DE0D}" cache="Slicer_Gender" caption="Gender" rowHeight="234950"/>
  <slicer name="OrderChannel 1" xr10:uid="{BFD4F9B0-F0EC-43D6-A689-61E04C39CD98}" cache="Slicer_OrderChannel" caption="OrderChannel" rowHeight="234950"/>
  <slicer name="Region 1" xr10:uid="{A0AE3FF3-DD55-452E-8FFA-41BE0F5699F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FB561BA2-F471-464F-A080-92DB1126CB0A}" cache="Slicer_Category" caption="Category" style="SlicerStyleLight4" rowHeight="234950"/>
  <slicer name="Gender 2" xr10:uid="{06476591-DB2A-4386-9F50-EE985C52CDFB}" cache="Slicer_Gender" caption="Gender" style="SlicerStyleLight4" rowHeight="234950"/>
  <slicer name="OrderChannel 2" xr10:uid="{2EBEA5CA-DD6E-4BB2-8E52-132C790470B4}" cache="Slicer_OrderChannel" caption="OrderChannel" style="SlicerStyleLight4" rowHeight="234950"/>
  <slicer name="Region 2" xr10:uid="{B547EE98-ED96-496A-8F86-7C0C09B16369}" cache="Slicer_Region" caption="Region"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11C93A39-ECCC-4906-A90C-813400D8B28A}" sourceName="OrderDate">
  <pivotTables>
    <pivotTable tabId="3" name="Month"/>
    <pivotTable tabId="3" name="Brand"/>
    <pivotTable tabId="3" name="Category"/>
    <pivotTable tabId="3" name="Delivery"/>
    <pivotTable tabId="3" name="OrderChanel"/>
    <pivotTable tabId="3" name="Payment"/>
    <pivotTable tabId="3" name="Rating"/>
    <pivotTable tabId="3" name="Return"/>
    <pivotTable tabId="3" name="State"/>
    <pivotTable tabId="3" name="Total sales"/>
  </pivotTables>
  <state minimalRefreshVersion="6" lastRefreshVersion="6" pivotCacheId="1951942620"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21973998-7F12-4D67-BEBE-1129B55B1C40}" cache="NativeTimeline_OrderDate" caption="OrderDate" level="2" selectionLevel="2" scrollPosition="2025-06-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548E62D9-140D-454D-A670-CE39217DED47}" cache="NativeTimeline_OrderDate" caption="OrderDate" level="2" selectionLevel="2" scrollPosition="2025-06-01T00:00:00" style="TimeSlicerStyleDark1"/>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F9452-CE39-474E-A712-D86A97F63701}">
  <dimension ref="A1:Z1001"/>
  <sheetViews>
    <sheetView tabSelected="1" workbookViewId="0">
      <selection sqref="A1:Z1001"/>
    </sheetView>
  </sheetViews>
  <sheetFormatPr defaultRowHeight="14.4" x14ac:dyDescent="0.3"/>
  <cols>
    <col min="1" max="1" width="9.6640625" bestFit="1" customWidth="1"/>
    <col min="2" max="2" width="9.88671875" bestFit="1" customWidth="1"/>
    <col min="3" max="3" width="10.88671875" bestFit="1" customWidth="1"/>
    <col min="4" max="4" width="14.21875" bestFit="1" customWidth="1"/>
    <col min="5" max="5" width="7.109375" bestFit="1" customWidth="1"/>
    <col min="6" max="6" width="4.21875" bestFit="1" customWidth="1"/>
    <col min="7" max="7" width="11.109375" bestFit="1" customWidth="1"/>
    <col min="8" max="8" width="10.44140625" bestFit="1" customWidth="1"/>
    <col min="9" max="9" width="11.77734375" bestFit="1" customWidth="1"/>
    <col min="10" max="10" width="8.109375" bestFit="1" customWidth="1"/>
    <col min="11" max="11" width="8.33203125" bestFit="1" customWidth="1"/>
    <col min="12" max="12" width="8.6640625" bestFit="1" customWidth="1"/>
    <col min="13" max="13" width="8.33203125" bestFit="1" customWidth="1"/>
    <col min="14" max="14" width="15.33203125" bestFit="1" customWidth="1"/>
    <col min="15" max="15" width="9" bestFit="1" customWidth="1"/>
    <col min="16" max="16" width="12" bestFit="1" customWidth="1"/>
    <col min="17" max="17" width="12.109375" bestFit="1" customWidth="1"/>
    <col min="18" max="18" width="15.44140625" bestFit="1" customWidth="1"/>
    <col min="19" max="19" width="12.6640625" bestFit="1" customWidth="1"/>
    <col min="20" max="20" width="10.109375" bestFit="1" customWidth="1"/>
    <col min="21" max="21" width="12.21875" bestFit="1" customWidth="1"/>
    <col min="22" max="22" width="6.77734375" bestFit="1" customWidth="1"/>
    <col min="23" max="23" width="11.77734375" bestFit="1" customWidth="1"/>
    <col min="24" max="24" width="11.88671875" bestFit="1" customWidth="1"/>
    <col min="25" max="25" width="6.33203125" bestFit="1" customWidth="1"/>
  </cols>
  <sheetData>
    <row r="1" spans="1:26" x14ac:dyDescent="0.3">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row>
    <row r="2" spans="1:26" x14ac:dyDescent="0.3">
      <c r="A2" s="1" t="s">
        <v>26</v>
      </c>
      <c r="B2" s="2">
        <v>45854</v>
      </c>
      <c r="C2" s="1" t="s">
        <v>27</v>
      </c>
      <c r="D2" s="1" t="s">
        <v>28</v>
      </c>
      <c r="E2" s="1" t="s">
        <v>29</v>
      </c>
      <c r="F2" s="1">
        <v>35</v>
      </c>
      <c r="G2" s="1" t="s">
        <v>30</v>
      </c>
      <c r="H2" s="1" t="s">
        <v>31</v>
      </c>
      <c r="I2" s="1" t="s">
        <v>30</v>
      </c>
      <c r="J2" s="1" t="s">
        <v>32</v>
      </c>
      <c r="K2" s="1">
        <v>2</v>
      </c>
      <c r="L2" s="1">
        <v>24446</v>
      </c>
      <c r="M2" s="1">
        <v>5</v>
      </c>
      <c r="N2" s="1">
        <v>2444.6</v>
      </c>
      <c r="O2" s="1">
        <v>8360.5300000000007</v>
      </c>
      <c r="P2" s="1">
        <v>310</v>
      </c>
      <c r="Q2" s="1">
        <v>55117.93</v>
      </c>
      <c r="R2" s="1" t="s">
        <v>33</v>
      </c>
      <c r="S2" s="1" t="s">
        <v>34</v>
      </c>
      <c r="T2" s="1" t="s">
        <v>35</v>
      </c>
      <c r="U2" s="1" t="s">
        <v>36</v>
      </c>
      <c r="V2" s="1" t="s">
        <v>37</v>
      </c>
      <c r="W2" s="1">
        <v>1</v>
      </c>
      <c r="X2" s="1" t="s">
        <v>38</v>
      </c>
      <c r="Y2" s="1">
        <v>1</v>
      </c>
      <c r="Z2" s="1" t="s">
        <v>39</v>
      </c>
    </row>
    <row r="3" spans="1:26" x14ac:dyDescent="0.3">
      <c r="A3" s="1" t="s">
        <v>40</v>
      </c>
      <c r="B3" s="2">
        <v>45791</v>
      </c>
      <c r="C3" s="1" t="s">
        <v>41</v>
      </c>
      <c r="D3" s="1" t="s">
        <v>42</v>
      </c>
      <c r="E3" s="1" t="s">
        <v>43</v>
      </c>
      <c r="F3" s="1">
        <v>45</v>
      </c>
      <c r="G3" s="1" t="s">
        <v>44</v>
      </c>
      <c r="H3" s="1" t="s">
        <v>31</v>
      </c>
      <c r="I3" s="1" t="s">
        <v>44</v>
      </c>
      <c r="J3" s="1" t="s">
        <v>32</v>
      </c>
      <c r="K3" s="1">
        <v>2</v>
      </c>
      <c r="L3" s="1">
        <v>18047</v>
      </c>
      <c r="M3" s="1">
        <v>20</v>
      </c>
      <c r="N3" s="1">
        <v>7218.8</v>
      </c>
      <c r="O3" s="1">
        <v>5197.54</v>
      </c>
      <c r="P3" s="1">
        <v>363</v>
      </c>
      <c r="Q3" s="1">
        <v>34435.74</v>
      </c>
      <c r="R3" s="1" t="s">
        <v>45</v>
      </c>
      <c r="S3" s="1" t="s">
        <v>34</v>
      </c>
      <c r="T3" s="1" t="s">
        <v>46</v>
      </c>
      <c r="U3" s="1" t="s">
        <v>36</v>
      </c>
      <c r="V3" s="1" t="s">
        <v>37</v>
      </c>
      <c r="W3" s="1">
        <v>4</v>
      </c>
      <c r="X3" s="1" t="s">
        <v>38</v>
      </c>
      <c r="Y3" s="1">
        <v>1</v>
      </c>
      <c r="Z3" s="1" t="s">
        <v>47</v>
      </c>
    </row>
    <row r="4" spans="1:26" x14ac:dyDescent="0.3">
      <c r="A4" s="1" t="s">
        <v>48</v>
      </c>
      <c r="B4" s="2">
        <v>45897</v>
      </c>
      <c r="C4" s="1" t="s">
        <v>49</v>
      </c>
      <c r="D4" s="1" t="s">
        <v>50</v>
      </c>
      <c r="E4" s="1" t="s">
        <v>29</v>
      </c>
      <c r="F4" s="1">
        <v>29</v>
      </c>
      <c r="G4" s="1" t="s">
        <v>51</v>
      </c>
      <c r="H4" s="1" t="s">
        <v>52</v>
      </c>
      <c r="I4" s="1" t="s">
        <v>51</v>
      </c>
      <c r="J4" s="1" t="s">
        <v>53</v>
      </c>
      <c r="K4" s="1">
        <v>2</v>
      </c>
      <c r="L4" s="1">
        <v>15876</v>
      </c>
      <c r="M4" s="1">
        <v>5</v>
      </c>
      <c r="N4" s="1">
        <v>1587.6</v>
      </c>
      <c r="O4" s="1">
        <v>5429.59</v>
      </c>
      <c r="P4" s="1">
        <v>156</v>
      </c>
      <c r="Q4" s="1">
        <v>35749.99</v>
      </c>
      <c r="R4" s="1" t="s">
        <v>54</v>
      </c>
      <c r="S4" s="1" t="s">
        <v>34</v>
      </c>
      <c r="T4" s="1" t="s">
        <v>55</v>
      </c>
      <c r="U4" s="1" t="s">
        <v>56</v>
      </c>
      <c r="V4" s="1" t="s">
        <v>57</v>
      </c>
      <c r="W4" s="1">
        <v>3</v>
      </c>
      <c r="X4" s="1" t="s">
        <v>38</v>
      </c>
      <c r="Y4" s="1">
        <v>4</v>
      </c>
      <c r="Z4" s="1" t="s">
        <v>58</v>
      </c>
    </row>
    <row r="5" spans="1:26" x14ac:dyDescent="0.3">
      <c r="A5" s="1" t="s">
        <v>59</v>
      </c>
      <c r="B5" s="2">
        <v>45850</v>
      </c>
      <c r="C5" s="1" t="s">
        <v>60</v>
      </c>
      <c r="D5" s="1" t="s">
        <v>61</v>
      </c>
      <c r="E5" s="1" t="s">
        <v>29</v>
      </c>
      <c r="F5" s="1">
        <v>18</v>
      </c>
      <c r="G5" s="1" t="s">
        <v>44</v>
      </c>
      <c r="H5" s="1" t="s">
        <v>31</v>
      </c>
      <c r="I5" s="1" t="s">
        <v>44</v>
      </c>
      <c r="J5" s="1" t="s">
        <v>62</v>
      </c>
      <c r="K5" s="1">
        <v>4</v>
      </c>
      <c r="L5" s="1">
        <v>22930</v>
      </c>
      <c r="M5" s="1">
        <v>15</v>
      </c>
      <c r="N5" s="1">
        <v>13758</v>
      </c>
      <c r="O5" s="1">
        <v>14033.16</v>
      </c>
      <c r="P5" s="1">
        <v>264</v>
      </c>
      <c r="Q5" s="1">
        <v>92259.16</v>
      </c>
      <c r="R5" s="1" t="s">
        <v>45</v>
      </c>
      <c r="S5" s="1" t="s">
        <v>63</v>
      </c>
      <c r="T5" s="1" t="s">
        <v>55</v>
      </c>
      <c r="U5" s="1" t="s">
        <v>56</v>
      </c>
      <c r="V5" s="1" t="s">
        <v>57</v>
      </c>
      <c r="W5" s="1">
        <v>10</v>
      </c>
      <c r="X5" s="1" t="s">
        <v>38</v>
      </c>
      <c r="Y5" s="1">
        <v>2</v>
      </c>
      <c r="Z5" s="1" t="s">
        <v>39</v>
      </c>
    </row>
    <row r="6" spans="1:26" x14ac:dyDescent="0.3">
      <c r="A6" s="1" t="s">
        <v>64</v>
      </c>
      <c r="B6" s="2">
        <v>45929</v>
      </c>
      <c r="C6" s="1" t="s">
        <v>65</v>
      </c>
      <c r="D6" s="1" t="s">
        <v>66</v>
      </c>
      <c r="E6" s="1" t="s">
        <v>43</v>
      </c>
      <c r="F6" s="1">
        <v>22</v>
      </c>
      <c r="G6" s="1" t="s">
        <v>67</v>
      </c>
      <c r="H6" s="1" t="s">
        <v>68</v>
      </c>
      <c r="I6" s="1" t="s">
        <v>67</v>
      </c>
      <c r="J6" s="1" t="s">
        <v>69</v>
      </c>
      <c r="K6" s="1">
        <v>3</v>
      </c>
      <c r="L6" s="1">
        <v>28947</v>
      </c>
      <c r="M6" s="1">
        <v>10</v>
      </c>
      <c r="N6" s="1">
        <v>8684.1</v>
      </c>
      <c r="O6" s="1">
        <v>14068.24</v>
      </c>
      <c r="P6" s="1">
        <v>398</v>
      </c>
      <c r="Q6" s="1">
        <v>92623.14</v>
      </c>
      <c r="R6" s="1" t="s">
        <v>33</v>
      </c>
      <c r="S6" s="1" t="s">
        <v>63</v>
      </c>
      <c r="T6" s="1" t="s">
        <v>70</v>
      </c>
      <c r="U6" s="1" t="s">
        <v>56</v>
      </c>
      <c r="V6" s="1" t="s">
        <v>57</v>
      </c>
      <c r="W6" s="1">
        <v>6</v>
      </c>
      <c r="X6" s="1" t="s">
        <v>38</v>
      </c>
      <c r="Y6" s="1">
        <v>2</v>
      </c>
      <c r="Z6" s="1" t="s">
        <v>39</v>
      </c>
    </row>
    <row r="7" spans="1:26" x14ac:dyDescent="0.3">
      <c r="A7" s="1" t="s">
        <v>71</v>
      </c>
      <c r="B7" s="2">
        <v>46058</v>
      </c>
      <c r="C7" s="1" t="s">
        <v>72</v>
      </c>
      <c r="D7" s="1" t="s">
        <v>73</v>
      </c>
      <c r="E7" s="1" t="s">
        <v>43</v>
      </c>
      <c r="F7" s="1">
        <v>45</v>
      </c>
      <c r="G7" s="1" t="s">
        <v>74</v>
      </c>
      <c r="H7" s="1" t="s">
        <v>31</v>
      </c>
      <c r="I7" s="1" t="s">
        <v>74</v>
      </c>
      <c r="J7" s="1" t="s">
        <v>75</v>
      </c>
      <c r="K7" s="1">
        <v>5</v>
      </c>
      <c r="L7" s="1">
        <v>5222</v>
      </c>
      <c r="M7" s="1">
        <v>10</v>
      </c>
      <c r="N7" s="1">
        <v>2611</v>
      </c>
      <c r="O7" s="1">
        <v>4229.82</v>
      </c>
      <c r="P7" s="1">
        <v>392</v>
      </c>
      <c r="Q7" s="1">
        <v>28120.82</v>
      </c>
      <c r="R7" s="1" t="s">
        <v>33</v>
      </c>
      <c r="S7" s="1" t="s">
        <v>63</v>
      </c>
      <c r="T7" s="1" t="s">
        <v>76</v>
      </c>
      <c r="U7" s="1" t="s">
        <v>77</v>
      </c>
      <c r="V7" s="1" t="s">
        <v>57</v>
      </c>
      <c r="W7" s="1">
        <v>6</v>
      </c>
      <c r="X7" s="1" t="s">
        <v>38</v>
      </c>
      <c r="Y7" s="1">
        <v>3</v>
      </c>
      <c r="Z7" s="1" t="s">
        <v>39</v>
      </c>
    </row>
    <row r="8" spans="1:26" x14ac:dyDescent="0.3">
      <c r="A8" s="1" t="s">
        <v>78</v>
      </c>
      <c r="B8" s="2">
        <v>46009</v>
      </c>
      <c r="C8" s="1" t="s">
        <v>79</v>
      </c>
      <c r="D8" s="1" t="s">
        <v>80</v>
      </c>
      <c r="E8" s="1" t="s">
        <v>29</v>
      </c>
      <c r="F8" s="1">
        <v>42</v>
      </c>
      <c r="G8" s="1" t="s">
        <v>30</v>
      </c>
      <c r="H8" s="1" t="s">
        <v>31</v>
      </c>
      <c r="I8" s="1" t="s">
        <v>30</v>
      </c>
      <c r="J8" s="1" t="s">
        <v>62</v>
      </c>
      <c r="K8" s="1">
        <v>3</v>
      </c>
      <c r="L8" s="1">
        <v>47976</v>
      </c>
      <c r="M8" s="1">
        <v>10</v>
      </c>
      <c r="N8" s="1">
        <v>14392.8</v>
      </c>
      <c r="O8" s="1">
        <v>23316.34</v>
      </c>
      <c r="P8" s="1">
        <v>272</v>
      </c>
      <c r="Q8" s="1">
        <v>153123.54</v>
      </c>
      <c r="R8" s="1" t="s">
        <v>45</v>
      </c>
      <c r="S8" s="1" t="s">
        <v>63</v>
      </c>
      <c r="T8" s="1" t="s">
        <v>35</v>
      </c>
      <c r="U8" s="1" t="s">
        <v>36</v>
      </c>
      <c r="V8" s="1" t="s">
        <v>37</v>
      </c>
      <c r="W8" s="1">
        <v>7</v>
      </c>
      <c r="X8" s="1" t="s">
        <v>47</v>
      </c>
      <c r="Y8" s="1">
        <v>1</v>
      </c>
      <c r="Z8" s="1" t="s">
        <v>47</v>
      </c>
    </row>
    <row r="9" spans="1:26" x14ac:dyDescent="0.3">
      <c r="A9" s="1" t="s">
        <v>81</v>
      </c>
      <c r="B9" s="2">
        <v>45781</v>
      </c>
      <c r="C9" s="1" t="s">
        <v>82</v>
      </c>
      <c r="D9" s="1" t="s">
        <v>50</v>
      </c>
      <c r="E9" s="1" t="s">
        <v>43</v>
      </c>
      <c r="F9" s="1">
        <v>28</v>
      </c>
      <c r="G9" s="1" t="s">
        <v>44</v>
      </c>
      <c r="H9" s="1" t="s">
        <v>31</v>
      </c>
      <c r="I9" s="1" t="s">
        <v>44</v>
      </c>
      <c r="J9" s="1" t="s">
        <v>69</v>
      </c>
      <c r="K9" s="1">
        <v>1</v>
      </c>
      <c r="L9" s="1">
        <v>15216</v>
      </c>
      <c r="M9" s="1">
        <v>10</v>
      </c>
      <c r="N9" s="1">
        <v>1521.6</v>
      </c>
      <c r="O9" s="1">
        <v>2464.9899999999998</v>
      </c>
      <c r="P9" s="1">
        <v>366</v>
      </c>
      <c r="Q9" s="1">
        <v>16525.39</v>
      </c>
      <c r="R9" s="1" t="s">
        <v>83</v>
      </c>
      <c r="S9" s="1" t="s">
        <v>34</v>
      </c>
      <c r="T9" s="1" t="s">
        <v>84</v>
      </c>
      <c r="U9" s="1" t="s">
        <v>85</v>
      </c>
      <c r="V9" s="1" t="s">
        <v>86</v>
      </c>
      <c r="W9" s="1">
        <v>3</v>
      </c>
      <c r="X9" s="1" t="s">
        <v>38</v>
      </c>
      <c r="Y9" s="1">
        <v>4</v>
      </c>
      <c r="Z9" s="1" t="s">
        <v>47</v>
      </c>
    </row>
    <row r="10" spans="1:26" x14ac:dyDescent="0.3">
      <c r="A10" s="1" t="s">
        <v>87</v>
      </c>
      <c r="B10" s="2">
        <v>45778</v>
      </c>
      <c r="C10" s="1" t="s">
        <v>88</v>
      </c>
      <c r="D10" s="1" t="s">
        <v>89</v>
      </c>
      <c r="E10" s="1" t="s">
        <v>43</v>
      </c>
      <c r="F10" s="1">
        <v>52</v>
      </c>
      <c r="G10" s="1" t="s">
        <v>90</v>
      </c>
      <c r="H10" s="1" t="s">
        <v>31</v>
      </c>
      <c r="I10" s="1" t="s">
        <v>90</v>
      </c>
      <c r="J10" s="1" t="s">
        <v>75</v>
      </c>
      <c r="K10" s="1">
        <v>3</v>
      </c>
      <c r="L10" s="1">
        <v>39902</v>
      </c>
      <c r="M10" s="1">
        <v>0</v>
      </c>
      <c r="N10" s="1">
        <v>0</v>
      </c>
      <c r="O10" s="1">
        <v>21547.08</v>
      </c>
      <c r="P10" s="1">
        <v>82</v>
      </c>
      <c r="Q10" s="1">
        <v>141335.07999999999</v>
      </c>
      <c r="R10" s="1" t="s">
        <v>54</v>
      </c>
      <c r="S10" s="1" t="s">
        <v>34</v>
      </c>
      <c r="T10" s="1" t="s">
        <v>84</v>
      </c>
      <c r="U10" s="1" t="s">
        <v>85</v>
      </c>
      <c r="V10" s="1" t="s">
        <v>86</v>
      </c>
      <c r="W10" s="1">
        <v>8</v>
      </c>
      <c r="X10" s="1" t="s">
        <v>38</v>
      </c>
      <c r="Y10" s="1">
        <v>4</v>
      </c>
      <c r="Z10" s="1" t="s">
        <v>91</v>
      </c>
    </row>
    <row r="11" spans="1:26" x14ac:dyDescent="0.3">
      <c r="A11" s="1" t="s">
        <v>92</v>
      </c>
      <c r="B11" s="2">
        <v>45863</v>
      </c>
      <c r="C11" s="1" t="s">
        <v>93</v>
      </c>
      <c r="D11" s="1" t="s">
        <v>89</v>
      </c>
      <c r="E11" s="1" t="s">
        <v>29</v>
      </c>
      <c r="F11" s="1">
        <v>32</v>
      </c>
      <c r="G11" s="1" t="s">
        <v>94</v>
      </c>
      <c r="H11" s="1" t="s">
        <v>31</v>
      </c>
      <c r="I11" s="1" t="s">
        <v>94</v>
      </c>
      <c r="J11" s="1" t="s">
        <v>32</v>
      </c>
      <c r="K11" s="1">
        <v>5</v>
      </c>
      <c r="L11" s="1">
        <v>20474</v>
      </c>
      <c r="M11" s="1">
        <v>5</v>
      </c>
      <c r="N11" s="1">
        <v>5118.5</v>
      </c>
      <c r="O11" s="1">
        <v>17505.27</v>
      </c>
      <c r="P11" s="1">
        <v>217</v>
      </c>
      <c r="Q11" s="1">
        <v>114973.77</v>
      </c>
      <c r="R11" s="1" t="s">
        <v>83</v>
      </c>
      <c r="S11" s="1" t="s">
        <v>63</v>
      </c>
      <c r="T11" s="1" t="s">
        <v>95</v>
      </c>
      <c r="U11" s="1" t="s">
        <v>96</v>
      </c>
      <c r="V11" s="1" t="s">
        <v>57</v>
      </c>
      <c r="W11" s="1">
        <v>7</v>
      </c>
      <c r="X11" s="1" t="s">
        <v>38</v>
      </c>
      <c r="Y11" s="1">
        <v>5</v>
      </c>
      <c r="Z11" s="1" t="s">
        <v>91</v>
      </c>
    </row>
    <row r="12" spans="1:26" x14ac:dyDescent="0.3">
      <c r="A12" s="1" t="s">
        <v>97</v>
      </c>
      <c r="B12" s="2">
        <v>45832</v>
      </c>
      <c r="C12" s="1" t="s">
        <v>98</v>
      </c>
      <c r="D12" s="1" t="s">
        <v>80</v>
      </c>
      <c r="E12" s="1" t="s">
        <v>43</v>
      </c>
      <c r="F12" s="1">
        <v>22</v>
      </c>
      <c r="G12" s="1" t="s">
        <v>99</v>
      </c>
      <c r="H12" s="1" t="s">
        <v>52</v>
      </c>
      <c r="I12" s="1" t="s">
        <v>99</v>
      </c>
      <c r="J12" s="1" t="s">
        <v>62</v>
      </c>
      <c r="K12" s="1">
        <v>5</v>
      </c>
      <c r="L12" s="1">
        <v>33495</v>
      </c>
      <c r="M12" s="1">
        <v>0</v>
      </c>
      <c r="N12" s="1">
        <v>0</v>
      </c>
      <c r="O12" s="1">
        <v>30145.5</v>
      </c>
      <c r="P12" s="1">
        <v>336</v>
      </c>
      <c r="Q12" s="1">
        <v>197956.5</v>
      </c>
      <c r="R12" s="1" t="s">
        <v>83</v>
      </c>
      <c r="S12" s="1" t="s">
        <v>34</v>
      </c>
      <c r="T12" s="1" t="s">
        <v>84</v>
      </c>
      <c r="U12" s="1" t="s">
        <v>85</v>
      </c>
      <c r="V12" s="1" t="s">
        <v>86</v>
      </c>
      <c r="W12" s="1">
        <v>10</v>
      </c>
      <c r="X12" s="1" t="s">
        <v>38</v>
      </c>
      <c r="Y12" s="1">
        <v>4</v>
      </c>
      <c r="Z12" s="1" t="s">
        <v>47</v>
      </c>
    </row>
    <row r="13" spans="1:26" x14ac:dyDescent="0.3">
      <c r="A13" s="1" t="s">
        <v>100</v>
      </c>
      <c r="B13" s="2">
        <v>46033</v>
      </c>
      <c r="C13" s="1" t="s">
        <v>101</v>
      </c>
      <c r="D13" s="1" t="s">
        <v>50</v>
      </c>
      <c r="E13" s="1" t="s">
        <v>29</v>
      </c>
      <c r="F13" s="1">
        <v>58</v>
      </c>
      <c r="G13" s="1" t="s">
        <v>30</v>
      </c>
      <c r="H13" s="1" t="s">
        <v>31</v>
      </c>
      <c r="I13" s="1" t="s">
        <v>30</v>
      </c>
      <c r="J13" s="1" t="s">
        <v>102</v>
      </c>
      <c r="K13" s="1">
        <v>5</v>
      </c>
      <c r="L13" s="1">
        <v>28508</v>
      </c>
      <c r="M13" s="1">
        <v>0</v>
      </c>
      <c r="N13" s="1">
        <v>0</v>
      </c>
      <c r="O13" s="1">
        <v>25657.200000000001</v>
      </c>
      <c r="P13" s="1">
        <v>8</v>
      </c>
      <c r="Q13" s="1">
        <v>168205.2</v>
      </c>
      <c r="R13" s="1" t="s">
        <v>33</v>
      </c>
      <c r="S13" s="1" t="s">
        <v>34</v>
      </c>
      <c r="T13" s="1" t="s">
        <v>103</v>
      </c>
      <c r="U13" s="1" t="s">
        <v>103</v>
      </c>
      <c r="V13" s="1" t="s">
        <v>57</v>
      </c>
      <c r="W13" s="1">
        <v>4</v>
      </c>
      <c r="X13" s="1" t="s">
        <v>47</v>
      </c>
      <c r="Y13" s="1">
        <v>1</v>
      </c>
      <c r="Z13" s="1" t="s">
        <v>47</v>
      </c>
    </row>
    <row r="14" spans="1:26" x14ac:dyDescent="0.3">
      <c r="A14" s="1" t="s">
        <v>104</v>
      </c>
      <c r="B14" s="2">
        <v>45970</v>
      </c>
      <c r="C14" s="1" t="s">
        <v>105</v>
      </c>
      <c r="D14" s="1" t="s">
        <v>66</v>
      </c>
      <c r="E14" s="1" t="s">
        <v>29</v>
      </c>
      <c r="F14" s="1">
        <v>25</v>
      </c>
      <c r="G14" s="1" t="s">
        <v>94</v>
      </c>
      <c r="H14" s="1" t="s">
        <v>31</v>
      </c>
      <c r="I14" s="1" t="s">
        <v>94</v>
      </c>
      <c r="J14" s="1" t="s">
        <v>69</v>
      </c>
      <c r="K14" s="1">
        <v>3</v>
      </c>
      <c r="L14" s="1">
        <v>25199</v>
      </c>
      <c r="M14" s="1">
        <v>10</v>
      </c>
      <c r="N14" s="1">
        <v>7559.7</v>
      </c>
      <c r="O14" s="1">
        <v>12246.71</v>
      </c>
      <c r="P14" s="1">
        <v>373</v>
      </c>
      <c r="Q14" s="1">
        <v>80657.009999999995</v>
      </c>
      <c r="R14" s="1" t="s">
        <v>54</v>
      </c>
      <c r="S14" s="1" t="s">
        <v>63</v>
      </c>
      <c r="T14" s="1" t="s">
        <v>95</v>
      </c>
      <c r="U14" s="1" t="s">
        <v>96</v>
      </c>
      <c r="V14" s="1" t="s">
        <v>57</v>
      </c>
      <c r="W14" s="1">
        <v>6</v>
      </c>
      <c r="X14" s="1" t="s">
        <v>38</v>
      </c>
      <c r="Y14" s="1">
        <v>4</v>
      </c>
      <c r="Z14" s="1" t="s">
        <v>47</v>
      </c>
    </row>
    <row r="15" spans="1:26" x14ac:dyDescent="0.3">
      <c r="A15" s="1" t="s">
        <v>106</v>
      </c>
      <c r="B15" s="2">
        <v>45960</v>
      </c>
      <c r="C15" s="1" t="s">
        <v>107</v>
      </c>
      <c r="D15" s="1" t="s">
        <v>108</v>
      </c>
      <c r="E15" s="1" t="s">
        <v>29</v>
      </c>
      <c r="F15" s="1">
        <v>22</v>
      </c>
      <c r="G15" s="1" t="s">
        <v>51</v>
      </c>
      <c r="H15" s="1" t="s">
        <v>52</v>
      </c>
      <c r="I15" s="1" t="s">
        <v>51</v>
      </c>
      <c r="J15" s="1" t="s">
        <v>62</v>
      </c>
      <c r="K15" s="1">
        <v>3</v>
      </c>
      <c r="L15" s="1">
        <v>528</v>
      </c>
      <c r="M15" s="1">
        <v>5</v>
      </c>
      <c r="N15" s="1">
        <v>79.2</v>
      </c>
      <c r="O15" s="1">
        <v>270.86</v>
      </c>
      <c r="P15" s="1">
        <v>489</v>
      </c>
      <c r="Q15" s="1">
        <v>2264.66</v>
      </c>
      <c r="R15" s="1" t="s">
        <v>83</v>
      </c>
      <c r="S15" s="1" t="s">
        <v>63</v>
      </c>
      <c r="T15" s="1" t="s">
        <v>76</v>
      </c>
      <c r="U15" s="1" t="s">
        <v>77</v>
      </c>
      <c r="V15" s="1" t="s">
        <v>57</v>
      </c>
      <c r="W15" s="1">
        <v>7</v>
      </c>
      <c r="X15" s="1" t="s">
        <v>47</v>
      </c>
      <c r="Y15" s="1">
        <v>5</v>
      </c>
      <c r="Z15" s="1" t="s">
        <v>39</v>
      </c>
    </row>
    <row r="16" spans="1:26" x14ac:dyDescent="0.3">
      <c r="A16" s="1" t="s">
        <v>109</v>
      </c>
      <c r="B16" s="2">
        <v>46094</v>
      </c>
      <c r="C16" s="1" t="s">
        <v>110</v>
      </c>
      <c r="D16" s="1" t="s">
        <v>111</v>
      </c>
      <c r="E16" s="1" t="s">
        <v>43</v>
      </c>
      <c r="F16" s="1">
        <v>19</v>
      </c>
      <c r="G16" s="1" t="s">
        <v>30</v>
      </c>
      <c r="H16" s="1" t="s">
        <v>31</v>
      </c>
      <c r="I16" s="1" t="s">
        <v>30</v>
      </c>
      <c r="J16" s="1" t="s">
        <v>112</v>
      </c>
      <c r="K16" s="1">
        <v>2</v>
      </c>
      <c r="L16" s="1">
        <v>4978</v>
      </c>
      <c r="M16" s="1">
        <v>10</v>
      </c>
      <c r="N16" s="1">
        <v>995.6</v>
      </c>
      <c r="O16" s="1">
        <v>1612.87</v>
      </c>
      <c r="P16" s="1">
        <v>228</v>
      </c>
      <c r="Q16" s="1">
        <v>10801.27</v>
      </c>
      <c r="R16" s="1" t="s">
        <v>33</v>
      </c>
      <c r="S16" s="1" t="s">
        <v>63</v>
      </c>
      <c r="T16" s="1" t="s">
        <v>76</v>
      </c>
      <c r="U16" s="1" t="s">
        <v>77</v>
      </c>
      <c r="V16" s="1" t="s">
        <v>57</v>
      </c>
      <c r="W16" s="1">
        <v>8</v>
      </c>
      <c r="X16" s="1" t="s">
        <v>47</v>
      </c>
      <c r="Y16" s="1">
        <v>3</v>
      </c>
      <c r="Z16" s="1" t="s">
        <v>91</v>
      </c>
    </row>
    <row r="17" spans="1:26" x14ac:dyDescent="0.3">
      <c r="A17" s="1" t="s">
        <v>113</v>
      </c>
      <c r="B17" s="2">
        <v>46001</v>
      </c>
      <c r="C17" s="1" t="s">
        <v>114</v>
      </c>
      <c r="D17" s="1" t="s">
        <v>108</v>
      </c>
      <c r="E17" s="1" t="s">
        <v>43</v>
      </c>
      <c r="F17" s="1">
        <v>51</v>
      </c>
      <c r="G17" s="1" t="s">
        <v>74</v>
      </c>
      <c r="H17" s="1" t="s">
        <v>31</v>
      </c>
      <c r="I17" s="1" t="s">
        <v>74</v>
      </c>
      <c r="J17" s="1" t="s">
        <v>102</v>
      </c>
      <c r="K17" s="1">
        <v>5</v>
      </c>
      <c r="L17" s="1">
        <v>46989</v>
      </c>
      <c r="M17" s="1">
        <v>10</v>
      </c>
      <c r="N17" s="1">
        <v>23494.5</v>
      </c>
      <c r="O17" s="1">
        <v>38061.089999999997</v>
      </c>
      <c r="P17" s="1">
        <v>201</v>
      </c>
      <c r="Q17" s="1">
        <v>249712.59</v>
      </c>
      <c r="R17" s="1" t="s">
        <v>54</v>
      </c>
      <c r="S17" s="1" t="s">
        <v>34</v>
      </c>
      <c r="T17" s="1" t="s">
        <v>84</v>
      </c>
      <c r="U17" s="1" t="s">
        <v>85</v>
      </c>
      <c r="V17" s="1" t="s">
        <v>86</v>
      </c>
      <c r="W17" s="1">
        <v>9</v>
      </c>
      <c r="X17" s="1" t="s">
        <v>47</v>
      </c>
      <c r="Y17" s="1">
        <v>4</v>
      </c>
      <c r="Z17" s="1" t="s">
        <v>39</v>
      </c>
    </row>
    <row r="18" spans="1:26" x14ac:dyDescent="0.3">
      <c r="A18" s="1" t="s">
        <v>115</v>
      </c>
      <c r="B18" s="2">
        <v>45808</v>
      </c>
      <c r="C18" s="1" t="s">
        <v>116</v>
      </c>
      <c r="D18" s="1" t="s">
        <v>111</v>
      </c>
      <c r="E18" s="1" t="s">
        <v>29</v>
      </c>
      <c r="F18" s="1">
        <v>31</v>
      </c>
      <c r="G18" s="1" t="s">
        <v>67</v>
      </c>
      <c r="H18" s="1" t="s">
        <v>68</v>
      </c>
      <c r="I18" s="1" t="s">
        <v>67</v>
      </c>
      <c r="J18" s="1" t="s">
        <v>69</v>
      </c>
      <c r="K18" s="1">
        <v>1</v>
      </c>
      <c r="L18" s="1">
        <v>48667</v>
      </c>
      <c r="M18" s="1">
        <v>5</v>
      </c>
      <c r="N18" s="1">
        <v>2433.35</v>
      </c>
      <c r="O18" s="1">
        <v>8322.06</v>
      </c>
      <c r="P18" s="1">
        <v>58</v>
      </c>
      <c r="Q18" s="1">
        <v>54613.71</v>
      </c>
      <c r="R18" s="1" t="s">
        <v>83</v>
      </c>
      <c r="S18" s="1" t="s">
        <v>63</v>
      </c>
      <c r="T18" s="1" t="s">
        <v>84</v>
      </c>
      <c r="U18" s="1" t="s">
        <v>85</v>
      </c>
      <c r="V18" s="1" t="s">
        <v>86</v>
      </c>
      <c r="W18" s="1">
        <v>1</v>
      </c>
      <c r="X18" s="1" t="s">
        <v>47</v>
      </c>
      <c r="Y18" s="1">
        <v>2</v>
      </c>
      <c r="Z18" s="1" t="s">
        <v>91</v>
      </c>
    </row>
    <row r="19" spans="1:26" x14ac:dyDescent="0.3">
      <c r="A19" s="1" t="s">
        <v>117</v>
      </c>
      <c r="B19" s="2">
        <v>45784</v>
      </c>
      <c r="C19" s="1" t="s">
        <v>118</v>
      </c>
      <c r="D19" s="1" t="s">
        <v>66</v>
      </c>
      <c r="E19" s="1" t="s">
        <v>29</v>
      </c>
      <c r="F19" s="1">
        <v>31</v>
      </c>
      <c r="G19" s="1" t="s">
        <v>94</v>
      </c>
      <c r="H19" s="1" t="s">
        <v>31</v>
      </c>
      <c r="I19" s="1" t="s">
        <v>94</v>
      </c>
      <c r="J19" s="1" t="s">
        <v>53</v>
      </c>
      <c r="K19" s="1">
        <v>3</v>
      </c>
      <c r="L19" s="1">
        <v>33636</v>
      </c>
      <c r="M19" s="1">
        <v>10</v>
      </c>
      <c r="N19" s="1">
        <v>10090.799999999999</v>
      </c>
      <c r="O19" s="1">
        <v>16347.1</v>
      </c>
      <c r="P19" s="1">
        <v>272</v>
      </c>
      <c r="Q19" s="1">
        <v>107436.3</v>
      </c>
      <c r="R19" s="1" t="s">
        <v>83</v>
      </c>
      <c r="S19" s="1" t="s">
        <v>34</v>
      </c>
      <c r="T19" s="1" t="s">
        <v>76</v>
      </c>
      <c r="U19" s="1" t="s">
        <v>77</v>
      </c>
      <c r="V19" s="1" t="s">
        <v>57</v>
      </c>
      <c r="W19" s="1">
        <v>1</v>
      </c>
      <c r="X19" s="1" t="s">
        <v>38</v>
      </c>
      <c r="Y19" s="1">
        <v>3</v>
      </c>
      <c r="Z19" s="1" t="s">
        <v>39</v>
      </c>
    </row>
    <row r="20" spans="1:26" x14ac:dyDescent="0.3">
      <c r="A20" s="1" t="s">
        <v>119</v>
      </c>
      <c r="B20" s="2">
        <v>45987</v>
      </c>
      <c r="C20" s="1" t="s">
        <v>120</v>
      </c>
      <c r="D20" s="1" t="s">
        <v>66</v>
      </c>
      <c r="E20" s="1" t="s">
        <v>43</v>
      </c>
      <c r="F20" s="1">
        <v>55</v>
      </c>
      <c r="G20" s="1" t="s">
        <v>51</v>
      </c>
      <c r="H20" s="1" t="s">
        <v>52</v>
      </c>
      <c r="I20" s="1" t="s">
        <v>51</v>
      </c>
      <c r="J20" s="1" t="s">
        <v>53</v>
      </c>
      <c r="K20" s="1">
        <v>3</v>
      </c>
      <c r="L20" s="1">
        <v>40213</v>
      </c>
      <c r="M20" s="1">
        <v>15</v>
      </c>
      <c r="N20" s="1">
        <v>18095.849999999999</v>
      </c>
      <c r="O20" s="1">
        <v>18457.77</v>
      </c>
      <c r="P20" s="1">
        <v>371</v>
      </c>
      <c r="Q20" s="1">
        <v>121371.92</v>
      </c>
      <c r="R20" s="1" t="s">
        <v>33</v>
      </c>
      <c r="S20" s="1" t="s">
        <v>34</v>
      </c>
      <c r="T20" s="1" t="s">
        <v>55</v>
      </c>
      <c r="U20" s="1" t="s">
        <v>56</v>
      </c>
      <c r="V20" s="1" t="s">
        <v>57</v>
      </c>
      <c r="W20" s="1">
        <v>6</v>
      </c>
      <c r="X20" s="1" t="s">
        <v>47</v>
      </c>
      <c r="Y20" s="1">
        <v>4</v>
      </c>
      <c r="Z20" s="1" t="s">
        <v>47</v>
      </c>
    </row>
    <row r="21" spans="1:26" x14ac:dyDescent="0.3">
      <c r="A21" s="1" t="s">
        <v>121</v>
      </c>
      <c r="B21" s="2">
        <v>45895</v>
      </c>
      <c r="C21" s="1" t="s">
        <v>122</v>
      </c>
      <c r="D21" s="1" t="s">
        <v>111</v>
      </c>
      <c r="E21" s="1" t="s">
        <v>29</v>
      </c>
      <c r="F21" s="1">
        <v>36</v>
      </c>
      <c r="G21" s="1" t="s">
        <v>51</v>
      </c>
      <c r="H21" s="1" t="s">
        <v>52</v>
      </c>
      <c r="I21" s="1" t="s">
        <v>51</v>
      </c>
      <c r="J21" s="1" t="s">
        <v>102</v>
      </c>
      <c r="K21" s="1">
        <v>4</v>
      </c>
      <c r="L21" s="1">
        <v>7214</v>
      </c>
      <c r="M21" s="1">
        <v>5</v>
      </c>
      <c r="N21" s="1">
        <v>1442.8</v>
      </c>
      <c r="O21" s="1">
        <v>4934.38</v>
      </c>
      <c r="P21" s="1">
        <v>443</v>
      </c>
      <c r="Q21" s="1">
        <v>32790.58</v>
      </c>
      <c r="R21" s="1" t="s">
        <v>33</v>
      </c>
      <c r="S21" s="1" t="s">
        <v>63</v>
      </c>
      <c r="T21" s="1" t="s">
        <v>95</v>
      </c>
      <c r="U21" s="1" t="s">
        <v>96</v>
      </c>
      <c r="V21" s="1" t="s">
        <v>57</v>
      </c>
      <c r="W21" s="1">
        <v>9</v>
      </c>
      <c r="X21" s="1" t="s">
        <v>38</v>
      </c>
      <c r="Y21" s="1">
        <v>5</v>
      </c>
      <c r="Z21" s="1" t="s">
        <v>47</v>
      </c>
    </row>
    <row r="22" spans="1:26" x14ac:dyDescent="0.3">
      <c r="A22" s="1" t="s">
        <v>123</v>
      </c>
      <c r="B22" s="2">
        <v>46019</v>
      </c>
      <c r="C22" s="1" t="s">
        <v>124</v>
      </c>
      <c r="D22" s="1" t="s">
        <v>111</v>
      </c>
      <c r="E22" s="1" t="s">
        <v>43</v>
      </c>
      <c r="F22" s="1">
        <v>54</v>
      </c>
      <c r="G22" s="1" t="s">
        <v>30</v>
      </c>
      <c r="H22" s="1" t="s">
        <v>31</v>
      </c>
      <c r="I22" s="1" t="s">
        <v>30</v>
      </c>
      <c r="J22" s="1" t="s">
        <v>125</v>
      </c>
      <c r="K22" s="1">
        <v>2</v>
      </c>
      <c r="L22" s="1">
        <v>33517</v>
      </c>
      <c r="M22" s="1">
        <v>0</v>
      </c>
      <c r="N22" s="1">
        <v>0</v>
      </c>
      <c r="O22" s="1">
        <v>12066.12</v>
      </c>
      <c r="P22" s="1">
        <v>341</v>
      </c>
      <c r="Q22" s="1">
        <v>79441.119999999995</v>
      </c>
      <c r="R22" s="1" t="s">
        <v>83</v>
      </c>
      <c r="S22" s="1" t="s">
        <v>63</v>
      </c>
      <c r="T22" s="1" t="s">
        <v>76</v>
      </c>
      <c r="U22" s="1" t="s">
        <v>77</v>
      </c>
      <c r="V22" s="1" t="s">
        <v>57</v>
      </c>
      <c r="W22" s="1">
        <v>5</v>
      </c>
      <c r="X22" s="1" t="s">
        <v>47</v>
      </c>
      <c r="Y22" s="1">
        <v>3</v>
      </c>
      <c r="Z22" s="1" t="s">
        <v>58</v>
      </c>
    </row>
    <row r="23" spans="1:26" x14ac:dyDescent="0.3">
      <c r="A23" s="1" t="s">
        <v>126</v>
      </c>
      <c r="B23" s="2">
        <v>46014</v>
      </c>
      <c r="C23" s="1" t="s">
        <v>127</v>
      </c>
      <c r="D23" s="1" t="s">
        <v>61</v>
      </c>
      <c r="E23" s="1" t="s">
        <v>29</v>
      </c>
      <c r="F23" s="1">
        <v>45</v>
      </c>
      <c r="G23" s="1" t="s">
        <v>67</v>
      </c>
      <c r="H23" s="1" t="s">
        <v>68</v>
      </c>
      <c r="I23" s="1" t="s">
        <v>67</v>
      </c>
      <c r="J23" s="1" t="s">
        <v>102</v>
      </c>
      <c r="K23" s="1">
        <v>1</v>
      </c>
      <c r="L23" s="1">
        <v>29256</v>
      </c>
      <c r="M23" s="1">
        <v>15</v>
      </c>
      <c r="N23" s="1">
        <v>4388.3999999999996</v>
      </c>
      <c r="O23" s="1">
        <v>4476.17</v>
      </c>
      <c r="P23" s="1">
        <v>37</v>
      </c>
      <c r="Q23" s="1">
        <v>29380.77</v>
      </c>
      <c r="R23" s="1" t="s">
        <v>83</v>
      </c>
      <c r="S23" s="1" t="s">
        <v>63</v>
      </c>
      <c r="T23" s="1" t="s">
        <v>95</v>
      </c>
      <c r="U23" s="1" t="s">
        <v>96</v>
      </c>
      <c r="V23" s="1" t="s">
        <v>57</v>
      </c>
      <c r="W23" s="1">
        <v>9</v>
      </c>
      <c r="X23" s="1" t="s">
        <v>38</v>
      </c>
      <c r="Y23" s="1">
        <v>4</v>
      </c>
      <c r="Z23" s="1" t="s">
        <v>58</v>
      </c>
    </row>
    <row r="24" spans="1:26" x14ac:dyDescent="0.3">
      <c r="A24" s="1" t="s">
        <v>128</v>
      </c>
      <c r="B24" s="2">
        <v>46079</v>
      </c>
      <c r="C24" s="1" t="s">
        <v>129</v>
      </c>
      <c r="D24" s="1" t="s">
        <v>66</v>
      </c>
      <c r="E24" s="1" t="s">
        <v>29</v>
      </c>
      <c r="F24" s="1">
        <v>31</v>
      </c>
      <c r="G24" s="1" t="s">
        <v>44</v>
      </c>
      <c r="H24" s="1" t="s">
        <v>31</v>
      </c>
      <c r="I24" s="1" t="s">
        <v>44</v>
      </c>
      <c r="J24" s="1" t="s">
        <v>69</v>
      </c>
      <c r="K24" s="1">
        <v>1</v>
      </c>
      <c r="L24" s="1">
        <v>36299</v>
      </c>
      <c r="M24" s="1">
        <v>10</v>
      </c>
      <c r="N24" s="1">
        <v>3629.9</v>
      </c>
      <c r="O24" s="1">
        <v>5880.44</v>
      </c>
      <c r="P24" s="1">
        <v>385</v>
      </c>
      <c r="Q24" s="1">
        <v>38934.54</v>
      </c>
      <c r="R24" s="1" t="s">
        <v>54</v>
      </c>
      <c r="S24" s="1" t="s">
        <v>34</v>
      </c>
      <c r="T24" s="1" t="s">
        <v>46</v>
      </c>
      <c r="U24" s="1" t="s">
        <v>36</v>
      </c>
      <c r="V24" s="1" t="s">
        <v>37</v>
      </c>
      <c r="W24" s="1">
        <v>1</v>
      </c>
      <c r="X24" s="1" t="s">
        <v>38</v>
      </c>
      <c r="Y24" s="1">
        <v>1</v>
      </c>
      <c r="Z24" s="1" t="s">
        <v>58</v>
      </c>
    </row>
    <row r="25" spans="1:26" x14ac:dyDescent="0.3">
      <c r="A25" s="1" t="s">
        <v>130</v>
      </c>
      <c r="B25" s="2">
        <v>45930</v>
      </c>
      <c r="C25" s="1" t="s">
        <v>131</v>
      </c>
      <c r="D25" s="1" t="s">
        <v>80</v>
      </c>
      <c r="E25" s="1" t="s">
        <v>43</v>
      </c>
      <c r="F25" s="1">
        <v>56</v>
      </c>
      <c r="G25" s="1" t="s">
        <v>74</v>
      </c>
      <c r="H25" s="1" t="s">
        <v>31</v>
      </c>
      <c r="I25" s="1" t="s">
        <v>74</v>
      </c>
      <c r="J25" s="1" t="s">
        <v>53</v>
      </c>
      <c r="K25" s="1">
        <v>3</v>
      </c>
      <c r="L25" s="1">
        <v>24675</v>
      </c>
      <c r="M25" s="1">
        <v>15</v>
      </c>
      <c r="N25" s="1">
        <v>11103.75</v>
      </c>
      <c r="O25" s="1">
        <v>11325.82</v>
      </c>
      <c r="P25" s="1">
        <v>294</v>
      </c>
      <c r="Q25" s="1">
        <v>74541.070000000007</v>
      </c>
      <c r="R25" s="1" t="s">
        <v>83</v>
      </c>
      <c r="S25" s="1" t="s">
        <v>63</v>
      </c>
      <c r="T25" s="1" t="s">
        <v>95</v>
      </c>
      <c r="U25" s="1" t="s">
        <v>96</v>
      </c>
      <c r="V25" s="1" t="s">
        <v>57</v>
      </c>
      <c r="W25" s="1">
        <v>4</v>
      </c>
      <c r="X25" s="1" t="s">
        <v>38</v>
      </c>
      <c r="Y25" s="1">
        <v>4</v>
      </c>
      <c r="Z25" s="1" t="s">
        <v>39</v>
      </c>
    </row>
    <row r="26" spans="1:26" x14ac:dyDescent="0.3">
      <c r="A26" s="1" t="s">
        <v>132</v>
      </c>
      <c r="B26" s="2">
        <v>46107</v>
      </c>
      <c r="C26" s="1" t="s">
        <v>133</v>
      </c>
      <c r="D26" s="1" t="s">
        <v>108</v>
      </c>
      <c r="E26" s="1" t="s">
        <v>29</v>
      </c>
      <c r="F26" s="1">
        <v>30</v>
      </c>
      <c r="G26" s="1" t="s">
        <v>134</v>
      </c>
      <c r="H26" s="1" t="s">
        <v>31</v>
      </c>
      <c r="I26" s="1" t="s">
        <v>134</v>
      </c>
      <c r="J26" s="1" t="s">
        <v>125</v>
      </c>
      <c r="K26" s="1">
        <v>5</v>
      </c>
      <c r="L26" s="1">
        <v>1082</v>
      </c>
      <c r="M26" s="1">
        <v>20</v>
      </c>
      <c r="N26" s="1">
        <v>1082</v>
      </c>
      <c r="O26" s="1">
        <v>779.04</v>
      </c>
      <c r="P26" s="1">
        <v>274</v>
      </c>
      <c r="Q26" s="1">
        <v>5381.04</v>
      </c>
      <c r="R26" s="1" t="s">
        <v>45</v>
      </c>
      <c r="S26" s="1" t="s">
        <v>34</v>
      </c>
      <c r="T26" s="1" t="s">
        <v>35</v>
      </c>
      <c r="U26" s="1" t="s">
        <v>36</v>
      </c>
      <c r="V26" s="1" t="s">
        <v>37</v>
      </c>
      <c r="W26" s="1">
        <v>2</v>
      </c>
      <c r="X26" s="1" t="s">
        <v>38</v>
      </c>
      <c r="Y26" s="1">
        <v>2</v>
      </c>
      <c r="Z26" s="1" t="s">
        <v>91</v>
      </c>
    </row>
    <row r="27" spans="1:26" x14ac:dyDescent="0.3">
      <c r="A27" s="1" t="s">
        <v>135</v>
      </c>
      <c r="B27" s="2">
        <v>46049</v>
      </c>
      <c r="C27" s="1" t="s">
        <v>136</v>
      </c>
      <c r="D27" s="1" t="s">
        <v>73</v>
      </c>
      <c r="E27" s="1" t="s">
        <v>43</v>
      </c>
      <c r="F27" s="1">
        <v>48</v>
      </c>
      <c r="G27" s="1" t="s">
        <v>30</v>
      </c>
      <c r="H27" s="1" t="s">
        <v>31</v>
      </c>
      <c r="I27" s="1" t="s">
        <v>30</v>
      </c>
      <c r="J27" s="1" t="s">
        <v>102</v>
      </c>
      <c r="K27" s="1">
        <v>2</v>
      </c>
      <c r="L27" s="1">
        <v>971</v>
      </c>
      <c r="M27" s="1">
        <v>20</v>
      </c>
      <c r="N27" s="1">
        <v>388.4</v>
      </c>
      <c r="O27" s="1">
        <v>279.64999999999998</v>
      </c>
      <c r="P27" s="1">
        <v>249</v>
      </c>
      <c r="Q27" s="1">
        <v>2082.25</v>
      </c>
      <c r="R27" s="1" t="s">
        <v>83</v>
      </c>
      <c r="S27" s="1" t="s">
        <v>63</v>
      </c>
      <c r="T27" s="1" t="s">
        <v>35</v>
      </c>
      <c r="U27" s="1" t="s">
        <v>36</v>
      </c>
      <c r="V27" s="1" t="s">
        <v>37</v>
      </c>
      <c r="W27" s="1">
        <v>7</v>
      </c>
      <c r="X27" s="1" t="s">
        <v>38</v>
      </c>
      <c r="Y27" s="1">
        <v>2</v>
      </c>
      <c r="Z27" s="1" t="s">
        <v>39</v>
      </c>
    </row>
    <row r="28" spans="1:26" x14ac:dyDescent="0.3">
      <c r="A28" s="1" t="s">
        <v>137</v>
      </c>
      <c r="B28" s="2">
        <v>46116</v>
      </c>
      <c r="C28" s="1" t="s">
        <v>138</v>
      </c>
      <c r="D28" s="1" t="s">
        <v>111</v>
      </c>
      <c r="E28" s="1" t="s">
        <v>29</v>
      </c>
      <c r="F28" s="1">
        <v>43</v>
      </c>
      <c r="G28" s="1" t="s">
        <v>139</v>
      </c>
      <c r="H28" s="1" t="s">
        <v>31</v>
      </c>
      <c r="I28" s="1" t="s">
        <v>139</v>
      </c>
      <c r="J28" s="1" t="s">
        <v>53</v>
      </c>
      <c r="K28" s="1">
        <v>2</v>
      </c>
      <c r="L28" s="1">
        <v>12340</v>
      </c>
      <c r="M28" s="1">
        <v>10</v>
      </c>
      <c r="N28" s="1">
        <v>2468</v>
      </c>
      <c r="O28" s="1">
        <v>3998.16</v>
      </c>
      <c r="P28" s="1">
        <v>380</v>
      </c>
      <c r="Q28" s="1">
        <v>26590.16</v>
      </c>
      <c r="R28" s="1" t="s">
        <v>54</v>
      </c>
      <c r="S28" s="1" t="s">
        <v>63</v>
      </c>
      <c r="T28" s="1" t="s">
        <v>76</v>
      </c>
      <c r="U28" s="1" t="s">
        <v>77</v>
      </c>
      <c r="V28" s="1" t="s">
        <v>57</v>
      </c>
      <c r="W28" s="1">
        <v>3</v>
      </c>
      <c r="X28" s="1" t="s">
        <v>38</v>
      </c>
      <c r="Y28" s="1">
        <v>1</v>
      </c>
      <c r="Z28" s="1" t="s">
        <v>39</v>
      </c>
    </row>
    <row r="29" spans="1:26" x14ac:dyDescent="0.3">
      <c r="A29" s="1" t="s">
        <v>140</v>
      </c>
      <c r="B29" s="2">
        <v>45881</v>
      </c>
      <c r="C29" s="1" t="s">
        <v>141</v>
      </c>
      <c r="D29" s="1" t="s">
        <v>50</v>
      </c>
      <c r="E29" s="1" t="s">
        <v>29</v>
      </c>
      <c r="F29" s="1">
        <v>44</v>
      </c>
      <c r="G29" s="1" t="s">
        <v>94</v>
      </c>
      <c r="H29" s="1" t="s">
        <v>31</v>
      </c>
      <c r="I29" s="1" t="s">
        <v>94</v>
      </c>
      <c r="J29" s="1" t="s">
        <v>125</v>
      </c>
      <c r="K29" s="1">
        <v>4</v>
      </c>
      <c r="L29" s="1">
        <v>3291</v>
      </c>
      <c r="M29" s="1">
        <v>5</v>
      </c>
      <c r="N29" s="1">
        <v>658.2</v>
      </c>
      <c r="O29" s="1">
        <v>2251.04</v>
      </c>
      <c r="P29" s="1">
        <v>242</v>
      </c>
      <c r="Q29" s="1">
        <v>14998.84</v>
      </c>
      <c r="R29" s="1" t="s">
        <v>33</v>
      </c>
      <c r="S29" s="1" t="s">
        <v>63</v>
      </c>
      <c r="T29" s="1" t="s">
        <v>76</v>
      </c>
      <c r="U29" s="1" t="s">
        <v>77</v>
      </c>
      <c r="V29" s="1" t="s">
        <v>57</v>
      </c>
      <c r="W29" s="1">
        <v>1</v>
      </c>
      <c r="X29" s="1" t="s">
        <v>38</v>
      </c>
      <c r="Y29" s="1">
        <v>3</v>
      </c>
      <c r="Z29" s="1" t="s">
        <v>47</v>
      </c>
    </row>
    <row r="30" spans="1:26" x14ac:dyDescent="0.3">
      <c r="A30" s="1" t="s">
        <v>142</v>
      </c>
      <c r="B30" s="2">
        <v>45822</v>
      </c>
      <c r="C30" s="1" t="s">
        <v>143</v>
      </c>
      <c r="D30" s="1" t="s">
        <v>28</v>
      </c>
      <c r="E30" s="1" t="s">
        <v>43</v>
      </c>
      <c r="F30" s="1">
        <v>19</v>
      </c>
      <c r="G30" s="1" t="s">
        <v>134</v>
      </c>
      <c r="H30" s="1" t="s">
        <v>31</v>
      </c>
      <c r="I30" s="1" t="s">
        <v>134</v>
      </c>
      <c r="J30" s="1" t="s">
        <v>125</v>
      </c>
      <c r="K30" s="1">
        <v>3</v>
      </c>
      <c r="L30" s="1">
        <v>44392</v>
      </c>
      <c r="M30" s="1">
        <v>0</v>
      </c>
      <c r="N30" s="1">
        <v>0</v>
      </c>
      <c r="O30" s="1">
        <v>23971.68</v>
      </c>
      <c r="P30" s="1">
        <v>464</v>
      </c>
      <c r="Q30" s="1">
        <v>157611.68</v>
      </c>
      <c r="R30" s="1" t="s">
        <v>33</v>
      </c>
      <c r="S30" s="1" t="s">
        <v>34</v>
      </c>
      <c r="T30" s="1" t="s">
        <v>46</v>
      </c>
      <c r="U30" s="1" t="s">
        <v>36</v>
      </c>
      <c r="V30" s="1" t="s">
        <v>37</v>
      </c>
      <c r="W30" s="1">
        <v>9</v>
      </c>
      <c r="X30" s="1" t="s">
        <v>47</v>
      </c>
      <c r="Y30" s="1">
        <v>2</v>
      </c>
      <c r="Z30" s="1" t="s">
        <v>58</v>
      </c>
    </row>
    <row r="31" spans="1:26" x14ac:dyDescent="0.3">
      <c r="A31" s="1" t="s">
        <v>144</v>
      </c>
      <c r="B31" s="2">
        <v>46004</v>
      </c>
      <c r="C31" s="1" t="s">
        <v>145</v>
      </c>
      <c r="D31" s="1" t="s">
        <v>111</v>
      </c>
      <c r="E31" s="1" t="s">
        <v>43</v>
      </c>
      <c r="F31" s="1">
        <v>59</v>
      </c>
      <c r="G31" s="1" t="s">
        <v>94</v>
      </c>
      <c r="H31" s="1" t="s">
        <v>31</v>
      </c>
      <c r="I31" s="1" t="s">
        <v>94</v>
      </c>
      <c r="J31" s="1" t="s">
        <v>69</v>
      </c>
      <c r="K31" s="1">
        <v>2</v>
      </c>
      <c r="L31" s="1">
        <v>40547</v>
      </c>
      <c r="M31" s="1">
        <v>20</v>
      </c>
      <c r="N31" s="1">
        <v>16218.8</v>
      </c>
      <c r="O31" s="1">
        <v>11677.54</v>
      </c>
      <c r="P31" s="1">
        <v>177</v>
      </c>
      <c r="Q31" s="1">
        <v>76729.740000000005</v>
      </c>
      <c r="R31" s="1" t="s">
        <v>45</v>
      </c>
      <c r="S31" s="1" t="s">
        <v>34</v>
      </c>
      <c r="T31" s="1" t="s">
        <v>95</v>
      </c>
      <c r="U31" s="1" t="s">
        <v>96</v>
      </c>
      <c r="V31" s="1" t="s">
        <v>57</v>
      </c>
      <c r="W31" s="1">
        <v>2</v>
      </c>
      <c r="X31" s="1" t="s">
        <v>47</v>
      </c>
      <c r="Y31" s="1">
        <v>3</v>
      </c>
      <c r="Z31" s="1" t="s">
        <v>58</v>
      </c>
    </row>
    <row r="32" spans="1:26" x14ac:dyDescent="0.3">
      <c r="A32" s="1" t="s">
        <v>146</v>
      </c>
      <c r="B32" s="2">
        <v>45940</v>
      </c>
      <c r="C32" s="1" t="s">
        <v>147</v>
      </c>
      <c r="D32" s="1" t="s">
        <v>89</v>
      </c>
      <c r="E32" s="1" t="s">
        <v>29</v>
      </c>
      <c r="F32" s="1">
        <v>60</v>
      </c>
      <c r="G32" s="1" t="s">
        <v>30</v>
      </c>
      <c r="H32" s="1" t="s">
        <v>31</v>
      </c>
      <c r="I32" s="1" t="s">
        <v>30</v>
      </c>
      <c r="J32" s="1" t="s">
        <v>53</v>
      </c>
      <c r="K32" s="1">
        <v>5</v>
      </c>
      <c r="L32" s="1">
        <v>31394</v>
      </c>
      <c r="M32" s="1">
        <v>0</v>
      </c>
      <c r="N32" s="1">
        <v>0</v>
      </c>
      <c r="O32" s="1">
        <v>28254.6</v>
      </c>
      <c r="P32" s="1">
        <v>446</v>
      </c>
      <c r="Q32" s="1">
        <v>185670.6</v>
      </c>
      <c r="R32" s="1" t="s">
        <v>45</v>
      </c>
      <c r="S32" s="1" t="s">
        <v>34</v>
      </c>
      <c r="T32" s="1" t="s">
        <v>84</v>
      </c>
      <c r="U32" s="1" t="s">
        <v>85</v>
      </c>
      <c r="V32" s="1" t="s">
        <v>86</v>
      </c>
      <c r="W32" s="1">
        <v>3</v>
      </c>
      <c r="X32" s="1" t="s">
        <v>38</v>
      </c>
      <c r="Y32" s="1">
        <v>2</v>
      </c>
      <c r="Z32" s="1" t="s">
        <v>58</v>
      </c>
    </row>
    <row r="33" spans="1:26" x14ac:dyDescent="0.3">
      <c r="A33" s="1" t="s">
        <v>148</v>
      </c>
      <c r="B33" s="2">
        <v>46068</v>
      </c>
      <c r="C33" s="1" t="s">
        <v>149</v>
      </c>
      <c r="D33" s="1" t="s">
        <v>89</v>
      </c>
      <c r="E33" s="1" t="s">
        <v>29</v>
      </c>
      <c r="F33" s="1">
        <v>57</v>
      </c>
      <c r="G33" s="1" t="s">
        <v>90</v>
      </c>
      <c r="H33" s="1" t="s">
        <v>31</v>
      </c>
      <c r="I33" s="1" t="s">
        <v>90</v>
      </c>
      <c r="J33" s="1" t="s">
        <v>150</v>
      </c>
      <c r="K33" s="1">
        <v>2</v>
      </c>
      <c r="L33" s="1">
        <v>35379</v>
      </c>
      <c r="M33" s="1">
        <v>0</v>
      </c>
      <c r="N33" s="1">
        <v>0</v>
      </c>
      <c r="O33" s="1">
        <v>12736.44</v>
      </c>
      <c r="P33" s="1">
        <v>53</v>
      </c>
      <c r="Q33" s="1">
        <v>83547.44</v>
      </c>
      <c r="R33" s="1" t="s">
        <v>54</v>
      </c>
      <c r="S33" s="1" t="s">
        <v>63</v>
      </c>
      <c r="T33" s="1" t="s">
        <v>46</v>
      </c>
      <c r="U33" s="1" t="s">
        <v>36</v>
      </c>
      <c r="V33" s="1" t="s">
        <v>37</v>
      </c>
      <c r="W33" s="1">
        <v>4</v>
      </c>
      <c r="X33" s="1" t="s">
        <v>38</v>
      </c>
      <c r="Y33" s="1">
        <v>4</v>
      </c>
      <c r="Z33" s="1" t="s">
        <v>58</v>
      </c>
    </row>
    <row r="34" spans="1:26" x14ac:dyDescent="0.3">
      <c r="A34" s="1" t="s">
        <v>151</v>
      </c>
      <c r="B34" s="2">
        <v>45807</v>
      </c>
      <c r="C34" s="1" t="s">
        <v>152</v>
      </c>
      <c r="D34" s="1" t="s">
        <v>89</v>
      </c>
      <c r="E34" s="1" t="s">
        <v>29</v>
      </c>
      <c r="F34" s="1">
        <v>54</v>
      </c>
      <c r="G34" s="1" t="s">
        <v>51</v>
      </c>
      <c r="H34" s="1" t="s">
        <v>52</v>
      </c>
      <c r="I34" s="1" t="s">
        <v>51</v>
      </c>
      <c r="J34" s="1" t="s">
        <v>62</v>
      </c>
      <c r="K34" s="1">
        <v>1</v>
      </c>
      <c r="L34" s="1">
        <v>35566</v>
      </c>
      <c r="M34" s="1">
        <v>20</v>
      </c>
      <c r="N34" s="1">
        <v>7113.2</v>
      </c>
      <c r="O34" s="1">
        <v>5121.5</v>
      </c>
      <c r="P34" s="1">
        <v>467</v>
      </c>
      <c r="Q34" s="1">
        <v>34041.300000000003</v>
      </c>
      <c r="R34" s="1" t="s">
        <v>45</v>
      </c>
      <c r="S34" s="1" t="s">
        <v>34</v>
      </c>
      <c r="T34" s="1" t="s">
        <v>84</v>
      </c>
      <c r="U34" s="1" t="s">
        <v>85</v>
      </c>
      <c r="V34" s="1" t="s">
        <v>86</v>
      </c>
      <c r="W34" s="1">
        <v>5</v>
      </c>
      <c r="X34" s="1" t="s">
        <v>38</v>
      </c>
      <c r="Y34" s="1">
        <v>2</v>
      </c>
      <c r="Z34" s="1" t="s">
        <v>39</v>
      </c>
    </row>
    <row r="35" spans="1:26" x14ac:dyDescent="0.3">
      <c r="A35" s="1" t="s">
        <v>153</v>
      </c>
      <c r="B35" s="2">
        <v>45874</v>
      </c>
      <c r="C35" s="1" t="s">
        <v>154</v>
      </c>
      <c r="D35" s="1" t="s">
        <v>66</v>
      </c>
      <c r="E35" s="1" t="s">
        <v>43</v>
      </c>
      <c r="F35" s="1">
        <v>47</v>
      </c>
      <c r="G35" s="1" t="s">
        <v>90</v>
      </c>
      <c r="H35" s="1" t="s">
        <v>31</v>
      </c>
      <c r="I35" s="1" t="s">
        <v>90</v>
      </c>
      <c r="J35" s="1" t="s">
        <v>150</v>
      </c>
      <c r="K35" s="1">
        <v>1</v>
      </c>
      <c r="L35" s="1">
        <v>20264</v>
      </c>
      <c r="M35" s="1">
        <v>15</v>
      </c>
      <c r="N35" s="1">
        <v>3039.6</v>
      </c>
      <c r="O35" s="1">
        <v>3100.39</v>
      </c>
      <c r="P35" s="1">
        <v>365</v>
      </c>
      <c r="Q35" s="1">
        <v>20689.79</v>
      </c>
      <c r="R35" s="1" t="s">
        <v>33</v>
      </c>
      <c r="S35" s="1" t="s">
        <v>34</v>
      </c>
      <c r="T35" s="1" t="s">
        <v>103</v>
      </c>
      <c r="U35" s="1" t="s">
        <v>103</v>
      </c>
      <c r="V35" s="1" t="s">
        <v>57</v>
      </c>
      <c r="W35" s="1">
        <v>10</v>
      </c>
      <c r="X35" s="1" t="s">
        <v>47</v>
      </c>
      <c r="Y35" s="1">
        <v>2</v>
      </c>
      <c r="Z35" s="1" t="s">
        <v>91</v>
      </c>
    </row>
    <row r="36" spans="1:26" x14ac:dyDescent="0.3">
      <c r="A36" s="1" t="s">
        <v>155</v>
      </c>
      <c r="B36" s="2">
        <v>45982</v>
      </c>
      <c r="C36" s="1" t="s">
        <v>156</v>
      </c>
      <c r="D36" s="1" t="s">
        <v>61</v>
      </c>
      <c r="E36" s="1" t="s">
        <v>43</v>
      </c>
      <c r="F36" s="1">
        <v>37</v>
      </c>
      <c r="G36" s="1" t="s">
        <v>44</v>
      </c>
      <c r="H36" s="1" t="s">
        <v>31</v>
      </c>
      <c r="I36" s="1" t="s">
        <v>44</v>
      </c>
      <c r="J36" s="1" t="s">
        <v>125</v>
      </c>
      <c r="K36" s="1">
        <v>3</v>
      </c>
      <c r="L36" s="1">
        <v>32124</v>
      </c>
      <c r="M36" s="1">
        <v>5</v>
      </c>
      <c r="N36" s="1">
        <v>4818.6000000000004</v>
      </c>
      <c r="O36" s="1">
        <v>16479.61</v>
      </c>
      <c r="P36" s="1">
        <v>285</v>
      </c>
      <c r="Q36" s="1">
        <v>108318.01</v>
      </c>
      <c r="R36" s="1" t="s">
        <v>33</v>
      </c>
      <c r="S36" s="1" t="s">
        <v>34</v>
      </c>
      <c r="T36" s="1" t="s">
        <v>103</v>
      </c>
      <c r="U36" s="1" t="s">
        <v>103</v>
      </c>
      <c r="V36" s="1" t="s">
        <v>57</v>
      </c>
      <c r="W36" s="1">
        <v>9</v>
      </c>
      <c r="X36" s="1" t="s">
        <v>38</v>
      </c>
      <c r="Y36" s="1">
        <v>2</v>
      </c>
      <c r="Z36" s="1" t="s">
        <v>91</v>
      </c>
    </row>
    <row r="37" spans="1:26" x14ac:dyDescent="0.3">
      <c r="A37" s="1" t="s">
        <v>157</v>
      </c>
      <c r="B37" s="2">
        <v>46026</v>
      </c>
      <c r="C37" s="1" t="s">
        <v>158</v>
      </c>
      <c r="D37" s="1" t="s">
        <v>89</v>
      </c>
      <c r="E37" s="1" t="s">
        <v>29</v>
      </c>
      <c r="F37" s="1">
        <v>53</v>
      </c>
      <c r="G37" s="1" t="s">
        <v>51</v>
      </c>
      <c r="H37" s="1" t="s">
        <v>52</v>
      </c>
      <c r="I37" s="1" t="s">
        <v>51</v>
      </c>
      <c r="J37" s="1" t="s">
        <v>150</v>
      </c>
      <c r="K37" s="1">
        <v>5</v>
      </c>
      <c r="L37" s="1">
        <v>18427</v>
      </c>
      <c r="M37" s="1">
        <v>5</v>
      </c>
      <c r="N37" s="1">
        <v>4606.75</v>
      </c>
      <c r="O37" s="1">
        <v>15755.08</v>
      </c>
      <c r="P37" s="1">
        <v>210</v>
      </c>
      <c r="Q37" s="1">
        <v>103493.33</v>
      </c>
      <c r="R37" s="1" t="s">
        <v>54</v>
      </c>
      <c r="S37" s="1" t="s">
        <v>34</v>
      </c>
      <c r="T37" s="1" t="s">
        <v>84</v>
      </c>
      <c r="U37" s="1" t="s">
        <v>85</v>
      </c>
      <c r="V37" s="1" t="s">
        <v>86</v>
      </c>
      <c r="W37" s="1">
        <v>9</v>
      </c>
      <c r="X37" s="1" t="s">
        <v>47</v>
      </c>
      <c r="Y37" s="1">
        <v>2</v>
      </c>
      <c r="Z37" s="1" t="s">
        <v>47</v>
      </c>
    </row>
    <row r="38" spans="1:26" x14ac:dyDescent="0.3">
      <c r="A38" s="1" t="s">
        <v>159</v>
      </c>
      <c r="B38" s="2">
        <v>45821</v>
      </c>
      <c r="C38" s="1" t="s">
        <v>160</v>
      </c>
      <c r="D38" s="1" t="s">
        <v>28</v>
      </c>
      <c r="E38" s="1" t="s">
        <v>43</v>
      </c>
      <c r="F38" s="1">
        <v>57</v>
      </c>
      <c r="G38" s="1" t="s">
        <v>99</v>
      </c>
      <c r="H38" s="1" t="s">
        <v>52</v>
      </c>
      <c r="I38" s="1" t="s">
        <v>99</v>
      </c>
      <c r="J38" s="1" t="s">
        <v>112</v>
      </c>
      <c r="K38" s="1">
        <v>5</v>
      </c>
      <c r="L38" s="1">
        <v>43320</v>
      </c>
      <c r="M38" s="1">
        <v>10</v>
      </c>
      <c r="N38" s="1">
        <v>21660</v>
      </c>
      <c r="O38" s="1">
        <v>35089.199999999997</v>
      </c>
      <c r="P38" s="1">
        <v>103</v>
      </c>
      <c r="Q38" s="1">
        <v>230132.2</v>
      </c>
      <c r="R38" s="1" t="s">
        <v>54</v>
      </c>
      <c r="S38" s="1" t="s">
        <v>63</v>
      </c>
      <c r="T38" s="1" t="s">
        <v>76</v>
      </c>
      <c r="U38" s="1" t="s">
        <v>77</v>
      </c>
      <c r="V38" s="1" t="s">
        <v>57</v>
      </c>
      <c r="W38" s="1">
        <v>5</v>
      </c>
      <c r="X38" s="1" t="s">
        <v>38</v>
      </c>
      <c r="Y38" s="1">
        <v>5</v>
      </c>
      <c r="Z38" s="1" t="s">
        <v>47</v>
      </c>
    </row>
    <row r="39" spans="1:26" x14ac:dyDescent="0.3">
      <c r="A39" s="1" t="s">
        <v>161</v>
      </c>
      <c r="B39" s="2">
        <v>45911</v>
      </c>
      <c r="C39" s="1" t="s">
        <v>162</v>
      </c>
      <c r="D39" s="1" t="s">
        <v>111</v>
      </c>
      <c r="E39" s="1" t="s">
        <v>29</v>
      </c>
      <c r="F39" s="1">
        <v>52</v>
      </c>
      <c r="G39" s="1" t="s">
        <v>30</v>
      </c>
      <c r="H39" s="1" t="s">
        <v>31</v>
      </c>
      <c r="I39" s="1" t="s">
        <v>30</v>
      </c>
      <c r="J39" s="1" t="s">
        <v>150</v>
      </c>
      <c r="K39" s="1">
        <v>2</v>
      </c>
      <c r="L39" s="1">
        <v>2134</v>
      </c>
      <c r="M39" s="1">
        <v>0</v>
      </c>
      <c r="N39" s="1">
        <v>0</v>
      </c>
      <c r="O39" s="1">
        <v>768.24</v>
      </c>
      <c r="P39" s="1">
        <v>266</v>
      </c>
      <c r="Q39" s="1">
        <v>5302.24</v>
      </c>
      <c r="R39" s="1" t="s">
        <v>83</v>
      </c>
      <c r="S39" s="1" t="s">
        <v>63</v>
      </c>
      <c r="T39" s="1" t="s">
        <v>35</v>
      </c>
      <c r="U39" s="1" t="s">
        <v>36</v>
      </c>
      <c r="V39" s="1" t="s">
        <v>37</v>
      </c>
      <c r="W39" s="1">
        <v>10</v>
      </c>
      <c r="X39" s="1" t="s">
        <v>38</v>
      </c>
      <c r="Y39" s="1">
        <v>2</v>
      </c>
      <c r="Z39" s="1" t="s">
        <v>58</v>
      </c>
    </row>
    <row r="40" spans="1:26" x14ac:dyDescent="0.3">
      <c r="A40" s="1" t="s">
        <v>163</v>
      </c>
      <c r="B40" s="2">
        <v>45913</v>
      </c>
      <c r="C40" s="1" t="s">
        <v>164</v>
      </c>
      <c r="D40" s="1" t="s">
        <v>80</v>
      </c>
      <c r="E40" s="1" t="s">
        <v>29</v>
      </c>
      <c r="F40" s="1">
        <v>50</v>
      </c>
      <c r="G40" s="1" t="s">
        <v>51</v>
      </c>
      <c r="H40" s="1" t="s">
        <v>52</v>
      </c>
      <c r="I40" s="1" t="s">
        <v>51</v>
      </c>
      <c r="J40" s="1" t="s">
        <v>102</v>
      </c>
      <c r="K40" s="1">
        <v>2</v>
      </c>
      <c r="L40" s="1">
        <v>46564</v>
      </c>
      <c r="M40" s="1">
        <v>0</v>
      </c>
      <c r="N40" s="1">
        <v>0</v>
      </c>
      <c r="O40" s="1">
        <v>16763.04</v>
      </c>
      <c r="P40" s="1">
        <v>299</v>
      </c>
      <c r="Q40" s="1">
        <v>110190.04</v>
      </c>
      <c r="R40" s="1" t="s">
        <v>54</v>
      </c>
      <c r="S40" s="1" t="s">
        <v>34</v>
      </c>
      <c r="T40" s="1" t="s">
        <v>46</v>
      </c>
      <c r="U40" s="1" t="s">
        <v>36</v>
      </c>
      <c r="V40" s="1" t="s">
        <v>37</v>
      </c>
      <c r="W40" s="1">
        <v>10</v>
      </c>
      <c r="X40" s="1" t="s">
        <v>38</v>
      </c>
      <c r="Y40" s="1">
        <v>3</v>
      </c>
      <c r="Z40" s="1" t="s">
        <v>58</v>
      </c>
    </row>
    <row r="41" spans="1:26" x14ac:dyDescent="0.3">
      <c r="A41" s="1" t="s">
        <v>165</v>
      </c>
      <c r="B41" s="2">
        <v>46120</v>
      </c>
      <c r="C41" s="1" t="s">
        <v>166</v>
      </c>
      <c r="D41" s="1" t="s">
        <v>66</v>
      </c>
      <c r="E41" s="1" t="s">
        <v>29</v>
      </c>
      <c r="F41" s="1">
        <v>50</v>
      </c>
      <c r="G41" s="1" t="s">
        <v>44</v>
      </c>
      <c r="H41" s="1" t="s">
        <v>31</v>
      </c>
      <c r="I41" s="1" t="s">
        <v>44</v>
      </c>
      <c r="J41" s="1" t="s">
        <v>69</v>
      </c>
      <c r="K41" s="1">
        <v>1</v>
      </c>
      <c r="L41" s="1">
        <v>18376</v>
      </c>
      <c r="M41" s="1">
        <v>15</v>
      </c>
      <c r="N41" s="1">
        <v>2756.4</v>
      </c>
      <c r="O41" s="1">
        <v>2811.53</v>
      </c>
      <c r="P41" s="1">
        <v>486</v>
      </c>
      <c r="Q41" s="1">
        <v>18917.13</v>
      </c>
      <c r="R41" s="1" t="s">
        <v>33</v>
      </c>
      <c r="S41" s="1" t="s">
        <v>34</v>
      </c>
      <c r="T41" s="1" t="s">
        <v>70</v>
      </c>
      <c r="U41" s="1" t="s">
        <v>56</v>
      </c>
      <c r="V41" s="1" t="s">
        <v>57</v>
      </c>
      <c r="W41" s="1">
        <v>4</v>
      </c>
      <c r="X41" s="1" t="s">
        <v>38</v>
      </c>
      <c r="Y41" s="1">
        <v>2</v>
      </c>
      <c r="Z41" s="1" t="s">
        <v>91</v>
      </c>
    </row>
    <row r="42" spans="1:26" x14ac:dyDescent="0.3">
      <c r="A42" s="1" t="s">
        <v>167</v>
      </c>
      <c r="B42" s="2">
        <v>45776</v>
      </c>
      <c r="C42" s="1" t="s">
        <v>168</v>
      </c>
      <c r="D42" s="1" t="s">
        <v>61</v>
      </c>
      <c r="E42" s="1" t="s">
        <v>29</v>
      </c>
      <c r="F42" s="1">
        <v>31</v>
      </c>
      <c r="G42" s="1" t="s">
        <v>74</v>
      </c>
      <c r="H42" s="1" t="s">
        <v>31</v>
      </c>
      <c r="I42" s="1" t="s">
        <v>74</v>
      </c>
      <c r="J42" s="1" t="s">
        <v>125</v>
      </c>
      <c r="K42" s="1">
        <v>4</v>
      </c>
      <c r="L42" s="1">
        <v>27754</v>
      </c>
      <c r="M42" s="1">
        <v>20</v>
      </c>
      <c r="N42" s="1">
        <v>22203.200000000001</v>
      </c>
      <c r="O42" s="1">
        <v>15986.3</v>
      </c>
      <c r="P42" s="1">
        <v>275</v>
      </c>
      <c r="Q42" s="1">
        <v>105074.1</v>
      </c>
      <c r="R42" s="1" t="s">
        <v>45</v>
      </c>
      <c r="S42" s="1" t="s">
        <v>34</v>
      </c>
      <c r="T42" s="1" t="s">
        <v>76</v>
      </c>
      <c r="U42" s="1" t="s">
        <v>77</v>
      </c>
      <c r="V42" s="1" t="s">
        <v>57</v>
      </c>
      <c r="W42" s="1">
        <v>9</v>
      </c>
      <c r="X42" s="1" t="s">
        <v>38</v>
      </c>
      <c r="Y42" s="1">
        <v>3</v>
      </c>
      <c r="Z42" s="1" t="s">
        <v>58</v>
      </c>
    </row>
    <row r="43" spans="1:26" x14ac:dyDescent="0.3">
      <c r="A43" s="1" t="s">
        <v>169</v>
      </c>
      <c r="B43" s="2">
        <v>46061</v>
      </c>
      <c r="C43" s="1" t="s">
        <v>170</v>
      </c>
      <c r="D43" s="1" t="s">
        <v>108</v>
      </c>
      <c r="E43" s="1" t="s">
        <v>29</v>
      </c>
      <c r="F43" s="1">
        <v>48</v>
      </c>
      <c r="G43" s="1" t="s">
        <v>51</v>
      </c>
      <c r="H43" s="1" t="s">
        <v>52</v>
      </c>
      <c r="I43" s="1" t="s">
        <v>51</v>
      </c>
      <c r="J43" s="1" t="s">
        <v>62</v>
      </c>
      <c r="K43" s="1">
        <v>1</v>
      </c>
      <c r="L43" s="1">
        <v>13832</v>
      </c>
      <c r="M43" s="1">
        <v>5</v>
      </c>
      <c r="N43" s="1">
        <v>691.6</v>
      </c>
      <c r="O43" s="1">
        <v>2365.27</v>
      </c>
      <c r="P43" s="1">
        <v>391</v>
      </c>
      <c r="Q43" s="1">
        <v>15896.67</v>
      </c>
      <c r="R43" s="1" t="s">
        <v>54</v>
      </c>
      <c r="S43" s="1" t="s">
        <v>34</v>
      </c>
      <c r="T43" s="1" t="s">
        <v>55</v>
      </c>
      <c r="U43" s="1" t="s">
        <v>56</v>
      </c>
      <c r="V43" s="1" t="s">
        <v>57</v>
      </c>
      <c r="W43" s="1">
        <v>7</v>
      </c>
      <c r="X43" s="1" t="s">
        <v>38</v>
      </c>
      <c r="Y43" s="1">
        <v>2</v>
      </c>
      <c r="Z43" s="1" t="s">
        <v>39</v>
      </c>
    </row>
    <row r="44" spans="1:26" x14ac:dyDescent="0.3">
      <c r="A44" s="1" t="s">
        <v>171</v>
      </c>
      <c r="B44" s="2">
        <v>45980</v>
      </c>
      <c r="C44" s="1" t="s">
        <v>172</v>
      </c>
      <c r="D44" s="1" t="s">
        <v>61</v>
      </c>
      <c r="E44" s="1" t="s">
        <v>43</v>
      </c>
      <c r="F44" s="1">
        <v>57</v>
      </c>
      <c r="G44" s="1" t="s">
        <v>139</v>
      </c>
      <c r="H44" s="1" t="s">
        <v>31</v>
      </c>
      <c r="I44" s="1" t="s">
        <v>139</v>
      </c>
      <c r="J44" s="1" t="s">
        <v>112</v>
      </c>
      <c r="K44" s="1">
        <v>2</v>
      </c>
      <c r="L44" s="1">
        <v>48320</v>
      </c>
      <c r="M44" s="1">
        <v>0</v>
      </c>
      <c r="N44" s="1">
        <v>0</v>
      </c>
      <c r="O44" s="1">
        <v>17395.2</v>
      </c>
      <c r="P44" s="1">
        <v>415</v>
      </c>
      <c r="Q44" s="1">
        <v>114450.2</v>
      </c>
      <c r="R44" s="1" t="s">
        <v>83</v>
      </c>
      <c r="S44" s="1" t="s">
        <v>34</v>
      </c>
      <c r="T44" s="1" t="s">
        <v>55</v>
      </c>
      <c r="U44" s="1" t="s">
        <v>56</v>
      </c>
      <c r="V44" s="1" t="s">
        <v>57</v>
      </c>
      <c r="W44" s="1">
        <v>1</v>
      </c>
      <c r="X44" s="1" t="s">
        <v>47</v>
      </c>
      <c r="Y44" s="1">
        <v>4</v>
      </c>
      <c r="Z44" s="1" t="s">
        <v>39</v>
      </c>
    </row>
    <row r="45" spans="1:26" x14ac:dyDescent="0.3">
      <c r="A45" s="1" t="s">
        <v>173</v>
      </c>
      <c r="B45" s="2">
        <v>46019</v>
      </c>
      <c r="C45" s="1" t="s">
        <v>174</v>
      </c>
      <c r="D45" s="1" t="s">
        <v>50</v>
      </c>
      <c r="E45" s="1" t="s">
        <v>43</v>
      </c>
      <c r="F45" s="1">
        <v>35</v>
      </c>
      <c r="G45" s="1" t="s">
        <v>90</v>
      </c>
      <c r="H45" s="1" t="s">
        <v>31</v>
      </c>
      <c r="I45" s="1" t="s">
        <v>90</v>
      </c>
      <c r="J45" s="1" t="s">
        <v>102</v>
      </c>
      <c r="K45" s="1">
        <v>1</v>
      </c>
      <c r="L45" s="1">
        <v>2598</v>
      </c>
      <c r="M45" s="1">
        <v>5</v>
      </c>
      <c r="N45" s="1">
        <v>129.9</v>
      </c>
      <c r="O45" s="1">
        <v>444.26</v>
      </c>
      <c r="P45" s="1">
        <v>414</v>
      </c>
      <c r="Q45" s="1">
        <v>3326.36</v>
      </c>
      <c r="R45" s="1" t="s">
        <v>45</v>
      </c>
      <c r="S45" s="1" t="s">
        <v>34</v>
      </c>
      <c r="T45" s="1" t="s">
        <v>95</v>
      </c>
      <c r="U45" s="1" t="s">
        <v>96</v>
      </c>
      <c r="V45" s="1" t="s">
        <v>57</v>
      </c>
      <c r="W45" s="1">
        <v>7</v>
      </c>
      <c r="X45" s="1" t="s">
        <v>47</v>
      </c>
      <c r="Y45" s="1">
        <v>2</v>
      </c>
      <c r="Z45" s="1" t="s">
        <v>91</v>
      </c>
    </row>
    <row r="46" spans="1:26" x14ac:dyDescent="0.3">
      <c r="A46" s="1" t="s">
        <v>175</v>
      </c>
      <c r="B46" s="2">
        <v>45808</v>
      </c>
      <c r="C46" s="1" t="s">
        <v>176</v>
      </c>
      <c r="D46" s="1" t="s">
        <v>28</v>
      </c>
      <c r="E46" s="1" t="s">
        <v>29</v>
      </c>
      <c r="F46" s="1">
        <v>27</v>
      </c>
      <c r="G46" s="1" t="s">
        <v>44</v>
      </c>
      <c r="H46" s="1" t="s">
        <v>31</v>
      </c>
      <c r="I46" s="1" t="s">
        <v>44</v>
      </c>
      <c r="J46" s="1" t="s">
        <v>53</v>
      </c>
      <c r="K46" s="1">
        <v>4</v>
      </c>
      <c r="L46" s="1">
        <v>46065</v>
      </c>
      <c r="M46" s="1">
        <v>10</v>
      </c>
      <c r="N46" s="1">
        <v>18426</v>
      </c>
      <c r="O46" s="1">
        <v>29850.12</v>
      </c>
      <c r="P46" s="1">
        <v>96</v>
      </c>
      <c r="Q46" s="1">
        <v>195780.12</v>
      </c>
      <c r="R46" s="1" t="s">
        <v>54</v>
      </c>
      <c r="S46" s="1" t="s">
        <v>63</v>
      </c>
      <c r="T46" s="1" t="s">
        <v>55</v>
      </c>
      <c r="U46" s="1" t="s">
        <v>56</v>
      </c>
      <c r="V46" s="1" t="s">
        <v>57</v>
      </c>
      <c r="W46" s="1">
        <v>5</v>
      </c>
      <c r="X46" s="1" t="s">
        <v>47</v>
      </c>
      <c r="Y46" s="1">
        <v>1</v>
      </c>
      <c r="Z46" s="1" t="s">
        <v>91</v>
      </c>
    </row>
    <row r="47" spans="1:26" x14ac:dyDescent="0.3">
      <c r="A47" s="1" t="s">
        <v>177</v>
      </c>
      <c r="B47" s="2">
        <v>45826</v>
      </c>
      <c r="C47" s="1" t="s">
        <v>178</v>
      </c>
      <c r="D47" s="1" t="s">
        <v>66</v>
      </c>
      <c r="E47" s="1" t="s">
        <v>43</v>
      </c>
      <c r="F47" s="1">
        <v>57</v>
      </c>
      <c r="G47" s="1" t="s">
        <v>99</v>
      </c>
      <c r="H47" s="1" t="s">
        <v>52</v>
      </c>
      <c r="I47" s="1" t="s">
        <v>99</v>
      </c>
      <c r="J47" s="1" t="s">
        <v>32</v>
      </c>
      <c r="K47" s="1">
        <v>2</v>
      </c>
      <c r="L47" s="1">
        <v>33957</v>
      </c>
      <c r="M47" s="1">
        <v>15</v>
      </c>
      <c r="N47" s="1">
        <v>10187.1</v>
      </c>
      <c r="O47" s="1">
        <v>10390.84</v>
      </c>
      <c r="P47" s="1">
        <v>493</v>
      </c>
      <c r="Q47" s="1">
        <v>68610.740000000005</v>
      </c>
      <c r="R47" s="1" t="s">
        <v>83</v>
      </c>
      <c r="S47" s="1" t="s">
        <v>63</v>
      </c>
      <c r="T47" s="1" t="s">
        <v>35</v>
      </c>
      <c r="U47" s="1" t="s">
        <v>36</v>
      </c>
      <c r="V47" s="1" t="s">
        <v>37</v>
      </c>
      <c r="W47" s="1">
        <v>9</v>
      </c>
      <c r="X47" s="1" t="s">
        <v>38</v>
      </c>
      <c r="Y47" s="1">
        <v>1</v>
      </c>
      <c r="Z47" s="1" t="s">
        <v>39</v>
      </c>
    </row>
    <row r="48" spans="1:26" x14ac:dyDescent="0.3">
      <c r="A48" s="1" t="s">
        <v>179</v>
      </c>
      <c r="B48" s="2">
        <v>45904</v>
      </c>
      <c r="C48" s="1" t="s">
        <v>180</v>
      </c>
      <c r="D48" s="1" t="s">
        <v>108</v>
      </c>
      <c r="E48" s="1" t="s">
        <v>43</v>
      </c>
      <c r="F48" s="1">
        <v>31</v>
      </c>
      <c r="G48" s="1" t="s">
        <v>94</v>
      </c>
      <c r="H48" s="1" t="s">
        <v>31</v>
      </c>
      <c r="I48" s="1" t="s">
        <v>94</v>
      </c>
      <c r="J48" s="1" t="s">
        <v>53</v>
      </c>
      <c r="K48" s="1">
        <v>4</v>
      </c>
      <c r="L48" s="1">
        <v>34160</v>
      </c>
      <c r="M48" s="1">
        <v>10</v>
      </c>
      <c r="N48" s="1">
        <v>13664</v>
      </c>
      <c r="O48" s="1">
        <v>22135.68</v>
      </c>
      <c r="P48" s="1">
        <v>174</v>
      </c>
      <c r="Q48" s="1">
        <v>145285.68</v>
      </c>
      <c r="R48" s="1" t="s">
        <v>54</v>
      </c>
      <c r="S48" s="1" t="s">
        <v>63</v>
      </c>
      <c r="T48" s="1" t="s">
        <v>46</v>
      </c>
      <c r="U48" s="1" t="s">
        <v>36</v>
      </c>
      <c r="V48" s="1" t="s">
        <v>37</v>
      </c>
      <c r="W48" s="1">
        <v>6</v>
      </c>
      <c r="X48" s="1" t="s">
        <v>38</v>
      </c>
      <c r="Y48" s="1">
        <v>3</v>
      </c>
      <c r="Z48" s="1" t="s">
        <v>47</v>
      </c>
    </row>
    <row r="49" spans="1:26" x14ac:dyDescent="0.3">
      <c r="A49" s="1" t="s">
        <v>181</v>
      </c>
      <c r="B49" s="2">
        <v>45897</v>
      </c>
      <c r="C49" s="1" t="s">
        <v>182</v>
      </c>
      <c r="D49" s="1" t="s">
        <v>61</v>
      </c>
      <c r="E49" s="1" t="s">
        <v>43</v>
      </c>
      <c r="F49" s="1">
        <v>37</v>
      </c>
      <c r="G49" s="1" t="s">
        <v>94</v>
      </c>
      <c r="H49" s="1" t="s">
        <v>31</v>
      </c>
      <c r="I49" s="1" t="s">
        <v>94</v>
      </c>
      <c r="J49" s="1" t="s">
        <v>69</v>
      </c>
      <c r="K49" s="1">
        <v>2</v>
      </c>
      <c r="L49" s="1">
        <v>18482</v>
      </c>
      <c r="M49" s="1">
        <v>15</v>
      </c>
      <c r="N49" s="1">
        <v>5544.6</v>
      </c>
      <c r="O49" s="1">
        <v>5655.49</v>
      </c>
      <c r="P49" s="1">
        <v>78</v>
      </c>
      <c r="Q49" s="1">
        <v>37152.89</v>
      </c>
      <c r="R49" s="1" t="s">
        <v>33</v>
      </c>
      <c r="S49" s="1" t="s">
        <v>34</v>
      </c>
      <c r="T49" s="1" t="s">
        <v>95</v>
      </c>
      <c r="U49" s="1" t="s">
        <v>96</v>
      </c>
      <c r="V49" s="1" t="s">
        <v>57</v>
      </c>
      <c r="W49" s="1">
        <v>5</v>
      </c>
      <c r="X49" s="1" t="s">
        <v>38</v>
      </c>
      <c r="Y49" s="1">
        <v>3</v>
      </c>
      <c r="Z49" s="1" t="s">
        <v>91</v>
      </c>
    </row>
    <row r="50" spans="1:26" x14ac:dyDescent="0.3">
      <c r="A50" s="1" t="s">
        <v>183</v>
      </c>
      <c r="B50" s="2">
        <v>45920</v>
      </c>
      <c r="C50" s="1" t="s">
        <v>184</v>
      </c>
      <c r="D50" s="1" t="s">
        <v>42</v>
      </c>
      <c r="E50" s="1" t="s">
        <v>43</v>
      </c>
      <c r="F50" s="1">
        <v>55</v>
      </c>
      <c r="G50" s="1" t="s">
        <v>44</v>
      </c>
      <c r="H50" s="1" t="s">
        <v>31</v>
      </c>
      <c r="I50" s="1" t="s">
        <v>44</v>
      </c>
      <c r="J50" s="1" t="s">
        <v>102</v>
      </c>
      <c r="K50" s="1">
        <v>2</v>
      </c>
      <c r="L50" s="1">
        <v>40666</v>
      </c>
      <c r="M50" s="1">
        <v>10</v>
      </c>
      <c r="N50" s="1">
        <v>8133.2</v>
      </c>
      <c r="O50" s="1">
        <v>13175.78</v>
      </c>
      <c r="P50" s="1">
        <v>334</v>
      </c>
      <c r="Q50" s="1">
        <v>86708.58</v>
      </c>
      <c r="R50" s="1" t="s">
        <v>45</v>
      </c>
      <c r="S50" s="1" t="s">
        <v>63</v>
      </c>
      <c r="T50" s="1" t="s">
        <v>70</v>
      </c>
      <c r="U50" s="1" t="s">
        <v>56</v>
      </c>
      <c r="V50" s="1" t="s">
        <v>57</v>
      </c>
      <c r="W50" s="1">
        <v>8</v>
      </c>
      <c r="X50" s="1" t="s">
        <v>47</v>
      </c>
      <c r="Y50" s="1">
        <v>5</v>
      </c>
      <c r="Z50" s="1" t="s">
        <v>47</v>
      </c>
    </row>
    <row r="51" spans="1:26" x14ac:dyDescent="0.3">
      <c r="A51" s="1" t="s">
        <v>185</v>
      </c>
      <c r="B51" s="2">
        <v>45830</v>
      </c>
      <c r="C51" s="1" t="s">
        <v>152</v>
      </c>
      <c r="D51" s="1" t="s">
        <v>80</v>
      </c>
      <c r="E51" s="1" t="s">
        <v>43</v>
      </c>
      <c r="F51" s="1">
        <v>42</v>
      </c>
      <c r="G51" s="1" t="s">
        <v>74</v>
      </c>
      <c r="H51" s="1" t="s">
        <v>31</v>
      </c>
      <c r="I51" s="1" t="s">
        <v>74</v>
      </c>
      <c r="J51" s="1" t="s">
        <v>125</v>
      </c>
      <c r="K51" s="1">
        <v>4</v>
      </c>
      <c r="L51" s="1">
        <v>2535</v>
      </c>
      <c r="M51" s="1">
        <v>5</v>
      </c>
      <c r="N51" s="1">
        <v>507</v>
      </c>
      <c r="O51" s="1">
        <v>1733.94</v>
      </c>
      <c r="P51" s="1">
        <v>49</v>
      </c>
      <c r="Q51" s="1">
        <v>11415.94</v>
      </c>
      <c r="R51" s="1" t="s">
        <v>54</v>
      </c>
      <c r="S51" s="1" t="s">
        <v>34</v>
      </c>
      <c r="T51" s="1" t="s">
        <v>76</v>
      </c>
      <c r="U51" s="1" t="s">
        <v>77</v>
      </c>
      <c r="V51" s="1" t="s">
        <v>57</v>
      </c>
      <c r="W51" s="1">
        <v>3</v>
      </c>
      <c r="X51" s="1" t="s">
        <v>47</v>
      </c>
      <c r="Y51" s="1">
        <v>1</v>
      </c>
      <c r="Z51" s="1" t="s">
        <v>39</v>
      </c>
    </row>
    <row r="52" spans="1:26" x14ac:dyDescent="0.3">
      <c r="A52" s="1" t="s">
        <v>186</v>
      </c>
      <c r="B52" s="2">
        <v>45900</v>
      </c>
      <c r="C52" s="1" t="s">
        <v>187</v>
      </c>
      <c r="D52" s="1" t="s">
        <v>66</v>
      </c>
      <c r="E52" s="1" t="s">
        <v>29</v>
      </c>
      <c r="F52" s="1">
        <v>35</v>
      </c>
      <c r="G52" s="1" t="s">
        <v>90</v>
      </c>
      <c r="H52" s="1" t="s">
        <v>31</v>
      </c>
      <c r="I52" s="1" t="s">
        <v>90</v>
      </c>
      <c r="J52" s="1" t="s">
        <v>150</v>
      </c>
      <c r="K52" s="1">
        <v>3</v>
      </c>
      <c r="L52" s="1">
        <v>41574</v>
      </c>
      <c r="M52" s="1">
        <v>20</v>
      </c>
      <c r="N52" s="1">
        <v>24944.400000000001</v>
      </c>
      <c r="O52" s="1">
        <v>17959.97</v>
      </c>
      <c r="P52" s="1">
        <v>206</v>
      </c>
      <c r="Q52" s="1">
        <v>117943.57</v>
      </c>
      <c r="R52" s="1" t="s">
        <v>45</v>
      </c>
      <c r="S52" s="1" t="s">
        <v>34</v>
      </c>
      <c r="T52" s="1" t="s">
        <v>35</v>
      </c>
      <c r="U52" s="1" t="s">
        <v>36</v>
      </c>
      <c r="V52" s="1" t="s">
        <v>37</v>
      </c>
      <c r="W52" s="1">
        <v>10</v>
      </c>
      <c r="X52" s="1" t="s">
        <v>38</v>
      </c>
      <c r="Y52" s="1">
        <v>3</v>
      </c>
      <c r="Z52" s="1" t="s">
        <v>47</v>
      </c>
    </row>
    <row r="53" spans="1:26" x14ac:dyDescent="0.3">
      <c r="A53" s="1" t="s">
        <v>188</v>
      </c>
      <c r="B53" s="2">
        <v>45863</v>
      </c>
      <c r="C53" s="1" t="s">
        <v>189</v>
      </c>
      <c r="D53" s="1" t="s">
        <v>42</v>
      </c>
      <c r="E53" s="1" t="s">
        <v>43</v>
      </c>
      <c r="F53" s="1">
        <v>28</v>
      </c>
      <c r="G53" s="1" t="s">
        <v>74</v>
      </c>
      <c r="H53" s="1" t="s">
        <v>31</v>
      </c>
      <c r="I53" s="1" t="s">
        <v>74</v>
      </c>
      <c r="J53" s="1" t="s">
        <v>102</v>
      </c>
      <c r="K53" s="1">
        <v>3</v>
      </c>
      <c r="L53" s="1">
        <v>33177</v>
      </c>
      <c r="M53" s="1">
        <v>5</v>
      </c>
      <c r="N53" s="1">
        <v>4976.55</v>
      </c>
      <c r="O53" s="1">
        <v>17019.8</v>
      </c>
      <c r="P53" s="1">
        <v>56</v>
      </c>
      <c r="Q53" s="1">
        <v>111630.25</v>
      </c>
      <c r="R53" s="1" t="s">
        <v>83</v>
      </c>
      <c r="S53" s="1" t="s">
        <v>63</v>
      </c>
      <c r="T53" s="1" t="s">
        <v>35</v>
      </c>
      <c r="U53" s="1" t="s">
        <v>36</v>
      </c>
      <c r="V53" s="1" t="s">
        <v>37</v>
      </c>
      <c r="W53" s="1">
        <v>3</v>
      </c>
      <c r="X53" s="1" t="s">
        <v>47</v>
      </c>
      <c r="Y53" s="1">
        <v>3</v>
      </c>
      <c r="Z53" s="1" t="s">
        <v>58</v>
      </c>
    </row>
    <row r="54" spans="1:26" x14ac:dyDescent="0.3">
      <c r="A54" s="1" t="s">
        <v>190</v>
      </c>
      <c r="B54" s="2">
        <v>46019</v>
      </c>
      <c r="C54" s="1" t="s">
        <v>191</v>
      </c>
      <c r="D54" s="1" t="s">
        <v>42</v>
      </c>
      <c r="E54" s="1" t="s">
        <v>43</v>
      </c>
      <c r="F54" s="1">
        <v>47</v>
      </c>
      <c r="G54" s="1" t="s">
        <v>74</v>
      </c>
      <c r="H54" s="1" t="s">
        <v>31</v>
      </c>
      <c r="I54" s="1" t="s">
        <v>74</v>
      </c>
      <c r="J54" s="1" t="s">
        <v>150</v>
      </c>
      <c r="K54" s="1">
        <v>5</v>
      </c>
      <c r="L54" s="1">
        <v>1762</v>
      </c>
      <c r="M54" s="1">
        <v>20</v>
      </c>
      <c r="N54" s="1">
        <v>1762</v>
      </c>
      <c r="O54" s="1">
        <v>1268.6400000000001</v>
      </c>
      <c r="P54" s="1">
        <v>27</v>
      </c>
      <c r="Q54" s="1">
        <v>8343.64</v>
      </c>
      <c r="R54" s="1" t="s">
        <v>33</v>
      </c>
      <c r="S54" s="1" t="s">
        <v>63</v>
      </c>
      <c r="T54" s="1" t="s">
        <v>55</v>
      </c>
      <c r="U54" s="1" t="s">
        <v>56</v>
      </c>
      <c r="V54" s="1" t="s">
        <v>57</v>
      </c>
      <c r="W54" s="1">
        <v>4</v>
      </c>
      <c r="X54" s="1" t="s">
        <v>38</v>
      </c>
      <c r="Y54" s="1">
        <v>3</v>
      </c>
      <c r="Z54" s="1" t="s">
        <v>47</v>
      </c>
    </row>
    <row r="55" spans="1:26" x14ac:dyDescent="0.3">
      <c r="A55" s="1" t="s">
        <v>192</v>
      </c>
      <c r="B55" s="2">
        <v>45922</v>
      </c>
      <c r="C55" s="1" t="s">
        <v>193</v>
      </c>
      <c r="D55" s="1" t="s">
        <v>73</v>
      </c>
      <c r="E55" s="1" t="s">
        <v>43</v>
      </c>
      <c r="F55" s="1">
        <v>47</v>
      </c>
      <c r="G55" s="1" t="s">
        <v>94</v>
      </c>
      <c r="H55" s="1" t="s">
        <v>31</v>
      </c>
      <c r="I55" s="1" t="s">
        <v>94</v>
      </c>
      <c r="J55" s="1" t="s">
        <v>62</v>
      </c>
      <c r="K55" s="1">
        <v>2</v>
      </c>
      <c r="L55" s="1">
        <v>16428</v>
      </c>
      <c r="M55" s="1">
        <v>20</v>
      </c>
      <c r="N55" s="1">
        <v>6571.2</v>
      </c>
      <c r="O55" s="1">
        <v>4731.26</v>
      </c>
      <c r="P55" s="1">
        <v>94</v>
      </c>
      <c r="Q55" s="1">
        <v>31110.06</v>
      </c>
      <c r="R55" s="1" t="s">
        <v>45</v>
      </c>
      <c r="S55" s="1" t="s">
        <v>63</v>
      </c>
      <c r="T55" s="1" t="s">
        <v>103</v>
      </c>
      <c r="U55" s="1" t="s">
        <v>103</v>
      </c>
      <c r="V55" s="1" t="s">
        <v>57</v>
      </c>
      <c r="W55" s="1">
        <v>1</v>
      </c>
      <c r="X55" s="1" t="s">
        <v>38</v>
      </c>
      <c r="Y55" s="1">
        <v>4</v>
      </c>
      <c r="Z55" s="1" t="s">
        <v>39</v>
      </c>
    </row>
    <row r="56" spans="1:26" x14ac:dyDescent="0.3">
      <c r="A56" s="1" t="s">
        <v>194</v>
      </c>
      <c r="B56" s="2">
        <v>46087</v>
      </c>
      <c r="C56" s="1" t="s">
        <v>195</v>
      </c>
      <c r="D56" s="1" t="s">
        <v>50</v>
      </c>
      <c r="E56" s="1" t="s">
        <v>29</v>
      </c>
      <c r="F56" s="1">
        <v>27</v>
      </c>
      <c r="G56" s="1" t="s">
        <v>94</v>
      </c>
      <c r="H56" s="1" t="s">
        <v>31</v>
      </c>
      <c r="I56" s="1" t="s">
        <v>94</v>
      </c>
      <c r="J56" s="1" t="s">
        <v>112</v>
      </c>
      <c r="K56" s="1">
        <v>3</v>
      </c>
      <c r="L56" s="1">
        <v>17615</v>
      </c>
      <c r="M56" s="1">
        <v>0</v>
      </c>
      <c r="N56" s="1">
        <v>0</v>
      </c>
      <c r="O56" s="1">
        <v>9512.1</v>
      </c>
      <c r="P56" s="1">
        <v>128</v>
      </c>
      <c r="Q56" s="1">
        <v>62485.1</v>
      </c>
      <c r="R56" s="1" t="s">
        <v>33</v>
      </c>
      <c r="S56" s="1" t="s">
        <v>34</v>
      </c>
      <c r="T56" s="1" t="s">
        <v>70</v>
      </c>
      <c r="U56" s="1" t="s">
        <v>56</v>
      </c>
      <c r="V56" s="1" t="s">
        <v>57</v>
      </c>
      <c r="W56" s="1">
        <v>5</v>
      </c>
      <c r="X56" s="1" t="s">
        <v>38</v>
      </c>
      <c r="Y56" s="1">
        <v>4</v>
      </c>
      <c r="Z56" s="1" t="s">
        <v>58</v>
      </c>
    </row>
    <row r="57" spans="1:26" x14ac:dyDescent="0.3">
      <c r="A57" s="1" t="s">
        <v>196</v>
      </c>
      <c r="B57" s="2">
        <v>45819</v>
      </c>
      <c r="C57" s="1" t="s">
        <v>147</v>
      </c>
      <c r="D57" s="1" t="s">
        <v>80</v>
      </c>
      <c r="E57" s="1" t="s">
        <v>29</v>
      </c>
      <c r="F57" s="1">
        <v>50</v>
      </c>
      <c r="G57" s="1" t="s">
        <v>99</v>
      </c>
      <c r="H57" s="1" t="s">
        <v>52</v>
      </c>
      <c r="I57" s="1" t="s">
        <v>99</v>
      </c>
      <c r="J57" s="1" t="s">
        <v>32</v>
      </c>
      <c r="K57" s="1">
        <v>2</v>
      </c>
      <c r="L57" s="1">
        <v>18078</v>
      </c>
      <c r="M57" s="1">
        <v>10</v>
      </c>
      <c r="N57" s="1">
        <v>3615.6</v>
      </c>
      <c r="O57" s="1">
        <v>5857.27</v>
      </c>
      <c r="P57" s="1">
        <v>92</v>
      </c>
      <c r="Q57" s="1">
        <v>38489.67</v>
      </c>
      <c r="R57" s="1" t="s">
        <v>33</v>
      </c>
      <c r="S57" s="1" t="s">
        <v>63</v>
      </c>
      <c r="T57" s="1" t="s">
        <v>76</v>
      </c>
      <c r="U57" s="1" t="s">
        <v>77</v>
      </c>
      <c r="V57" s="1" t="s">
        <v>57</v>
      </c>
      <c r="W57" s="1">
        <v>9</v>
      </c>
      <c r="X57" s="1" t="s">
        <v>38</v>
      </c>
      <c r="Y57" s="1">
        <v>2</v>
      </c>
      <c r="Z57" s="1" t="s">
        <v>47</v>
      </c>
    </row>
    <row r="58" spans="1:26" x14ac:dyDescent="0.3">
      <c r="A58" s="1" t="s">
        <v>197</v>
      </c>
      <c r="B58" s="2">
        <v>45860</v>
      </c>
      <c r="C58" s="1" t="s">
        <v>198</v>
      </c>
      <c r="D58" s="1" t="s">
        <v>61</v>
      </c>
      <c r="E58" s="1" t="s">
        <v>43</v>
      </c>
      <c r="F58" s="1">
        <v>33</v>
      </c>
      <c r="G58" s="1" t="s">
        <v>90</v>
      </c>
      <c r="H58" s="1" t="s">
        <v>31</v>
      </c>
      <c r="I58" s="1" t="s">
        <v>90</v>
      </c>
      <c r="J58" s="1" t="s">
        <v>102</v>
      </c>
      <c r="K58" s="1">
        <v>1</v>
      </c>
      <c r="L58" s="1">
        <v>4209</v>
      </c>
      <c r="M58" s="1">
        <v>20</v>
      </c>
      <c r="N58" s="1">
        <v>841.8</v>
      </c>
      <c r="O58" s="1">
        <v>606.1</v>
      </c>
      <c r="P58" s="1">
        <v>108</v>
      </c>
      <c r="Q58" s="1">
        <v>4081.3</v>
      </c>
      <c r="R58" s="1" t="s">
        <v>33</v>
      </c>
      <c r="S58" s="1" t="s">
        <v>34</v>
      </c>
      <c r="T58" s="1" t="s">
        <v>76</v>
      </c>
      <c r="U58" s="1" t="s">
        <v>77</v>
      </c>
      <c r="V58" s="1" t="s">
        <v>57</v>
      </c>
      <c r="W58" s="1">
        <v>8</v>
      </c>
      <c r="X58" s="1" t="s">
        <v>38</v>
      </c>
      <c r="Y58" s="1">
        <v>5</v>
      </c>
      <c r="Z58" s="1" t="s">
        <v>91</v>
      </c>
    </row>
    <row r="59" spans="1:26" x14ac:dyDescent="0.3">
      <c r="A59" s="1" t="s">
        <v>199</v>
      </c>
      <c r="B59" s="2">
        <v>45817</v>
      </c>
      <c r="C59" s="1" t="s">
        <v>200</v>
      </c>
      <c r="D59" s="1" t="s">
        <v>66</v>
      </c>
      <c r="E59" s="1" t="s">
        <v>29</v>
      </c>
      <c r="F59" s="1">
        <v>20</v>
      </c>
      <c r="G59" s="1" t="s">
        <v>90</v>
      </c>
      <c r="H59" s="1" t="s">
        <v>31</v>
      </c>
      <c r="I59" s="1" t="s">
        <v>90</v>
      </c>
      <c r="J59" s="1" t="s">
        <v>201</v>
      </c>
      <c r="K59" s="1">
        <v>5</v>
      </c>
      <c r="L59" s="1">
        <v>32244</v>
      </c>
      <c r="M59" s="1">
        <v>5</v>
      </c>
      <c r="N59" s="1">
        <v>8061</v>
      </c>
      <c r="O59" s="1">
        <v>27568.62</v>
      </c>
      <c r="P59" s="1">
        <v>248</v>
      </c>
      <c r="Q59" s="1">
        <v>180975.62</v>
      </c>
      <c r="R59" s="1" t="s">
        <v>33</v>
      </c>
      <c r="S59" s="1" t="s">
        <v>34</v>
      </c>
      <c r="T59" s="1" t="s">
        <v>46</v>
      </c>
      <c r="U59" s="1" t="s">
        <v>36</v>
      </c>
      <c r="V59" s="1" t="s">
        <v>37</v>
      </c>
      <c r="W59" s="1">
        <v>6</v>
      </c>
      <c r="X59" s="1" t="s">
        <v>38</v>
      </c>
      <c r="Y59" s="1">
        <v>2</v>
      </c>
      <c r="Z59" s="1" t="s">
        <v>58</v>
      </c>
    </row>
    <row r="60" spans="1:26" x14ac:dyDescent="0.3">
      <c r="A60" s="1" t="s">
        <v>202</v>
      </c>
      <c r="B60" s="2">
        <v>46037</v>
      </c>
      <c r="C60" s="1" t="s">
        <v>203</v>
      </c>
      <c r="D60" s="1" t="s">
        <v>42</v>
      </c>
      <c r="E60" s="1" t="s">
        <v>43</v>
      </c>
      <c r="F60" s="1">
        <v>40</v>
      </c>
      <c r="G60" s="1" t="s">
        <v>67</v>
      </c>
      <c r="H60" s="1" t="s">
        <v>68</v>
      </c>
      <c r="I60" s="1" t="s">
        <v>67</v>
      </c>
      <c r="J60" s="1" t="s">
        <v>150</v>
      </c>
      <c r="K60" s="1">
        <v>2</v>
      </c>
      <c r="L60" s="1">
        <v>17758</v>
      </c>
      <c r="M60" s="1">
        <v>10</v>
      </c>
      <c r="N60" s="1">
        <v>3551.6</v>
      </c>
      <c r="O60" s="1">
        <v>5753.59</v>
      </c>
      <c r="P60" s="1">
        <v>218</v>
      </c>
      <c r="Q60" s="1">
        <v>37935.99</v>
      </c>
      <c r="R60" s="1" t="s">
        <v>45</v>
      </c>
      <c r="S60" s="1" t="s">
        <v>63</v>
      </c>
      <c r="T60" s="1" t="s">
        <v>46</v>
      </c>
      <c r="U60" s="1" t="s">
        <v>36</v>
      </c>
      <c r="V60" s="1" t="s">
        <v>37</v>
      </c>
      <c r="W60" s="1">
        <v>9</v>
      </c>
      <c r="X60" s="1" t="s">
        <v>47</v>
      </c>
      <c r="Y60" s="1">
        <v>4</v>
      </c>
      <c r="Z60" s="1" t="s">
        <v>58</v>
      </c>
    </row>
    <row r="61" spans="1:26" x14ac:dyDescent="0.3">
      <c r="A61" s="1" t="s">
        <v>204</v>
      </c>
      <c r="B61" s="2">
        <v>46032</v>
      </c>
      <c r="C61" s="1" t="s">
        <v>205</v>
      </c>
      <c r="D61" s="1" t="s">
        <v>108</v>
      </c>
      <c r="E61" s="1" t="s">
        <v>43</v>
      </c>
      <c r="F61" s="1">
        <v>26</v>
      </c>
      <c r="G61" s="1" t="s">
        <v>139</v>
      </c>
      <c r="H61" s="1" t="s">
        <v>31</v>
      </c>
      <c r="I61" s="1" t="s">
        <v>139</v>
      </c>
      <c r="J61" s="1" t="s">
        <v>102</v>
      </c>
      <c r="K61" s="1">
        <v>3</v>
      </c>
      <c r="L61" s="1">
        <v>49447</v>
      </c>
      <c r="M61" s="1">
        <v>0</v>
      </c>
      <c r="N61" s="1">
        <v>0</v>
      </c>
      <c r="O61" s="1">
        <v>26701.38</v>
      </c>
      <c r="P61" s="1">
        <v>5</v>
      </c>
      <c r="Q61" s="1">
        <v>175047.38</v>
      </c>
      <c r="R61" s="1" t="s">
        <v>33</v>
      </c>
      <c r="S61" s="1" t="s">
        <v>34</v>
      </c>
      <c r="T61" s="1" t="s">
        <v>76</v>
      </c>
      <c r="U61" s="1" t="s">
        <v>77</v>
      </c>
      <c r="V61" s="1" t="s">
        <v>57</v>
      </c>
      <c r="W61" s="1">
        <v>3</v>
      </c>
      <c r="X61" s="1" t="s">
        <v>38</v>
      </c>
      <c r="Y61" s="1">
        <v>1</v>
      </c>
      <c r="Z61" s="1" t="s">
        <v>58</v>
      </c>
    </row>
    <row r="62" spans="1:26" x14ac:dyDescent="0.3">
      <c r="A62" s="1" t="s">
        <v>206</v>
      </c>
      <c r="B62" s="2">
        <v>45997</v>
      </c>
      <c r="C62" s="1" t="s">
        <v>207</v>
      </c>
      <c r="D62" s="1" t="s">
        <v>108</v>
      </c>
      <c r="E62" s="1" t="s">
        <v>29</v>
      </c>
      <c r="F62" s="1">
        <v>55</v>
      </c>
      <c r="G62" s="1" t="s">
        <v>94</v>
      </c>
      <c r="H62" s="1" t="s">
        <v>31</v>
      </c>
      <c r="I62" s="1" t="s">
        <v>94</v>
      </c>
      <c r="J62" s="1" t="s">
        <v>53</v>
      </c>
      <c r="K62" s="1">
        <v>4</v>
      </c>
      <c r="L62" s="1">
        <v>44629</v>
      </c>
      <c r="M62" s="1">
        <v>0</v>
      </c>
      <c r="N62" s="1">
        <v>0</v>
      </c>
      <c r="O62" s="1">
        <v>32132.880000000001</v>
      </c>
      <c r="P62" s="1">
        <v>182</v>
      </c>
      <c r="Q62" s="1">
        <v>210830.88</v>
      </c>
      <c r="R62" s="1" t="s">
        <v>83</v>
      </c>
      <c r="S62" s="1" t="s">
        <v>34</v>
      </c>
      <c r="T62" s="1" t="s">
        <v>95</v>
      </c>
      <c r="U62" s="1" t="s">
        <v>96</v>
      </c>
      <c r="V62" s="1" t="s">
        <v>57</v>
      </c>
      <c r="W62" s="1">
        <v>6</v>
      </c>
      <c r="X62" s="1" t="s">
        <v>47</v>
      </c>
      <c r="Y62" s="1">
        <v>2</v>
      </c>
      <c r="Z62" s="1" t="s">
        <v>47</v>
      </c>
    </row>
    <row r="63" spans="1:26" x14ac:dyDescent="0.3">
      <c r="A63" s="1" t="s">
        <v>208</v>
      </c>
      <c r="B63" s="2">
        <v>45927</v>
      </c>
      <c r="C63" s="1" t="s">
        <v>209</v>
      </c>
      <c r="D63" s="1" t="s">
        <v>61</v>
      </c>
      <c r="E63" s="1" t="s">
        <v>29</v>
      </c>
      <c r="F63" s="1">
        <v>43</v>
      </c>
      <c r="G63" s="1" t="s">
        <v>134</v>
      </c>
      <c r="H63" s="1" t="s">
        <v>31</v>
      </c>
      <c r="I63" s="1" t="s">
        <v>134</v>
      </c>
      <c r="J63" s="1" t="s">
        <v>69</v>
      </c>
      <c r="K63" s="1">
        <v>2</v>
      </c>
      <c r="L63" s="1">
        <v>35049</v>
      </c>
      <c r="M63" s="1">
        <v>10</v>
      </c>
      <c r="N63" s="1">
        <v>7009.8</v>
      </c>
      <c r="O63" s="1">
        <v>11355.88</v>
      </c>
      <c r="P63" s="1">
        <v>249</v>
      </c>
      <c r="Q63" s="1">
        <v>74693.08</v>
      </c>
      <c r="R63" s="1" t="s">
        <v>33</v>
      </c>
      <c r="S63" s="1" t="s">
        <v>34</v>
      </c>
      <c r="T63" s="1" t="s">
        <v>35</v>
      </c>
      <c r="U63" s="1" t="s">
        <v>36</v>
      </c>
      <c r="V63" s="1" t="s">
        <v>37</v>
      </c>
      <c r="W63" s="1">
        <v>1</v>
      </c>
      <c r="X63" s="1" t="s">
        <v>47</v>
      </c>
      <c r="Y63" s="1">
        <v>1</v>
      </c>
      <c r="Z63" s="1" t="s">
        <v>58</v>
      </c>
    </row>
    <row r="64" spans="1:26" x14ac:dyDescent="0.3">
      <c r="A64" s="1" t="s">
        <v>210</v>
      </c>
      <c r="B64" s="2">
        <v>45881</v>
      </c>
      <c r="C64" s="1" t="s">
        <v>211</v>
      </c>
      <c r="D64" s="1" t="s">
        <v>50</v>
      </c>
      <c r="E64" s="1" t="s">
        <v>43</v>
      </c>
      <c r="F64" s="1">
        <v>49</v>
      </c>
      <c r="G64" s="1" t="s">
        <v>44</v>
      </c>
      <c r="H64" s="1" t="s">
        <v>31</v>
      </c>
      <c r="I64" s="1" t="s">
        <v>44</v>
      </c>
      <c r="J64" s="1" t="s">
        <v>32</v>
      </c>
      <c r="K64" s="1">
        <v>4</v>
      </c>
      <c r="L64" s="1">
        <v>15260</v>
      </c>
      <c r="M64" s="1">
        <v>5</v>
      </c>
      <c r="N64" s="1">
        <v>3052</v>
      </c>
      <c r="O64" s="1">
        <v>10437.84</v>
      </c>
      <c r="P64" s="1">
        <v>466</v>
      </c>
      <c r="Q64" s="1">
        <v>68891.839999999997</v>
      </c>
      <c r="R64" s="1" t="s">
        <v>54</v>
      </c>
      <c r="S64" s="1" t="s">
        <v>34</v>
      </c>
      <c r="T64" s="1" t="s">
        <v>35</v>
      </c>
      <c r="U64" s="1" t="s">
        <v>36</v>
      </c>
      <c r="V64" s="1" t="s">
        <v>37</v>
      </c>
      <c r="W64" s="1">
        <v>2</v>
      </c>
      <c r="X64" s="1" t="s">
        <v>47</v>
      </c>
      <c r="Y64" s="1">
        <v>2</v>
      </c>
      <c r="Z64" s="1" t="s">
        <v>39</v>
      </c>
    </row>
    <row r="65" spans="1:26" x14ac:dyDescent="0.3">
      <c r="A65" s="1" t="s">
        <v>212</v>
      </c>
      <c r="B65" s="2">
        <v>46094</v>
      </c>
      <c r="C65" s="1" t="s">
        <v>213</v>
      </c>
      <c r="D65" s="1" t="s">
        <v>80</v>
      </c>
      <c r="E65" s="1" t="s">
        <v>29</v>
      </c>
      <c r="F65" s="1">
        <v>24</v>
      </c>
      <c r="G65" s="1" t="s">
        <v>139</v>
      </c>
      <c r="H65" s="1" t="s">
        <v>31</v>
      </c>
      <c r="I65" s="1" t="s">
        <v>139</v>
      </c>
      <c r="J65" s="1" t="s">
        <v>125</v>
      </c>
      <c r="K65" s="1">
        <v>4</v>
      </c>
      <c r="L65" s="1">
        <v>45316</v>
      </c>
      <c r="M65" s="1">
        <v>15</v>
      </c>
      <c r="N65" s="1">
        <v>27189.599999999999</v>
      </c>
      <c r="O65" s="1">
        <v>27733.39</v>
      </c>
      <c r="P65" s="1">
        <v>203</v>
      </c>
      <c r="Q65" s="1">
        <v>182010.79</v>
      </c>
      <c r="R65" s="1" t="s">
        <v>33</v>
      </c>
      <c r="S65" s="1" t="s">
        <v>34</v>
      </c>
      <c r="T65" s="1" t="s">
        <v>95</v>
      </c>
      <c r="U65" s="1" t="s">
        <v>96</v>
      </c>
      <c r="V65" s="1" t="s">
        <v>57</v>
      </c>
      <c r="W65" s="1">
        <v>5</v>
      </c>
      <c r="X65" s="1" t="s">
        <v>38</v>
      </c>
      <c r="Y65" s="1">
        <v>4</v>
      </c>
      <c r="Z65" s="1" t="s">
        <v>39</v>
      </c>
    </row>
    <row r="66" spans="1:26" x14ac:dyDescent="0.3">
      <c r="A66" s="1" t="s">
        <v>214</v>
      </c>
      <c r="B66" s="2">
        <v>45801</v>
      </c>
      <c r="C66" s="1" t="s">
        <v>215</v>
      </c>
      <c r="D66" s="1" t="s">
        <v>73</v>
      </c>
      <c r="E66" s="1" t="s">
        <v>43</v>
      </c>
      <c r="F66" s="1">
        <v>34</v>
      </c>
      <c r="G66" s="1" t="s">
        <v>74</v>
      </c>
      <c r="H66" s="1" t="s">
        <v>31</v>
      </c>
      <c r="I66" s="1" t="s">
        <v>74</v>
      </c>
      <c r="J66" s="1" t="s">
        <v>75</v>
      </c>
      <c r="K66" s="1">
        <v>3</v>
      </c>
      <c r="L66" s="1">
        <v>1028</v>
      </c>
      <c r="M66" s="1">
        <v>5</v>
      </c>
      <c r="N66" s="1">
        <v>154.19999999999999</v>
      </c>
      <c r="O66" s="1">
        <v>527.36</v>
      </c>
      <c r="P66" s="1">
        <v>194</v>
      </c>
      <c r="Q66" s="1">
        <v>3651.16</v>
      </c>
      <c r="R66" s="1" t="s">
        <v>83</v>
      </c>
      <c r="S66" s="1" t="s">
        <v>63</v>
      </c>
      <c r="T66" s="1" t="s">
        <v>46</v>
      </c>
      <c r="U66" s="1" t="s">
        <v>36</v>
      </c>
      <c r="V66" s="1" t="s">
        <v>37</v>
      </c>
      <c r="W66" s="1">
        <v>2</v>
      </c>
      <c r="X66" s="1" t="s">
        <v>47</v>
      </c>
      <c r="Y66" s="1">
        <v>2</v>
      </c>
      <c r="Z66" s="1" t="s">
        <v>58</v>
      </c>
    </row>
    <row r="67" spans="1:26" x14ac:dyDescent="0.3">
      <c r="A67" s="1" t="s">
        <v>216</v>
      </c>
      <c r="B67" s="2">
        <v>45886</v>
      </c>
      <c r="C67" s="1" t="s">
        <v>217</v>
      </c>
      <c r="D67" s="1" t="s">
        <v>42</v>
      </c>
      <c r="E67" s="1" t="s">
        <v>43</v>
      </c>
      <c r="F67" s="1">
        <v>56</v>
      </c>
      <c r="G67" s="1" t="s">
        <v>44</v>
      </c>
      <c r="H67" s="1" t="s">
        <v>31</v>
      </c>
      <c r="I67" s="1" t="s">
        <v>44</v>
      </c>
      <c r="J67" s="1" t="s">
        <v>75</v>
      </c>
      <c r="K67" s="1">
        <v>1</v>
      </c>
      <c r="L67" s="1">
        <v>32156</v>
      </c>
      <c r="M67" s="1">
        <v>10</v>
      </c>
      <c r="N67" s="1">
        <v>3215.6</v>
      </c>
      <c r="O67" s="1">
        <v>5209.2700000000004</v>
      </c>
      <c r="P67" s="1">
        <v>312</v>
      </c>
      <c r="Q67" s="1">
        <v>34461.67</v>
      </c>
      <c r="R67" s="1" t="s">
        <v>45</v>
      </c>
      <c r="S67" s="1" t="s">
        <v>34</v>
      </c>
      <c r="T67" s="1" t="s">
        <v>95</v>
      </c>
      <c r="U67" s="1" t="s">
        <v>96</v>
      </c>
      <c r="V67" s="1" t="s">
        <v>57</v>
      </c>
      <c r="W67" s="1">
        <v>9</v>
      </c>
      <c r="X67" s="1" t="s">
        <v>38</v>
      </c>
      <c r="Y67" s="1">
        <v>4</v>
      </c>
      <c r="Z67" s="1" t="s">
        <v>47</v>
      </c>
    </row>
    <row r="68" spans="1:26" x14ac:dyDescent="0.3">
      <c r="A68" s="1" t="s">
        <v>218</v>
      </c>
      <c r="B68" s="2">
        <v>46019</v>
      </c>
      <c r="C68" s="1" t="s">
        <v>219</v>
      </c>
      <c r="D68" s="1" t="s">
        <v>80</v>
      </c>
      <c r="E68" s="1" t="s">
        <v>43</v>
      </c>
      <c r="F68" s="1">
        <v>23</v>
      </c>
      <c r="G68" s="1" t="s">
        <v>139</v>
      </c>
      <c r="H68" s="1" t="s">
        <v>31</v>
      </c>
      <c r="I68" s="1" t="s">
        <v>139</v>
      </c>
      <c r="J68" s="1" t="s">
        <v>32</v>
      </c>
      <c r="K68" s="1">
        <v>1</v>
      </c>
      <c r="L68" s="1">
        <v>33064</v>
      </c>
      <c r="M68" s="1">
        <v>0</v>
      </c>
      <c r="N68" s="1">
        <v>0</v>
      </c>
      <c r="O68" s="1">
        <v>5951.52</v>
      </c>
      <c r="P68" s="1">
        <v>426</v>
      </c>
      <c r="Q68" s="1">
        <v>39441.519999999997</v>
      </c>
      <c r="R68" s="1" t="s">
        <v>33</v>
      </c>
      <c r="S68" s="1" t="s">
        <v>34</v>
      </c>
      <c r="T68" s="1" t="s">
        <v>55</v>
      </c>
      <c r="U68" s="1" t="s">
        <v>56</v>
      </c>
      <c r="V68" s="1" t="s">
        <v>57</v>
      </c>
      <c r="W68" s="1">
        <v>9</v>
      </c>
      <c r="X68" s="1" t="s">
        <v>38</v>
      </c>
      <c r="Y68" s="1">
        <v>4</v>
      </c>
      <c r="Z68" s="1" t="s">
        <v>58</v>
      </c>
    </row>
    <row r="69" spans="1:26" x14ac:dyDescent="0.3">
      <c r="A69" s="1" t="s">
        <v>220</v>
      </c>
      <c r="B69" s="2">
        <v>45918</v>
      </c>
      <c r="C69" s="1" t="s">
        <v>221</v>
      </c>
      <c r="D69" s="1" t="s">
        <v>80</v>
      </c>
      <c r="E69" s="1" t="s">
        <v>29</v>
      </c>
      <c r="F69" s="1">
        <v>36</v>
      </c>
      <c r="G69" s="1" t="s">
        <v>51</v>
      </c>
      <c r="H69" s="1" t="s">
        <v>52</v>
      </c>
      <c r="I69" s="1" t="s">
        <v>51</v>
      </c>
      <c r="J69" s="1" t="s">
        <v>62</v>
      </c>
      <c r="K69" s="1">
        <v>1</v>
      </c>
      <c r="L69" s="1">
        <v>1059</v>
      </c>
      <c r="M69" s="1">
        <v>0</v>
      </c>
      <c r="N69" s="1">
        <v>0</v>
      </c>
      <c r="O69" s="1">
        <v>190.62</v>
      </c>
      <c r="P69" s="1">
        <v>48</v>
      </c>
      <c r="Q69" s="1">
        <v>1297.6199999999999</v>
      </c>
      <c r="R69" s="1" t="s">
        <v>54</v>
      </c>
      <c r="S69" s="1" t="s">
        <v>63</v>
      </c>
      <c r="T69" s="1" t="s">
        <v>95</v>
      </c>
      <c r="U69" s="1" t="s">
        <v>96</v>
      </c>
      <c r="V69" s="1" t="s">
        <v>57</v>
      </c>
      <c r="W69" s="1">
        <v>5</v>
      </c>
      <c r="X69" s="1" t="s">
        <v>38</v>
      </c>
      <c r="Y69" s="1">
        <v>2</v>
      </c>
      <c r="Z69" s="1" t="s">
        <v>47</v>
      </c>
    </row>
    <row r="70" spans="1:26" x14ac:dyDescent="0.3">
      <c r="A70" s="1" t="s">
        <v>222</v>
      </c>
      <c r="B70" s="2">
        <v>45909</v>
      </c>
      <c r="C70" s="1" t="s">
        <v>223</v>
      </c>
      <c r="D70" s="1" t="s">
        <v>50</v>
      </c>
      <c r="E70" s="1" t="s">
        <v>29</v>
      </c>
      <c r="F70" s="1">
        <v>30</v>
      </c>
      <c r="G70" s="1" t="s">
        <v>99</v>
      </c>
      <c r="H70" s="1" t="s">
        <v>52</v>
      </c>
      <c r="I70" s="1" t="s">
        <v>99</v>
      </c>
      <c r="J70" s="1" t="s">
        <v>125</v>
      </c>
      <c r="K70" s="1">
        <v>4</v>
      </c>
      <c r="L70" s="1">
        <v>7089</v>
      </c>
      <c r="M70" s="1">
        <v>20</v>
      </c>
      <c r="N70" s="1">
        <v>5671.2</v>
      </c>
      <c r="O70" s="1">
        <v>4083.26</v>
      </c>
      <c r="P70" s="1">
        <v>403</v>
      </c>
      <c r="Q70" s="1">
        <v>27171.06</v>
      </c>
      <c r="R70" s="1" t="s">
        <v>33</v>
      </c>
      <c r="S70" s="1" t="s">
        <v>63</v>
      </c>
      <c r="T70" s="1" t="s">
        <v>103</v>
      </c>
      <c r="U70" s="1" t="s">
        <v>103</v>
      </c>
      <c r="V70" s="1" t="s">
        <v>57</v>
      </c>
      <c r="W70" s="1">
        <v>9</v>
      </c>
      <c r="X70" s="1" t="s">
        <v>47</v>
      </c>
      <c r="Y70" s="1">
        <v>2</v>
      </c>
      <c r="Z70" s="1" t="s">
        <v>39</v>
      </c>
    </row>
    <row r="71" spans="1:26" x14ac:dyDescent="0.3">
      <c r="A71" s="1" t="s">
        <v>224</v>
      </c>
      <c r="B71" s="2">
        <v>45905</v>
      </c>
      <c r="C71" s="1" t="s">
        <v>225</v>
      </c>
      <c r="D71" s="1" t="s">
        <v>66</v>
      </c>
      <c r="E71" s="1" t="s">
        <v>29</v>
      </c>
      <c r="F71" s="1">
        <v>55</v>
      </c>
      <c r="G71" s="1" t="s">
        <v>134</v>
      </c>
      <c r="H71" s="1" t="s">
        <v>31</v>
      </c>
      <c r="I71" s="1" t="s">
        <v>134</v>
      </c>
      <c r="J71" s="1" t="s">
        <v>201</v>
      </c>
      <c r="K71" s="1">
        <v>4</v>
      </c>
      <c r="L71" s="1">
        <v>11996</v>
      </c>
      <c r="M71" s="1">
        <v>5</v>
      </c>
      <c r="N71" s="1">
        <v>2399.1999999999998</v>
      </c>
      <c r="O71" s="1">
        <v>8205.26</v>
      </c>
      <c r="P71" s="1">
        <v>466</v>
      </c>
      <c r="Q71" s="1">
        <v>54256.06</v>
      </c>
      <c r="R71" s="1" t="s">
        <v>45</v>
      </c>
      <c r="S71" s="1" t="s">
        <v>34</v>
      </c>
      <c r="T71" s="1" t="s">
        <v>55</v>
      </c>
      <c r="U71" s="1" t="s">
        <v>56</v>
      </c>
      <c r="V71" s="1" t="s">
        <v>57</v>
      </c>
      <c r="W71" s="1">
        <v>4</v>
      </c>
      <c r="X71" s="1" t="s">
        <v>47</v>
      </c>
      <c r="Y71" s="1">
        <v>4</v>
      </c>
      <c r="Z71" s="1" t="s">
        <v>47</v>
      </c>
    </row>
    <row r="72" spans="1:26" x14ac:dyDescent="0.3">
      <c r="A72" s="1" t="s">
        <v>226</v>
      </c>
      <c r="B72" s="2">
        <v>45846</v>
      </c>
      <c r="C72" s="1" t="s">
        <v>227</v>
      </c>
      <c r="D72" s="1" t="s">
        <v>89</v>
      </c>
      <c r="E72" s="1" t="s">
        <v>43</v>
      </c>
      <c r="F72" s="1">
        <v>19</v>
      </c>
      <c r="G72" s="1" t="s">
        <v>51</v>
      </c>
      <c r="H72" s="1" t="s">
        <v>52</v>
      </c>
      <c r="I72" s="1" t="s">
        <v>51</v>
      </c>
      <c r="J72" s="1" t="s">
        <v>62</v>
      </c>
      <c r="K72" s="1">
        <v>1</v>
      </c>
      <c r="L72" s="1">
        <v>15786</v>
      </c>
      <c r="M72" s="1">
        <v>20</v>
      </c>
      <c r="N72" s="1">
        <v>3157.2</v>
      </c>
      <c r="O72" s="1">
        <v>2273.1799999999998</v>
      </c>
      <c r="P72" s="1">
        <v>268</v>
      </c>
      <c r="Q72" s="1">
        <v>15169.98</v>
      </c>
      <c r="R72" s="1" t="s">
        <v>45</v>
      </c>
      <c r="S72" s="1" t="s">
        <v>34</v>
      </c>
      <c r="T72" s="1" t="s">
        <v>70</v>
      </c>
      <c r="U72" s="1" t="s">
        <v>56</v>
      </c>
      <c r="V72" s="1" t="s">
        <v>57</v>
      </c>
      <c r="W72" s="1">
        <v>10</v>
      </c>
      <c r="X72" s="1" t="s">
        <v>38</v>
      </c>
      <c r="Y72" s="1">
        <v>5</v>
      </c>
      <c r="Z72" s="1" t="s">
        <v>39</v>
      </c>
    </row>
    <row r="73" spans="1:26" x14ac:dyDescent="0.3">
      <c r="A73" s="1" t="s">
        <v>228</v>
      </c>
      <c r="B73" s="2">
        <v>46061</v>
      </c>
      <c r="C73" s="1" t="s">
        <v>229</v>
      </c>
      <c r="D73" s="1" t="s">
        <v>73</v>
      </c>
      <c r="E73" s="1" t="s">
        <v>43</v>
      </c>
      <c r="F73" s="1">
        <v>26</v>
      </c>
      <c r="G73" s="1" t="s">
        <v>67</v>
      </c>
      <c r="H73" s="1" t="s">
        <v>68</v>
      </c>
      <c r="I73" s="1" t="s">
        <v>67</v>
      </c>
      <c r="J73" s="1" t="s">
        <v>69</v>
      </c>
      <c r="K73" s="1">
        <v>1</v>
      </c>
      <c r="L73" s="1">
        <v>16943</v>
      </c>
      <c r="M73" s="1">
        <v>15</v>
      </c>
      <c r="N73" s="1">
        <v>2541.4499999999998</v>
      </c>
      <c r="O73" s="1">
        <v>2592.2800000000002</v>
      </c>
      <c r="P73" s="1">
        <v>242</v>
      </c>
      <c r="Q73" s="1">
        <v>17235.830000000002</v>
      </c>
      <c r="R73" s="1" t="s">
        <v>83</v>
      </c>
      <c r="S73" s="1" t="s">
        <v>34</v>
      </c>
      <c r="T73" s="1" t="s">
        <v>84</v>
      </c>
      <c r="U73" s="1" t="s">
        <v>85</v>
      </c>
      <c r="V73" s="1" t="s">
        <v>86</v>
      </c>
      <c r="W73" s="1">
        <v>5</v>
      </c>
      <c r="X73" s="1" t="s">
        <v>38</v>
      </c>
      <c r="Y73" s="1">
        <v>2</v>
      </c>
      <c r="Z73" s="1" t="s">
        <v>39</v>
      </c>
    </row>
    <row r="74" spans="1:26" x14ac:dyDescent="0.3">
      <c r="A74" s="1" t="s">
        <v>230</v>
      </c>
      <c r="B74" s="2">
        <v>45975</v>
      </c>
      <c r="C74" s="1" t="s">
        <v>231</v>
      </c>
      <c r="D74" s="1" t="s">
        <v>50</v>
      </c>
      <c r="E74" s="1" t="s">
        <v>29</v>
      </c>
      <c r="F74" s="1">
        <v>31</v>
      </c>
      <c r="G74" s="1" t="s">
        <v>51</v>
      </c>
      <c r="H74" s="1" t="s">
        <v>52</v>
      </c>
      <c r="I74" s="1" t="s">
        <v>51</v>
      </c>
      <c r="J74" s="1" t="s">
        <v>125</v>
      </c>
      <c r="K74" s="1">
        <v>3</v>
      </c>
      <c r="L74" s="1">
        <v>810</v>
      </c>
      <c r="M74" s="1">
        <v>10</v>
      </c>
      <c r="N74" s="1">
        <v>243</v>
      </c>
      <c r="O74" s="1">
        <v>393.66</v>
      </c>
      <c r="P74" s="1">
        <v>202</v>
      </c>
      <c r="Q74" s="1">
        <v>2782.66</v>
      </c>
      <c r="R74" s="1" t="s">
        <v>45</v>
      </c>
      <c r="S74" s="1" t="s">
        <v>34</v>
      </c>
      <c r="T74" s="1" t="s">
        <v>35</v>
      </c>
      <c r="U74" s="1" t="s">
        <v>36</v>
      </c>
      <c r="V74" s="1" t="s">
        <v>37</v>
      </c>
      <c r="W74" s="1">
        <v>6</v>
      </c>
      <c r="X74" s="1" t="s">
        <v>38</v>
      </c>
      <c r="Y74" s="1">
        <v>5</v>
      </c>
      <c r="Z74" s="1" t="s">
        <v>58</v>
      </c>
    </row>
    <row r="75" spans="1:26" x14ac:dyDescent="0.3">
      <c r="A75" s="1" t="s">
        <v>232</v>
      </c>
      <c r="B75" s="2">
        <v>45953</v>
      </c>
      <c r="C75" s="1" t="s">
        <v>233</v>
      </c>
      <c r="D75" s="1" t="s">
        <v>28</v>
      </c>
      <c r="E75" s="1" t="s">
        <v>43</v>
      </c>
      <c r="F75" s="1">
        <v>26</v>
      </c>
      <c r="G75" s="1" t="s">
        <v>90</v>
      </c>
      <c r="H75" s="1" t="s">
        <v>31</v>
      </c>
      <c r="I75" s="1" t="s">
        <v>90</v>
      </c>
      <c r="J75" s="1" t="s">
        <v>62</v>
      </c>
      <c r="K75" s="1">
        <v>3</v>
      </c>
      <c r="L75" s="1">
        <v>22771</v>
      </c>
      <c r="M75" s="1">
        <v>15</v>
      </c>
      <c r="N75" s="1">
        <v>10246.950000000001</v>
      </c>
      <c r="O75" s="1">
        <v>10451.89</v>
      </c>
      <c r="P75" s="1">
        <v>196</v>
      </c>
      <c r="Q75" s="1">
        <v>68713.94</v>
      </c>
      <c r="R75" s="1" t="s">
        <v>83</v>
      </c>
      <c r="S75" s="1" t="s">
        <v>34</v>
      </c>
      <c r="T75" s="1" t="s">
        <v>35</v>
      </c>
      <c r="U75" s="1" t="s">
        <v>36</v>
      </c>
      <c r="V75" s="1" t="s">
        <v>37</v>
      </c>
      <c r="W75" s="1">
        <v>1</v>
      </c>
      <c r="X75" s="1" t="s">
        <v>47</v>
      </c>
      <c r="Y75" s="1">
        <v>2</v>
      </c>
      <c r="Z75" s="1" t="s">
        <v>47</v>
      </c>
    </row>
    <row r="76" spans="1:26" x14ac:dyDescent="0.3">
      <c r="A76" s="1" t="s">
        <v>234</v>
      </c>
      <c r="B76" s="2">
        <v>46034</v>
      </c>
      <c r="C76" s="1" t="s">
        <v>235</v>
      </c>
      <c r="D76" s="1" t="s">
        <v>66</v>
      </c>
      <c r="E76" s="1" t="s">
        <v>43</v>
      </c>
      <c r="F76" s="1">
        <v>27</v>
      </c>
      <c r="G76" s="1" t="s">
        <v>139</v>
      </c>
      <c r="H76" s="1" t="s">
        <v>31</v>
      </c>
      <c r="I76" s="1" t="s">
        <v>139</v>
      </c>
      <c r="J76" s="1" t="s">
        <v>75</v>
      </c>
      <c r="K76" s="1">
        <v>1</v>
      </c>
      <c r="L76" s="1">
        <v>49814</v>
      </c>
      <c r="M76" s="1">
        <v>15</v>
      </c>
      <c r="N76" s="1">
        <v>7472.1</v>
      </c>
      <c r="O76" s="1">
        <v>7621.54</v>
      </c>
      <c r="P76" s="1">
        <v>331</v>
      </c>
      <c r="Q76" s="1">
        <v>50294.44</v>
      </c>
      <c r="R76" s="1" t="s">
        <v>45</v>
      </c>
      <c r="S76" s="1" t="s">
        <v>63</v>
      </c>
      <c r="T76" s="1" t="s">
        <v>103</v>
      </c>
      <c r="U76" s="1" t="s">
        <v>103</v>
      </c>
      <c r="V76" s="1" t="s">
        <v>57</v>
      </c>
      <c r="W76" s="1">
        <v>10</v>
      </c>
      <c r="X76" s="1" t="s">
        <v>47</v>
      </c>
      <c r="Y76" s="1">
        <v>4</v>
      </c>
      <c r="Z76" s="1" t="s">
        <v>47</v>
      </c>
    </row>
    <row r="77" spans="1:26" x14ac:dyDescent="0.3">
      <c r="A77" s="1" t="s">
        <v>236</v>
      </c>
      <c r="B77" s="2">
        <v>45873</v>
      </c>
      <c r="C77" s="1" t="s">
        <v>237</v>
      </c>
      <c r="D77" s="1" t="s">
        <v>28</v>
      </c>
      <c r="E77" s="1" t="s">
        <v>29</v>
      </c>
      <c r="F77" s="1">
        <v>24</v>
      </c>
      <c r="G77" s="1" t="s">
        <v>51</v>
      </c>
      <c r="H77" s="1" t="s">
        <v>52</v>
      </c>
      <c r="I77" s="1" t="s">
        <v>51</v>
      </c>
      <c r="J77" s="1" t="s">
        <v>75</v>
      </c>
      <c r="K77" s="1">
        <v>2</v>
      </c>
      <c r="L77" s="1">
        <v>17710</v>
      </c>
      <c r="M77" s="1">
        <v>20</v>
      </c>
      <c r="N77" s="1">
        <v>7084</v>
      </c>
      <c r="O77" s="1">
        <v>5100.4799999999996</v>
      </c>
      <c r="P77" s="1">
        <v>267</v>
      </c>
      <c r="Q77" s="1">
        <v>33703.480000000003</v>
      </c>
      <c r="R77" s="1" t="s">
        <v>33</v>
      </c>
      <c r="S77" s="1" t="s">
        <v>34</v>
      </c>
      <c r="T77" s="1" t="s">
        <v>46</v>
      </c>
      <c r="U77" s="1" t="s">
        <v>36</v>
      </c>
      <c r="V77" s="1" t="s">
        <v>37</v>
      </c>
      <c r="W77" s="1">
        <v>1</v>
      </c>
      <c r="X77" s="1" t="s">
        <v>38</v>
      </c>
      <c r="Y77" s="1">
        <v>1</v>
      </c>
      <c r="Z77" s="1" t="s">
        <v>58</v>
      </c>
    </row>
    <row r="78" spans="1:26" x14ac:dyDescent="0.3">
      <c r="A78" s="1" t="s">
        <v>238</v>
      </c>
      <c r="B78" s="2">
        <v>45943</v>
      </c>
      <c r="C78" s="1" t="s">
        <v>239</v>
      </c>
      <c r="D78" s="1" t="s">
        <v>108</v>
      </c>
      <c r="E78" s="1" t="s">
        <v>29</v>
      </c>
      <c r="F78" s="1">
        <v>45</v>
      </c>
      <c r="G78" s="1" t="s">
        <v>44</v>
      </c>
      <c r="H78" s="1" t="s">
        <v>31</v>
      </c>
      <c r="I78" s="1" t="s">
        <v>44</v>
      </c>
      <c r="J78" s="1" t="s">
        <v>69</v>
      </c>
      <c r="K78" s="1">
        <v>5</v>
      </c>
      <c r="L78" s="1">
        <v>24572</v>
      </c>
      <c r="M78" s="1">
        <v>10</v>
      </c>
      <c r="N78" s="1">
        <v>12286</v>
      </c>
      <c r="O78" s="1">
        <v>19903.32</v>
      </c>
      <c r="P78" s="1">
        <v>152</v>
      </c>
      <c r="Q78" s="1">
        <v>130629.32</v>
      </c>
      <c r="R78" s="1" t="s">
        <v>83</v>
      </c>
      <c r="S78" s="1" t="s">
        <v>34</v>
      </c>
      <c r="T78" s="1" t="s">
        <v>95</v>
      </c>
      <c r="U78" s="1" t="s">
        <v>96</v>
      </c>
      <c r="V78" s="1" t="s">
        <v>57</v>
      </c>
      <c r="W78" s="1">
        <v>5</v>
      </c>
      <c r="X78" s="1" t="s">
        <v>47</v>
      </c>
      <c r="Y78" s="1">
        <v>5</v>
      </c>
      <c r="Z78" s="1" t="s">
        <v>91</v>
      </c>
    </row>
    <row r="79" spans="1:26" x14ac:dyDescent="0.3">
      <c r="A79" s="1" t="s">
        <v>240</v>
      </c>
      <c r="B79" s="2">
        <v>45879</v>
      </c>
      <c r="C79" s="1" t="s">
        <v>241</v>
      </c>
      <c r="D79" s="1" t="s">
        <v>66</v>
      </c>
      <c r="E79" s="1" t="s">
        <v>29</v>
      </c>
      <c r="F79" s="1">
        <v>47</v>
      </c>
      <c r="G79" s="1" t="s">
        <v>44</v>
      </c>
      <c r="H79" s="1" t="s">
        <v>31</v>
      </c>
      <c r="I79" s="1" t="s">
        <v>44</v>
      </c>
      <c r="J79" s="1" t="s">
        <v>62</v>
      </c>
      <c r="K79" s="1">
        <v>3</v>
      </c>
      <c r="L79" s="1">
        <v>49144</v>
      </c>
      <c r="M79" s="1">
        <v>15</v>
      </c>
      <c r="N79" s="1">
        <v>22114.799999999999</v>
      </c>
      <c r="O79" s="1">
        <v>22557.1</v>
      </c>
      <c r="P79" s="1">
        <v>324</v>
      </c>
      <c r="Q79" s="1">
        <v>148198.29999999999</v>
      </c>
      <c r="R79" s="1" t="s">
        <v>45</v>
      </c>
      <c r="S79" s="1" t="s">
        <v>34</v>
      </c>
      <c r="T79" s="1" t="s">
        <v>103</v>
      </c>
      <c r="U79" s="1" t="s">
        <v>103</v>
      </c>
      <c r="V79" s="1" t="s">
        <v>57</v>
      </c>
      <c r="W79" s="1">
        <v>2</v>
      </c>
      <c r="X79" s="1" t="s">
        <v>47</v>
      </c>
      <c r="Y79" s="1">
        <v>4</v>
      </c>
      <c r="Z79" s="1" t="s">
        <v>58</v>
      </c>
    </row>
    <row r="80" spans="1:26" x14ac:dyDescent="0.3">
      <c r="A80" s="1" t="s">
        <v>242</v>
      </c>
      <c r="B80" s="2">
        <v>45847</v>
      </c>
      <c r="C80" s="1" t="s">
        <v>243</v>
      </c>
      <c r="D80" s="1" t="s">
        <v>73</v>
      </c>
      <c r="E80" s="1" t="s">
        <v>29</v>
      </c>
      <c r="F80" s="1">
        <v>56</v>
      </c>
      <c r="G80" s="1" t="s">
        <v>74</v>
      </c>
      <c r="H80" s="1" t="s">
        <v>31</v>
      </c>
      <c r="I80" s="1" t="s">
        <v>74</v>
      </c>
      <c r="J80" s="1" t="s">
        <v>69</v>
      </c>
      <c r="K80" s="1">
        <v>3</v>
      </c>
      <c r="L80" s="1">
        <v>38503</v>
      </c>
      <c r="M80" s="1">
        <v>15</v>
      </c>
      <c r="N80" s="1">
        <v>17326.349999999999</v>
      </c>
      <c r="O80" s="1">
        <v>17672.88</v>
      </c>
      <c r="P80" s="1">
        <v>380</v>
      </c>
      <c r="Q80" s="1">
        <v>116235.53</v>
      </c>
      <c r="R80" s="1" t="s">
        <v>33</v>
      </c>
      <c r="S80" s="1" t="s">
        <v>63</v>
      </c>
      <c r="T80" s="1" t="s">
        <v>76</v>
      </c>
      <c r="U80" s="1" t="s">
        <v>77</v>
      </c>
      <c r="V80" s="1" t="s">
        <v>57</v>
      </c>
      <c r="W80" s="1">
        <v>7</v>
      </c>
      <c r="X80" s="1" t="s">
        <v>38</v>
      </c>
      <c r="Y80" s="1">
        <v>5</v>
      </c>
      <c r="Z80" s="1" t="s">
        <v>47</v>
      </c>
    </row>
    <row r="81" spans="1:26" x14ac:dyDescent="0.3">
      <c r="A81" s="1" t="s">
        <v>244</v>
      </c>
      <c r="B81" s="2">
        <v>45804</v>
      </c>
      <c r="C81" s="1" t="s">
        <v>245</v>
      </c>
      <c r="D81" s="1" t="s">
        <v>73</v>
      </c>
      <c r="E81" s="1" t="s">
        <v>29</v>
      </c>
      <c r="F81" s="1">
        <v>28</v>
      </c>
      <c r="G81" s="1" t="s">
        <v>90</v>
      </c>
      <c r="H81" s="1" t="s">
        <v>31</v>
      </c>
      <c r="I81" s="1" t="s">
        <v>90</v>
      </c>
      <c r="J81" s="1" t="s">
        <v>125</v>
      </c>
      <c r="K81" s="1">
        <v>5</v>
      </c>
      <c r="L81" s="1">
        <v>39230</v>
      </c>
      <c r="M81" s="1">
        <v>20</v>
      </c>
      <c r="N81" s="1">
        <v>39230</v>
      </c>
      <c r="O81" s="1">
        <v>28245.599999999999</v>
      </c>
      <c r="P81" s="1">
        <v>225</v>
      </c>
      <c r="Q81" s="1">
        <v>185390.6</v>
      </c>
      <c r="R81" s="1" t="s">
        <v>83</v>
      </c>
      <c r="S81" s="1" t="s">
        <v>34</v>
      </c>
      <c r="T81" s="1" t="s">
        <v>55</v>
      </c>
      <c r="U81" s="1" t="s">
        <v>56</v>
      </c>
      <c r="V81" s="1" t="s">
        <v>57</v>
      </c>
      <c r="W81" s="1">
        <v>4</v>
      </c>
      <c r="X81" s="1" t="s">
        <v>47</v>
      </c>
      <c r="Y81" s="1">
        <v>2</v>
      </c>
      <c r="Z81" s="1" t="s">
        <v>91</v>
      </c>
    </row>
    <row r="82" spans="1:26" x14ac:dyDescent="0.3">
      <c r="A82" s="1" t="s">
        <v>246</v>
      </c>
      <c r="B82" s="2">
        <v>45965</v>
      </c>
      <c r="C82" s="1" t="s">
        <v>247</v>
      </c>
      <c r="D82" s="1" t="s">
        <v>61</v>
      </c>
      <c r="E82" s="1" t="s">
        <v>29</v>
      </c>
      <c r="F82" s="1">
        <v>43</v>
      </c>
      <c r="G82" s="1" t="s">
        <v>99</v>
      </c>
      <c r="H82" s="1" t="s">
        <v>52</v>
      </c>
      <c r="I82" s="1" t="s">
        <v>99</v>
      </c>
      <c r="J82" s="1" t="s">
        <v>62</v>
      </c>
      <c r="K82" s="1">
        <v>5</v>
      </c>
      <c r="L82" s="1">
        <v>2002</v>
      </c>
      <c r="M82" s="1">
        <v>5</v>
      </c>
      <c r="N82" s="1">
        <v>500.5</v>
      </c>
      <c r="O82" s="1">
        <v>1711.71</v>
      </c>
      <c r="P82" s="1">
        <v>358</v>
      </c>
      <c r="Q82" s="1">
        <v>11579.21</v>
      </c>
      <c r="R82" s="1" t="s">
        <v>54</v>
      </c>
      <c r="S82" s="1" t="s">
        <v>34</v>
      </c>
      <c r="T82" s="1" t="s">
        <v>35</v>
      </c>
      <c r="U82" s="1" t="s">
        <v>36</v>
      </c>
      <c r="V82" s="1" t="s">
        <v>37</v>
      </c>
      <c r="W82" s="1">
        <v>3</v>
      </c>
      <c r="X82" s="1" t="s">
        <v>38</v>
      </c>
      <c r="Y82" s="1">
        <v>4</v>
      </c>
      <c r="Z82" s="1" t="s">
        <v>58</v>
      </c>
    </row>
    <row r="83" spans="1:26" x14ac:dyDescent="0.3">
      <c r="A83" s="1" t="s">
        <v>248</v>
      </c>
      <c r="B83" s="2">
        <v>45886</v>
      </c>
      <c r="C83" s="1" t="s">
        <v>249</v>
      </c>
      <c r="D83" s="1" t="s">
        <v>111</v>
      </c>
      <c r="E83" s="1" t="s">
        <v>43</v>
      </c>
      <c r="F83" s="1">
        <v>19</v>
      </c>
      <c r="G83" s="1" t="s">
        <v>44</v>
      </c>
      <c r="H83" s="1" t="s">
        <v>31</v>
      </c>
      <c r="I83" s="1" t="s">
        <v>44</v>
      </c>
      <c r="J83" s="1" t="s">
        <v>201</v>
      </c>
      <c r="K83" s="1">
        <v>2</v>
      </c>
      <c r="L83" s="1">
        <v>44220</v>
      </c>
      <c r="M83" s="1">
        <v>15</v>
      </c>
      <c r="N83" s="1">
        <v>13266</v>
      </c>
      <c r="O83" s="1">
        <v>13531.32</v>
      </c>
      <c r="P83" s="1">
        <v>258</v>
      </c>
      <c r="Q83" s="1">
        <v>88963.32</v>
      </c>
      <c r="R83" s="1" t="s">
        <v>54</v>
      </c>
      <c r="S83" s="1" t="s">
        <v>63</v>
      </c>
      <c r="T83" s="1" t="s">
        <v>46</v>
      </c>
      <c r="U83" s="1" t="s">
        <v>36</v>
      </c>
      <c r="V83" s="1" t="s">
        <v>37</v>
      </c>
      <c r="W83" s="1">
        <v>7</v>
      </c>
      <c r="X83" s="1" t="s">
        <v>47</v>
      </c>
      <c r="Y83" s="1">
        <v>2</v>
      </c>
      <c r="Z83" s="1" t="s">
        <v>47</v>
      </c>
    </row>
    <row r="84" spans="1:26" x14ac:dyDescent="0.3">
      <c r="A84" s="1" t="s">
        <v>250</v>
      </c>
      <c r="B84" s="2">
        <v>45857</v>
      </c>
      <c r="C84" s="1" t="s">
        <v>251</v>
      </c>
      <c r="D84" s="1" t="s">
        <v>89</v>
      </c>
      <c r="E84" s="1" t="s">
        <v>29</v>
      </c>
      <c r="F84" s="1">
        <v>39</v>
      </c>
      <c r="G84" s="1" t="s">
        <v>90</v>
      </c>
      <c r="H84" s="1" t="s">
        <v>31</v>
      </c>
      <c r="I84" s="1" t="s">
        <v>90</v>
      </c>
      <c r="J84" s="1" t="s">
        <v>150</v>
      </c>
      <c r="K84" s="1">
        <v>1</v>
      </c>
      <c r="L84" s="1">
        <v>41458</v>
      </c>
      <c r="M84" s="1">
        <v>10</v>
      </c>
      <c r="N84" s="1">
        <v>4145.8</v>
      </c>
      <c r="O84" s="1">
        <v>6716.2</v>
      </c>
      <c r="P84" s="1">
        <v>255</v>
      </c>
      <c r="Q84" s="1">
        <v>44283.4</v>
      </c>
      <c r="R84" s="1" t="s">
        <v>54</v>
      </c>
      <c r="S84" s="1" t="s">
        <v>34</v>
      </c>
      <c r="T84" s="1" t="s">
        <v>84</v>
      </c>
      <c r="U84" s="1" t="s">
        <v>85</v>
      </c>
      <c r="V84" s="1" t="s">
        <v>86</v>
      </c>
      <c r="W84" s="1">
        <v>9</v>
      </c>
      <c r="X84" s="1" t="s">
        <v>47</v>
      </c>
      <c r="Y84" s="1">
        <v>2</v>
      </c>
      <c r="Z84" s="1" t="s">
        <v>47</v>
      </c>
    </row>
    <row r="85" spans="1:26" x14ac:dyDescent="0.3">
      <c r="A85" s="1" t="s">
        <v>252</v>
      </c>
      <c r="B85" s="2">
        <v>46114</v>
      </c>
      <c r="C85" s="1" t="s">
        <v>253</v>
      </c>
      <c r="D85" s="1" t="s">
        <v>28</v>
      </c>
      <c r="E85" s="1" t="s">
        <v>43</v>
      </c>
      <c r="F85" s="1">
        <v>28</v>
      </c>
      <c r="G85" s="1" t="s">
        <v>134</v>
      </c>
      <c r="H85" s="1" t="s">
        <v>31</v>
      </c>
      <c r="I85" s="1" t="s">
        <v>134</v>
      </c>
      <c r="J85" s="1" t="s">
        <v>102</v>
      </c>
      <c r="K85" s="1">
        <v>4</v>
      </c>
      <c r="L85" s="1">
        <v>15002</v>
      </c>
      <c r="M85" s="1">
        <v>20</v>
      </c>
      <c r="N85" s="1">
        <v>12001.6</v>
      </c>
      <c r="O85" s="1">
        <v>8641.15</v>
      </c>
      <c r="P85" s="1">
        <v>259</v>
      </c>
      <c r="Q85" s="1">
        <v>56906.55</v>
      </c>
      <c r="R85" s="1" t="s">
        <v>33</v>
      </c>
      <c r="S85" s="1" t="s">
        <v>63</v>
      </c>
      <c r="T85" s="1" t="s">
        <v>84</v>
      </c>
      <c r="U85" s="1" t="s">
        <v>85</v>
      </c>
      <c r="V85" s="1" t="s">
        <v>86</v>
      </c>
      <c r="W85" s="1">
        <v>1</v>
      </c>
      <c r="X85" s="1" t="s">
        <v>38</v>
      </c>
      <c r="Y85" s="1">
        <v>3</v>
      </c>
      <c r="Z85" s="1" t="s">
        <v>91</v>
      </c>
    </row>
    <row r="86" spans="1:26" x14ac:dyDescent="0.3">
      <c r="A86" s="1" t="s">
        <v>254</v>
      </c>
      <c r="B86" s="2">
        <v>45908</v>
      </c>
      <c r="C86" s="1" t="s">
        <v>255</v>
      </c>
      <c r="D86" s="1" t="s">
        <v>89</v>
      </c>
      <c r="E86" s="1" t="s">
        <v>43</v>
      </c>
      <c r="F86" s="1">
        <v>29</v>
      </c>
      <c r="G86" s="1" t="s">
        <v>90</v>
      </c>
      <c r="H86" s="1" t="s">
        <v>31</v>
      </c>
      <c r="I86" s="1" t="s">
        <v>90</v>
      </c>
      <c r="J86" s="1" t="s">
        <v>32</v>
      </c>
      <c r="K86" s="1">
        <v>3</v>
      </c>
      <c r="L86" s="1">
        <v>27664</v>
      </c>
      <c r="M86" s="1">
        <v>10</v>
      </c>
      <c r="N86" s="1">
        <v>8299.2000000000007</v>
      </c>
      <c r="O86" s="1">
        <v>13444.7</v>
      </c>
      <c r="P86" s="1">
        <v>52</v>
      </c>
      <c r="Q86" s="1">
        <v>88189.5</v>
      </c>
      <c r="R86" s="1" t="s">
        <v>54</v>
      </c>
      <c r="S86" s="1" t="s">
        <v>34</v>
      </c>
      <c r="T86" s="1" t="s">
        <v>55</v>
      </c>
      <c r="U86" s="1" t="s">
        <v>56</v>
      </c>
      <c r="V86" s="1" t="s">
        <v>57</v>
      </c>
      <c r="W86" s="1">
        <v>4</v>
      </c>
      <c r="X86" s="1" t="s">
        <v>47</v>
      </c>
      <c r="Y86" s="1">
        <v>3</v>
      </c>
      <c r="Z86" s="1" t="s">
        <v>58</v>
      </c>
    </row>
    <row r="87" spans="1:26" x14ac:dyDescent="0.3">
      <c r="A87" s="1" t="s">
        <v>256</v>
      </c>
      <c r="B87" s="2">
        <v>45809</v>
      </c>
      <c r="C87" s="1" t="s">
        <v>257</v>
      </c>
      <c r="D87" s="1" t="s">
        <v>28</v>
      </c>
      <c r="E87" s="1" t="s">
        <v>29</v>
      </c>
      <c r="F87" s="1">
        <v>23</v>
      </c>
      <c r="G87" s="1" t="s">
        <v>74</v>
      </c>
      <c r="H87" s="1" t="s">
        <v>31</v>
      </c>
      <c r="I87" s="1" t="s">
        <v>74</v>
      </c>
      <c r="J87" s="1" t="s">
        <v>53</v>
      </c>
      <c r="K87" s="1">
        <v>1</v>
      </c>
      <c r="L87" s="1">
        <v>23710</v>
      </c>
      <c r="M87" s="1">
        <v>5</v>
      </c>
      <c r="N87" s="1">
        <v>1185.5</v>
      </c>
      <c r="O87" s="1">
        <v>4054.41</v>
      </c>
      <c r="P87" s="1">
        <v>33</v>
      </c>
      <c r="Q87" s="1">
        <v>26611.91</v>
      </c>
      <c r="R87" s="1" t="s">
        <v>83</v>
      </c>
      <c r="S87" s="1" t="s">
        <v>63</v>
      </c>
      <c r="T87" s="1" t="s">
        <v>46</v>
      </c>
      <c r="U87" s="1" t="s">
        <v>36</v>
      </c>
      <c r="V87" s="1" t="s">
        <v>37</v>
      </c>
      <c r="W87" s="1">
        <v>1</v>
      </c>
      <c r="X87" s="1" t="s">
        <v>38</v>
      </c>
      <c r="Y87" s="1">
        <v>1</v>
      </c>
      <c r="Z87" s="1" t="s">
        <v>58</v>
      </c>
    </row>
    <row r="88" spans="1:26" x14ac:dyDescent="0.3">
      <c r="A88" s="1" t="s">
        <v>258</v>
      </c>
      <c r="B88" s="2">
        <v>45761</v>
      </c>
      <c r="C88" s="1" t="s">
        <v>259</v>
      </c>
      <c r="D88" s="1" t="s">
        <v>61</v>
      </c>
      <c r="E88" s="1" t="s">
        <v>29</v>
      </c>
      <c r="F88" s="1">
        <v>50</v>
      </c>
      <c r="G88" s="1" t="s">
        <v>134</v>
      </c>
      <c r="H88" s="1" t="s">
        <v>31</v>
      </c>
      <c r="I88" s="1" t="s">
        <v>134</v>
      </c>
      <c r="J88" s="1" t="s">
        <v>62</v>
      </c>
      <c r="K88" s="1">
        <v>5</v>
      </c>
      <c r="L88" s="1">
        <v>2722</v>
      </c>
      <c r="M88" s="1">
        <v>5</v>
      </c>
      <c r="N88" s="1">
        <v>680.5</v>
      </c>
      <c r="O88" s="1">
        <v>2327.31</v>
      </c>
      <c r="P88" s="1">
        <v>444</v>
      </c>
      <c r="Q88" s="1">
        <v>15700.81</v>
      </c>
      <c r="R88" s="1" t="s">
        <v>45</v>
      </c>
      <c r="S88" s="1" t="s">
        <v>34</v>
      </c>
      <c r="T88" s="1" t="s">
        <v>46</v>
      </c>
      <c r="U88" s="1" t="s">
        <v>36</v>
      </c>
      <c r="V88" s="1" t="s">
        <v>37</v>
      </c>
      <c r="W88" s="1">
        <v>3</v>
      </c>
      <c r="X88" s="1" t="s">
        <v>47</v>
      </c>
      <c r="Y88" s="1">
        <v>1</v>
      </c>
      <c r="Z88" s="1" t="s">
        <v>58</v>
      </c>
    </row>
    <row r="89" spans="1:26" x14ac:dyDescent="0.3">
      <c r="A89" s="1" t="s">
        <v>260</v>
      </c>
      <c r="B89" s="2">
        <v>46061</v>
      </c>
      <c r="C89" s="1" t="s">
        <v>245</v>
      </c>
      <c r="D89" s="1" t="s">
        <v>66</v>
      </c>
      <c r="E89" s="1" t="s">
        <v>43</v>
      </c>
      <c r="F89" s="1">
        <v>53</v>
      </c>
      <c r="G89" s="1" t="s">
        <v>74</v>
      </c>
      <c r="H89" s="1" t="s">
        <v>31</v>
      </c>
      <c r="I89" s="1" t="s">
        <v>74</v>
      </c>
      <c r="J89" s="1" t="s">
        <v>125</v>
      </c>
      <c r="K89" s="1">
        <v>3</v>
      </c>
      <c r="L89" s="1">
        <v>26078</v>
      </c>
      <c r="M89" s="1">
        <v>10</v>
      </c>
      <c r="N89" s="1">
        <v>7823.4</v>
      </c>
      <c r="O89" s="1">
        <v>12673.91</v>
      </c>
      <c r="P89" s="1">
        <v>236</v>
      </c>
      <c r="Q89" s="1">
        <v>83320.509999999995</v>
      </c>
      <c r="R89" s="1" t="s">
        <v>45</v>
      </c>
      <c r="S89" s="1" t="s">
        <v>34</v>
      </c>
      <c r="T89" s="1" t="s">
        <v>46</v>
      </c>
      <c r="U89" s="1" t="s">
        <v>36</v>
      </c>
      <c r="V89" s="1" t="s">
        <v>37</v>
      </c>
      <c r="W89" s="1">
        <v>5</v>
      </c>
      <c r="X89" s="1" t="s">
        <v>47</v>
      </c>
      <c r="Y89" s="1">
        <v>5</v>
      </c>
      <c r="Z89" s="1" t="s">
        <v>58</v>
      </c>
    </row>
    <row r="90" spans="1:26" x14ac:dyDescent="0.3">
      <c r="A90" s="1" t="s">
        <v>261</v>
      </c>
      <c r="B90" s="2">
        <v>46053</v>
      </c>
      <c r="C90" s="1" t="s">
        <v>262</v>
      </c>
      <c r="D90" s="1" t="s">
        <v>61</v>
      </c>
      <c r="E90" s="1" t="s">
        <v>29</v>
      </c>
      <c r="F90" s="1">
        <v>56</v>
      </c>
      <c r="G90" s="1" t="s">
        <v>30</v>
      </c>
      <c r="H90" s="1" t="s">
        <v>31</v>
      </c>
      <c r="I90" s="1" t="s">
        <v>30</v>
      </c>
      <c r="J90" s="1" t="s">
        <v>75</v>
      </c>
      <c r="K90" s="1">
        <v>3</v>
      </c>
      <c r="L90" s="1">
        <v>15789</v>
      </c>
      <c r="M90" s="1">
        <v>15</v>
      </c>
      <c r="N90" s="1">
        <v>7105.05</v>
      </c>
      <c r="O90" s="1">
        <v>7247.15</v>
      </c>
      <c r="P90" s="1">
        <v>301</v>
      </c>
      <c r="Q90" s="1">
        <v>47810.1</v>
      </c>
      <c r="R90" s="1" t="s">
        <v>83</v>
      </c>
      <c r="S90" s="1" t="s">
        <v>34</v>
      </c>
      <c r="T90" s="1" t="s">
        <v>103</v>
      </c>
      <c r="U90" s="1" t="s">
        <v>103</v>
      </c>
      <c r="V90" s="1" t="s">
        <v>57</v>
      </c>
      <c r="W90" s="1">
        <v>4</v>
      </c>
      <c r="X90" s="1" t="s">
        <v>38</v>
      </c>
      <c r="Y90" s="1">
        <v>3</v>
      </c>
      <c r="Z90" s="1" t="s">
        <v>47</v>
      </c>
    </row>
    <row r="91" spans="1:26" x14ac:dyDescent="0.3">
      <c r="A91" s="1" t="s">
        <v>263</v>
      </c>
      <c r="B91" s="2">
        <v>45968</v>
      </c>
      <c r="C91" s="1" t="s">
        <v>264</v>
      </c>
      <c r="D91" s="1" t="s">
        <v>28</v>
      </c>
      <c r="E91" s="1" t="s">
        <v>29</v>
      </c>
      <c r="F91" s="1">
        <v>32</v>
      </c>
      <c r="G91" s="1" t="s">
        <v>139</v>
      </c>
      <c r="H91" s="1" t="s">
        <v>31</v>
      </c>
      <c r="I91" s="1" t="s">
        <v>139</v>
      </c>
      <c r="J91" s="1" t="s">
        <v>125</v>
      </c>
      <c r="K91" s="1">
        <v>2</v>
      </c>
      <c r="L91" s="1">
        <v>23965</v>
      </c>
      <c r="M91" s="1">
        <v>20</v>
      </c>
      <c r="N91" s="1">
        <v>9586</v>
      </c>
      <c r="O91" s="1">
        <v>6901.92</v>
      </c>
      <c r="P91" s="1">
        <v>167</v>
      </c>
      <c r="Q91" s="1">
        <v>45412.92</v>
      </c>
      <c r="R91" s="1" t="s">
        <v>83</v>
      </c>
      <c r="S91" s="1" t="s">
        <v>63</v>
      </c>
      <c r="T91" s="1" t="s">
        <v>76</v>
      </c>
      <c r="U91" s="1" t="s">
        <v>77</v>
      </c>
      <c r="V91" s="1" t="s">
        <v>57</v>
      </c>
      <c r="W91" s="1">
        <v>1</v>
      </c>
      <c r="X91" s="1" t="s">
        <v>47</v>
      </c>
      <c r="Y91" s="1">
        <v>1</v>
      </c>
      <c r="Z91" s="1" t="s">
        <v>47</v>
      </c>
    </row>
    <row r="92" spans="1:26" x14ac:dyDescent="0.3">
      <c r="A92" s="1" t="s">
        <v>265</v>
      </c>
      <c r="B92" s="2">
        <v>45897</v>
      </c>
      <c r="C92" s="1" t="s">
        <v>266</v>
      </c>
      <c r="D92" s="1" t="s">
        <v>73</v>
      </c>
      <c r="E92" s="1" t="s">
        <v>43</v>
      </c>
      <c r="F92" s="1">
        <v>34</v>
      </c>
      <c r="G92" s="1" t="s">
        <v>99</v>
      </c>
      <c r="H92" s="1" t="s">
        <v>52</v>
      </c>
      <c r="I92" s="1" t="s">
        <v>99</v>
      </c>
      <c r="J92" s="1" t="s">
        <v>69</v>
      </c>
      <c r="K92" s="1">
        <v>1</v>
      </c>
      <c r="L92" s="1">
        <v>29036</v>
      </c>
      <c r="M92" s="1">
        <v>10</v>
      </c>
      <c r="N92" s="1">
        <v>2903.6</v>
      </c>
      <c r="O92" s="1">
        <v>4703.83</v>
      </c>
      <c r="P92" s="1">
        <v>336</v>
      </c>
      <c r="Q92" s="1">
        <v>31172.23</v>
      </c>
      <c r="R92" s="1" t="s">
        <v>45</v>
      </c>
      <c r="S92" s="1" t="s">
        <v>63</v>
      </c>
      <c r="T92" s="1" t="s">
        <v>103</v>
      </c>
      <c r="U92" s="1" t="s">
        <v>103</v>
      </c>
      <c r="V92" s="1" t="s">
        <v>57</v>
      </c>
      <c r="W92" s="1">
        <v>7</v>
      </c>
      <c r="X92" s="1" t="s">
        <v>47</v>
      </c>
      <c r="Y92" s="1">
        <v>2</v>
      </c>
      <c r="Z92" s="1" t="s">
        <v>39</v>
      </c>
    </row>
    <row r="93" spans="1:26" x14ac:dyDescent="0.3">
      <c r="A93" s="1" t="s">
        <v>267</v>
      </c>
      <c r="B93" s="2">
        <v>45867</v>
      </c>
      <c r="C93" s="1" t="s">
        <v>268</v>
      </c>
      <c r="D93" s="1" t="s">
        <v>66</v>
      </c>
      <c r="E93" s="1" t="s">
        <v>29</v>
      </c>
      <c r="F93" s="1">
        <v>55</v>
      </c>
      <c r="G93" s="1" t="s">
        <v>90</v>
      </c>
      <c r="H93" s="1" t="s">
        <v>31</v>
      </c>
      <c r="I93" s="1" t="s">
        <v>90</v>
      </c>
      <c r="J93" s="1" t="s">
        <v>201</v>
      </c>
      <c r="K93" s="1">
        <v>4</v>
      </c>
      <c r="L93" s="1">
        <v>24259</v>
      </c>
      <c r="M93" s="1">
        <v>20</v>
      </c>
      <c r="N93" s="1">
        <v>19407.2</v>
      </c>
      <c r="O93" s="1">
        <v>13973.18</v>
      </c>
      <c r="P93" s="1">
        <v>445</v>
      </c>
      <c r="Q93" s="1">
        <v>92046.98</v>
      </c>
      <c r="R93" s="1" t="s">
        <v>45</v>
      </c>
      <c r="S93" s="1" t="s">
        <v>63</v>
      </c>
      <c r="T93" s="1" t="s">
        <v>46</v>
      </c>
      <c r="U93" s="1" t="s">
        <v>36</v>
      </c>
      <c r="V93" s="1" t="s">
        <v>37</v>
      </c>
      <c r="W93" s="1">
        <v>1</v>
      </c>
      <c r="X93" s="1" t="s">
        <v>38</v>
      </c>
      <c r="Y93" s="1">
        <v>5</v>
      </c>
      <c r="Z93" s="1" t="s">
        <v>91</v>
      </c>
    </row>
    <row r="94" spans="1:26" x14ac:dyDescent="0.3">
      <c r="A94" s="1" t="s">
        <v>269</v>
      </c>
      <c r="B94" s="2">
        <v>45865</v>
      </c>
      <c r="C94" s="1" t="s">
        <v>270</v>
      </c>
      <c r="D94" s="1" t="s">
        <v>28</v>
      </c>
      <c r="E94" s="1" t="s">
        <v>43</v>
      </c>
      <c r="F94" s="1">
        <v>55</v>
      </c>
      <c r="G94" s="1" t="s">
        <v>30</v>
      </c>
      <c r="H94" s="1" t="s">
        <v>31</v>
      </c>
      <c r="I94" s="1" t="s">
        <v>30</v>
      </c>
      <c r="J94" s="1" t="s">
        <v>53</v>
      </c>
      <c r="K94" s="1">
        <v>4</v>
      </c>
      <c r="L94" s="1">
        <v>27999</v>
      </c>
      <c r="M94" s="1">
        <v>0</v>
      </c>
      <c r="N94" s="1">
        <v>0</v>
      </c>
      <c r="O94" s="1">
        <v>20159.28</v>
      </c>
      <c r="P94" s="1">
        <v>169</v>
      </c>
      <c r="Q94" s="1">
        <v>132324.28</v>
      </c>
      <c r="R94" s="1" t="s">
        <v>33</v>
      </c>
      <c r="S94" s="1" t="s">
        <v>63</v>
      </c>
      <c r="T94" s="1" t="s">
        <v>84</v>
      </c>
      <c r="U94" s="1" t="s">
        <v>85</v>
      </c>
      <c r="V94" s="1" t="s">
        <v>86</v>
      </c>
      <c r="W94" s="1">
        <v>8</v>
      </c>
      <c r="X94" s="1" t="s">
        <v>47</v>
      </c>
      <c r="Y94" s="1">
        <v>2</v>
      </c>
      <c r="Z94" s="1" t="s">
        <v>91</v>
      </c>
    </row>
    <row r="95" spans="1:26" x14ac:dyDescent="0.3">
      <c r="A95" s="1" t="s">
        <v>271</v>
      </c>
      <c r="B95" s="2">
        <v>45865</v>
      </c>
      <c r="C95" s="1" t="s">
        <v>107</v>
      </c>
      <c r="D95" s="1" t="s">
        <v>66</v>
      </c>
      <c r="E95" s="1" t="s">
        <v>29</v>
      </c>
      <c r="F95" s="1">
        <v>54</v>
      </c>
      <c r="G95" s="1" t="s">
        <v>134</v>
      </c>
      <c r="H95" s="1" t="s">
        <v>31</v>
      </c>
      <c r="I95" s="1" t="s">
        <v>134</v>
      </c>
      <c r="J95" s="1" t="s">
        <v>32</v>
      </c>
      <c r="K95" s="1">
        <v>5</v>
      </c>
      <c r="L95" s="1">
        <v>44136</v>
      </c>
      <c r="M95" s="1">
        <v>10</v>
      </c>
      <c r="N95" s="1">
        <v>22068</v>
      </c>
      <c r="O95" s="1">
        <v>35750.160000000003</v>
      </c>
      <c r="P95" s="1">
        <v>127</v>
      </c>
      <c r="Q95" s="1">
        <v>234489.16</v>
      </c>
      <c r="R95" s="1" t="s">
        <v>45</v>
      </c>
      <c r="S95" s="1" t="s">
        <v>34</v>
      </c>
      <c r="T95" s="1" t="s">
        <v>46</v>
      </c>
      <c r="U95" s="1" t="s">
        <v>36</v>
      </c>
      <c r="V95" s="1" t="s">
        <v>37</v>
      </c>
      <c r="W95" s="1">
        <v>8</v>
      </c>
      <c r="X95" s="1" t="s">
        <v>38</v>
      </c>
      <c r="Y95" s="1">
        <v>5</v>
      </c>
      <c r="Z95" s="1" t="s">
        <v>47</v>
      </c>
    </row>
    <row r="96" spans="1:26" x14ac:dyDescent="0.3">
      <c r="A96" s="1" t="s">
        <v>272</v>
      </c>
      <c r="B96" s="2">
        <v>46031</v>
      </c>
      <c r="C96" s="1" t="s">
        <v>273</v>
      </c>
      <c r="D96" s="1" t="s">
        <v>111</v>
      </c>
      <c r="E96" s="1" t="s">
        <v>43</v>
      </c>
      <c r="F96" s="1">
        <v>55</v>
      </c>
      <c r="G96" s="1" t="s">
        <v>90</v>
      </c>
      <c r="H96" s="1" t="s">
        <v>31</v>
      </c>
      <c r="I96" s="1" t="s">
        <v>90</v>
      </c>
      <c r="J96" s="1" t="s">
        <v>53</v>
      </c>
      <c r="K96" s="1">
        <v>5</v>
      </c>
      <c r="L96" s="1">
        <v>34596</v>
      </c>
      <c r="M96" s="1">
        <v>15</v>
      </c>
      <c r="N96" s="1">
        <v>25947</v>
      </c>
      <c r="O96" s="1">
        <v>26465.94</v>
      </c>
      <c r="P96" s="1">
        <v>316</v>
      </c>
      <c r="Q96" s="1">
        <v>173814.94</v>
      </c>
      <c r="R96" s="1" t="s">
        <v>54</v>
      </c>
      <c r="S96" s="1" t="s">
        <v>63</v>
      </c>
      <c r="T96" s="1" t="s">
        <v>35</v>
      </c>
      <c r="U96" s="1" t="s">
        <v>36</v>
      </c>
      <c r="V96" s="1" t="s">
        <v>37</v>
      </c>
      <c r="W96" s="1">
        <v>7</v>
      </c>
      <c r="X96" s="1" t="s">
        <v>38</v>
      </c>
      <c r="Y96" s="1">
        <v>1</v>
      </c>
      <c r="Z96" s="1" t="s">
        <v>47</v>
      </c>
    </row>
    <row r="97" spans="1:26" x14ac:dyDescent="0.3">
      <c r="A97" s="1" t="s">
        <v>274</v>
      </c>
      <c r="B97" s="2">
        <v>45762</v>
      </c>
      <c r="C97" s="1" t="s">
        <v>275</v>
      </c>
      <c r="D97" s="1" t="s">
        <v>80</v>
      </c>
      <c r="E97" s="1" t="s">
        <v>29</v>
      </c>
      <c r="F97" s="1">
        <v>51</v>
      </c>
      <c r="G97" s="1" t="s">
        <v>90</v>
      </c>
      <c r="H97" s="1" t="s">
        <v>31</v>
      </c>
      <c r="I97" s="1" t="s">
        <v>90</v>
      </c>
      <c r="J97" s="1" t="s">
        <v>62</v>
      </c>
      <c r="K97" s="1">
        <v>1</v>
      </c>
      <c r="L97" s="1">
        <v>30323</v>
      </c>
      <c r="M97" s="1">
        <v>15</v>
      </c>
      <c r="N97" s="1">
        <v>4548.45</v>
      </c>
      <c r="O97" s="1">
        <v>4639.42</v>
      </c>
      <c r="P97" s="1">
        <v>45</v>
      </c>
      <c r="Q97" s="1">
        <v>30458.97</v>
      </c>
      <c r="R97" s="1" t="s">
        <v>83</v>
      </c>
      <c r="S97" s="1" t="s">
        <v>63</v>
      </c>
      <c r="T97" s="1" t="s">
        <v>46</v>
      </c>
      <c r="U97" s="1" t="s">
        <v>36</v>
      </c>
      <c r="V97" s="1" t="s">
        <v>37</v>
      </c>
      <c r="W97" s="1">
        <v>1</v>
      </c>
      <c r="X97" s="1" t="s">
        <v>47</v>
      </c>
      <c r="Y97" s="1">
        <v>4</v>
      </c>
      <c r="Z97" s="1" t="s">
        <v>58</v>
      </c>
    </row>
    <row r="98" spans="1:26" x14ac:dyDescent="0.3">
      <c r="A98" s="1" t="s">
        <v>276</v>
      </c>
      <c r="B98" s="2">
        <v>46001</v>
      </c>
      <c r="C98" s="1" t="s">
        <v>277</v>
      </c>
      <c r="D98" s="1" t="s">
        <v>66</v>
      </c>
      <c r="E98" s="1" t="s">
        <v>29</v>
      </c>
      <c r="F98" s="1">
        <v>27</v>
      </c>
      <c r="G98" s="1" t="s">
        <v>139</v>
      </c>
      <c r="H98" s="1" t="s">
        <v>31</v>
      </c>
      <c r="I98" s="1" t="s">
        <v>139</v>
      </c>
      <c r="J98" s="1" t="s">
        <v>102</v>
      </c>
      <c r="K98" s="1">
        <v>4</v>
      </c>
      <c r="L98" s="1">
        <v>14331</v>
      </c>
      <c r="M98" s="1">
        <v>0</v>
      </c>
      <c r="N98" s="1">
        <v>0</v>
      </c>
      <c r="O98" s="1">
        <v>10318.32</v>
      </c>
      <c r="P98" s="1">
        <v>41</v>
      </c>
      <c r="Q98" s="1">
        <v>67683.320000000007</v>
      </c>
      <c r="R98" s="1" t="s">
        <v>83</v>
      </c>
      <c r="S98" s="1" t="s">
        <v>34</v>
      </c>
      <c r="T98" s="1" t="s">
        <v>95</v>
      </c>
      <c r="U98" s="1" t="s">
        <v>96</v>
      </c>
      <c r="V98" s="1" t="s">
        <v>57</v>
      </c>
      <c r="W98" s="1">
        <v>1</v>
      </c>
      <c r="X98" s="1" t="s">
        <v>47</v>
      </c>
      <c r="Y98" s="1">
        <v>4</v>
      </c>
      <c r="Z98" s="1" t="s">
        <v>39</v>
      </c>
    </row>
    <row r="99" spans="1:26" x14ac:dyDescent="0.3">
      <c r="A99" s="1" t="s">
        <v>278</v>
      </c>
      <c r="B99" s="2">
        <v>45812</v>
      </c>
      <c r="C99" s="1" t="s">
        <v>279</v>
      </c>
      <c r="D99" s="1" t="s">
        <v>50</v>
      </c>
      <c r="E99" s="1" t="s">
        <v>29</v>
      </c>
      <c r="F99" s="1">
        <v>24</v>
      </c>
      <c r="G99" s="1" t="s">
        <v>51</v>
      </c>
      <c r="H99" s="1" t="s">
        <v>52</v>
      </c>
      <c r="I99" s="1" t="s">
        <v>51</v>
      </c>
      <c r="J99" s="1" t="s">
        <v>125</v>
      </c>
      <c r="K99" s="1">
        <v>3</v>
      </c>
      <c r="L99" s="1">
        <v>3679</v>
      </c>
      <c r="M99" s="1">
        <v>10</v>
      </c>
      <c r="N99" s="1">
        <v>1103.7</v>
      </c>
      <c r="O99" s="1">
        <v>1787.99</v>
      </c>
      <c r="P99" s="1">
        <v>262</v>
      </c>
      <c r="Q99" s="1">
        <v>11983.29</v>
      </c>
      <c r="R99" s="1" t="s">
        <v>45</v>
      </c>
      <c r="S99" s="1" t="s">
        <v>63</v>
      </c>
      <c r="T99" s="1" t="s">
        <v>35</v>
      </c>
      <c r="U99" s="1" t="s">
        <v>36</v>
      </c>
      <c r="V99" s="1" t="s">
        <v>37</v>
      </c>
      <c r="W99" s="1">
        <v>4</v>
      </c>
      <c r="X99" s="1" t="s">
        <v>47</v>
      </c>
      <c r="Y99" s="1">
        <v>1</v>
      </c>
      <c r="Z99" s="1" t="s">
        <v>39</v>
      </c>
    </row>
    <row r="100" spans="1:26" x14ac:dyDescent="0.3">
      <c r="A100" s="1" t="s">
        <v>280</v>
      </c>
      <c r="B100" s="2">
        <v>45821</v>
      </c>
      <c r="C100" s="1" t="s">
        <v>281</v>
      </c>
      <c r="D100" s="1" t="s">
        <v>89</v>
      </c>
      <c r="E100" s="1" t="s">
        <v>29</v>
      </c>
      <c r="F100" s="1">
        <v>56</v>
      </c>
      <c r="G100" s="1" t="s">
        <v>74</v>
      </c>
      <c r="H100" s="1" t="s">
        <v>31</v>
      </c>
      <c r="I100" s="1" t="s">
        <v>74</v>
      </c>
      <c r="J100" s="1" t="s">
        <v>75</v>
      </c>
      <c r="K100" s="1">
        <v>3</v>
      </c>
      <c r="L100" s="1">
        <v>25123</v>
      </c>
      <c r="M100" s="1">
        <v>20</v>
      </c>
      <c r="N100" s="1">
        <v>15073.8</v>
      </c>
      <c r="O100" s="1">
        <v>10853.14</v>
      </c>
      <c r="P100" s="1">
        <v>393</v>
      </c>
      <c r="Q100" s="1">
        <v>71541.34</v>
      </c>
      <c r="R100" s="1" t="s">
        <v>33</v>
      </c>
      <c r="S100" s="1" t="s">
        <v>34</v>
      </c>
      <c r="T100" s="1" t="s">
        <v>84</v>
      </c>
      <c r="U100" s="1" t="s">
        <v>85</v>
      </c>
      <c r="V100" s="1" t="s">
        <v>86</v>
      </c>
      <c r="W100" s="1">
        <v>10</v>
      </c>
      <c r="X100" s="1" t="s">
        <v>47</v>
      </c>
      <c r="Y100" s="1">
        <v>5</v>
      </c>
      <c r="Z100" s="1" t="s">
        <v>39</v>
      </c>
    </row>
    <row r="101" spans="1:26" x14ac:dyDescent="0.3">
      <c r="A101" s="1" t="s">
        <v>282</v>
      </c>
      <c r="B101" s="2">
        <v>45891</v>
      </c>
      <c r="C101" s="1" t="s">
        <v>283</v>
      </c>
      <c r="D101" s="1" t="s">
        <v>61</v>
      </c>
      <c r="E101" s="1" t="s">
        <v>43</v>
      </c>
      <c r="F101" s="1">
        <v>41</v>
      </c>
      <c r="G101" s="1" t="s">
        <v>99</v>
      </c>
      <c r="H101" s="1" t="s">
        <v>52</v>
      </c>
      <c r="I101" s="1" t="s">
        <v>99</v>
      </c>
      <c r="J101" s="1" t="s">
        <v>102</v>
      </c>
      <c r="K101" s="1">
        <v>4</v>
      </c>
      <c r="L101" s="1">
        <v>46566</v>
      </c>
      <c r="M101" s="1">
        <v>10</v>
      </c>
      <c r="N101" s="1">
        <v>18626.400000000001</v>
      </c>
      <c r="O101" s="1">
        <v>30174.77</v>
      </c>
      <c r="P101" s="1">
        <v>402</v>
      </c>
      <c r="Q101" s="1">
        <v>198214.37</v>
      </c>
      <c r="R101" s="1" t="s">
        <v>54</v>
      </c>
      <c r="S101" s="1" t="s">
        <v>34</v>
      </c>
      <c r="T101" s="1" t="s">
        <v>55</v>
      </c>
      <c r="U101" s="1" t="s">
        <v>56</v>
      </c>
      <c r="V101" s="1" t="s">
        <v>57</v>
      </c>
      <c r="W101" s="1">
        <v>7</v>
      </c>
      <c r="X101" s="1" t="s">
        <v>47</v>
      </c>
      <c r="Y101" s="1">
        <v>4</v>
      </c>
      <c r="Z101" s="1" t="s">
        <v>39</v>
      </c>
    </row>
    <row r="102" spans="1:26" x14ac:dyDescent="0.3">
      <c r="A102" s="1" t="s">
        <v>284</v>
      </c>
      <c r="B102" s="2">
        <v>45905</v>
      </c>
      <c r="C102" s="1" t="s">
        <v>285</v>
      </c>
      <c r="D102" s="1" t="s">
        <v>50</v>
      </c>
      <c r="E102" s="1" t="s">
        <v>29</v>
      </c>
      <c r="F102" s="1">
        <v>60</v>
      </c>
      <c r="G102" s="1" t="s">
        <v>134</v>
      </c>
      <c r="H102" s="1" t="s">
        <v>31</v>
      </c>
      <c r="I102" s="1" t="s">
        <v>134</v>
      </c>
      <c r="J102" s="1" t="s">
        <v>62</v>
      </c>
      <c r="K102" s="1">
        <v>1</v>
      </c>
      <c r="L102" s="1">
        <v>42289</v>
      </c>
      <c r="M102" s="1">
        <v>20</v>
      </c>
      <c r="N102" s="1">
        <v>8457.7999999999993</v>
      </c>
      <c r="O102" s="1">
        <v>6089.62</v>
      </c>
      <c r="P102" s="1">
        <v>250</v>
      </c>
      <c r="Q102" s="1">
        <v>40170.82</v>
      </c>
      <c r="R102" s="1" t="s">
        <v>45</v>
      </c>
      <c r="S102" s="1" t="s">
        <v>63</v>
      </c>
      <c r="T102" s="1" t="s">
        <v>103</v>
      </c>
      <c r="U102" s="1" t="s">
        <v>103</v>
      </c>
      <c r="V102" s="1" t="s">
        <v>57</v>
      </c>
      <c r="W102" s="1">
        <v>1</v>
      </c>
      <c r="X102" s="1" t="s">
        <v>38</v>
      </c>
      <c r="Y102" s="1">
        <v>2</v>
      </c>
      <c r="Z102" s="1" t="s">
        <v>47</v>
      </c>
    </row>
    <row r="103" spans="1:26" x14ac:dyDescent="0.3">
      <c r="A103" s="1" t="s">
        <v>286</v>
      </c>
      <c r="B103" s="2">
        <v>46108</v>
      </c>
      <c r="C103" s="1" t="s">
        <v>287</v>
      </c>
      <c r="D103" s="1" t="s">
        <v>89</v>
      </c>
      <c r="E103" s="1" t="s">
        <v>29</v>
      </c>
      <c r="F103" s="1">
        <v>31</v>
      </c>
      <c r="G103" s="1" t="s">
        <v>51</v>
      </c>
      <c r="H103" s="1" t="s">
        <v>52</v>
      </c>
      <c r="I103" s="1" t="s">
        <v>51</v>
      </c>
      <c r="J103" s="1" t="s">
        <v>75</v>
      </c>
      <c r="K103" s="1">
        <v>5</v>
      </c>
      <c r="L103" s="1">
        <v>4012</v>
      </c>
      <c r="M103" s="1">
        <v>0</v>
      </c>
      <c r="N103" s="1">
        <v>0</v>
      </c>
      <c r="O103" s="1">
        <v>3610.8</v>
      </c>
      <c r="P103" s="1">
        <v>329</v>
      </c>
      <c r="Q103" s="1">
        <v>23999.8</v>
      </c>
      <c r="R103" s="1" t="s">
        <v>83</v>
      </c>
      <c r="S103" s="1" t="s">
        <v>63</v>
      </c>
      <c r="T103" s="1" t="s">
        <v>84</v>
      </c>
      <c r="U103" s="1" t="s">
        <v>85</v>
      </c>
      <c r="V103" s="1" t="s">
        <v>86</v>
      </c>
      <c r="W103" s="1">
        <v>8</v>
      </c>
      <c r="X103" s="1" t="s">
        <v>47</v>
      </c>
      <c r="Y103" s="1">
        <v>4</v>
      </c>
      <c r="Z103" s="1" t="s">
        <v>39</v>
      </c>
    </row>
    <row r="104" spans="1:26" x14ac:dyDescent="0.3">
      <c r="A104" s="1" t="s">
        <v>288</v>
      </c>
      <c r="B104" s="2">
        <v>45793</v>
      </c>
      <c r="C104" s="1" t="s">
        <v>289</v>
      </c>
      <c r="D104" s="1" t="s">
        <v>61</v>
      </c>
      <c r="E104" s="1" t="s">
        <v>29</v>
      </c>
      <c r="F104" s="1">
        <v>52</v>
      </c>
      <c r="G104" s="1" t="s">
        <v>74</v>
      </c>
      <c r="H104" s="1" t="s">
        <v>31</v>
      </c>
      <c r="I104" s="1" t="s">
        <v>74</v>
      </c>
      <c r="J104" s="1" t="s">
        <v>150</v>
      </c>
      <c r="K104" s="1">
        <v>2</v>
      </c>
      <c r="L104" s="1">
        <v>30405</v>
      </c>
      <c r="M104" s="1">
        <v>0</v>
      </c>
      <c r="N104" s="1">
        <v>0</v>
      </c>
      <c r="O104" s="1">
        <v>10945.8</v>
      </c>
      <c r="P104" s="1">
        <v>301</v>
      </c>
      <c r="Q104" s="1">
        <v>72056.800000000003</v>
      </c>
      <c r="R104" s="1" t="s">
        <v>33</v>
      </c>
      <c r="S104" s="1" t="s">
        <v>63</v>
      </c>
      <c r="T104" s="1" t="s">
        <v>76</v>
      </c>
      <c r="U104" s="1" t="s">
        <v>77</v>
      </c>
      <c r="V104" s="1" t="s">
        <v>57</v>
      </c>
      <c r="W104" s="1">
        <v>8</v>
      </c>
      <c r="X104" s="1" t="s">
        <v>38</v>
      </c>
      <c r="Y104" s="1">
        <v>5</v>
      </c>
      <c r="Z104" s="1" t="s">
        <v>58</v>
      </c>
    </row>
    <row r="105" spans="1:26" x14ac:dyDescent="0.3">
      <c r="A105" s="1" t="s">
        <v>290</v>
      </c>
      <c r="B105" s="2">
        <v>46023</v>
      </c>
      <c r="C105" s="1" t="s">
        <v>291</v>
      </c>
      <c r="D105" s="1" t="s">
        <v>108</v>
      </c>
      <c r="E105" s="1" t="s">
        <v>29</v>
      </c>
      <c r="F105" s="1">
        <v>23</v>
      </c>
      <c r="G105" s="1" t="s">
        <v>94</v>
      </c>
      <c r="H105" s="1" t="s">
        <v>31</v>
      </c>
      <c r="I105" s="1" t="s">
        <v>94</v>
      </c>
      <c r="J105" s="1" t="s">
        <v>102</v>
      </c>
      <c r="K105" s="1">
        <v>4</v>
      </c>
      <c r="L105" s="1">
        <v>19141</v>
      </c>
      <c r="M105" s="1">
        <v>20</v>
      </c>
      <c r="N105" s="1">
        <v>15312.8</v>
      </c>
      <c r="O105" s="1">
        <v>11025.22</v>
      </c>
      <c r="P105" s="1">
        <v>482</v>
      </c>
      <c r="Q105" s="1">
        <v>72758.42</v>
      </c>
      <c r="R105" s="1" t="s">
        <v>83</v>
      </c>
      <c r="S105" s="1" t="s">
        <v>34</v>
      </c>
      <c r="T105" s="1" t="s">
        <v>103</v>
      </c>
      <c r="U105" s="1" t="s">
        <v>103</v>
      </c>
      <c r="V105" s="1" t="s">
        <v>57</v>
      </c>
      <c r="W105" s="1">
        <v>5</v>
      </c>
      <c r="X105" s="1" t="s">
        <v>47</v>
      </c>
      <c r="Y105" s="1">
        <v>4</v>
      </c>
      <c r="Z105" s="1" t="s">
        <v>47</v>
      </c>
    </row>
    <row r="106" spans="1:26" x14ac:dyDescent="0.3">
      <c r="A106" s="1" t="s">
        <v>292</v>
      </c>
      <c r="B106" s="2">
        <v>46087</v>
      </c>
      <c r="C106" s="1" t="s">
        <v>293</v>
      </c>
      <c r="D106" s="1" t="s">
        <v>50</v>
      </c>
      <c r="E106" s="1" t="s">
        <v>43</v>
      </c>
      <c r="F106" s="1">
        <v>22</v>
      </c>
      <c r="G106" s="1" t="s">
        <v>67</v>
      </c>
      <c r="H106" s="1" t="s">
        <v>68</v>
      </c>
      <c r="I106" s="1" t="s">
        <v>67</v>
      </c>
      <c r="J106" s="1" t="s">
        <v>75</v>
      </c>
      <c r="K106" s="1">
        <v>4</v>
      </c>
      <c r="L106" s="1">
        <v>19962</v>
      </c>
      <c r="M106" s="1">
        <v>5</v>
      </c>
      <c r="N106" s="1">
        <v>3992.4</v>
      </c>
      <c r="O106" s="1">
        <v>13654.01</v>
      </c>
      <c r="P106" s="1">
        <v>104</v>
      </c>
      <c r="Q106" s="1">
        <v>89613.61</v>
      </c>
      <c r="R106" s="1" t="s">
        <v>45</v>
      </c>
      <c r="S106" s="1" t="s">
        <v>34</v>
      </c>
      <c r="T106" s="1" t="s">
        <v>46</v>
      </c>
      <c r="U106" s="1" t="s">
        <v>36</v>
      </c>
      <c r="V106" s="1" t="s">
        <v>37</v>
      </c>
      <c r="W106" s="1">
        <v>7</v>
      </c>
      <c r="X106" s="1" t="s">
        <v>47</v>
      </c>
      <c r="Y106" s="1">
        <v>5</v>
      </c>
      <c r="Z106" s="1" t="s">
        <v>47</v>
      </c>
    </row>
    <row r="107" spans="1:26" x14ac:dyDescent="0.3">
      <c r="A107" s="1" t="s">
        <v>294</v>
      </c>
      <c r="B107" s="2">
        <v>45765</v>
      </c>
      <c r="C107" s="1" t="s">
        <v>295</v>
      </c>
      <c r="D107" s="1" t="s">
        <v>73</v>
      </c>
      <c r="E107" s="1" t="s">
        <v>29</v>
      </c>
      <c r="F107" s="1">
        <v>46</v>
      </c>
      <c r="G107" s="1" t="s">
        <v>67</v>
      </c>
      <c r="H107" s="1" t="s">
        <v>68</v>
      </c>
      <c r="I107" s="1" t="s">
        <v>67</v>
      </c>
      <c r="J107" s="1" t="s">
        <v>62</v>
      </c>
      <c r="K107" s="1">
        <v>5</v>
      </c>
      <c r="L107" s="1">
        <v>30045</v>
      </c>
      <c r="M107" s="1">
        <v>0</v>
      </c>
      <c r="N107" s="1">
        <v>0</v>
      </c>
      <c r="O107" s="1">
        <v>27040.5</v>
      </c>
      <c r="P107" s="1">
        <v>295</v>
      </c>
      <c r="Q107" s="1">
        <v>177560.5</v>
      </c>
      <c r="R107" s="1" t="s">
        <v>45</v>
      </c>
      <c r="S107" s="1" t="s">
        <v>63</v>
      </c>
      <c r="T107" s="1" t="s">
        <v>70</v>
      </c>
      <c r="U107" s="1" t="s">
        <v>56</v>
      </c>
      <c r="V107" s="1" t="s">
        <v>57</v>
      </c>
      <c r="W107" s="1">
        <v>9</v>
      </c>
      <c r="X107" s="1" t="s">
        <v>38</v>
      </c>
      <c r="Y107" s="1">
        <v>2</v>
      </c>
      <c r="Z107" s="1" t="s">
        <v>91</v>
      </c>
    </row>
    <row r="108" spans="1:26" x14ac:dyDescent="0.3">
      <c r="A108" s="1" t="s">
        <v>296</v>
      </c>
      <c r="B108" s="2">
        <v>45980</v>
      </c>
      <c r="C108" s="1" t="s">
        <v>297</v>
      </c>
      <c r="D108" s="1" t="s">
        <v>89</v>
      </c>
      <c r="E108" s="1" t="s">
        <v>29</v>
      </c>
      <c r="F108" s="1">
        <v>33</v>
      </c>
      <c r="G108" s="1" t="s">
        <v>30</v>
      </c>
      <c r="H108" s="1" t="s">
        <v>31</v>
      </c>
      <c r="I108" s="1" t="s">
        <v>30</v>
      </c>
      <c r="J108" s="1" t="s">
        <v>150</v>
      </c>
      <c r="K108" s="1">
        <v>1</v>
      </c>
      <c r="L108" s="1">
        <v>30617</v>
      </c>
      <c r="M108" s="1">
        <v>0</v>
      </c>
      <c r="N108" s="1">
        <v>0</v>
      </c>
      <c r="O108" s="1">
        <v>5511.06</v>
      </c>
      <c r="P108" s="1">
        <v>291</v>
      </c>
      <c r="Q108" s="1">
        <v>36419.06</v>
      </c>
      <c r="R108" s="1" t="s">
        <v>33</v>
      </c>
      <c r="S108" s="1" t="s">
        <v>34</v>
      </c>
      <c r="T108" s="1" t="s">
        <v>35</v>
      </c>
      <c r="U108" s="1" t="s">
        <v>36</v>
      </c>
      <c r="V108" s="1" t="s">
        <v>37</v>
      </c>
      <c r="W108" s="1">
        <v>9</v>
      </c>
      <c r="X108" s="1" t="s">
        <v>47</v>
      </c>
      <c r="Y108" s="1">
        <v>5</v>
      </c>
      <c r="Z108" s="1" t="s">
        <v>58</v>
      </c>
    </row>
    <row r="109" spans="1:26" x14ac:dyDescent="0.3">
      <c r="A109" s="1" t="s">
        <v>298</v>
      </c>
      <c r="B109" s="2">
        <v>45856</v>
      </c>
      <c r="C109" s="1" t="s">
        <v>299</v>
      </c>
      <c r="D109" s="1" t="s">
        <v>73</v>
      </c>
      <c r="E109" s="1" t="s">
        <v>43</v>
      </c>
      <c r="F109" s="1">
        <v>29</v>
      </c>
      <c r="G109" s="1" t="s">
        <v>134</v>
      </c>
      <c r="H109" s="1" t="s">
        <v>31</v>
      </c>
      <c r="I109" s="1" t="s">
        <v>134</v>
      </c>
      <c r="J109" s="1" t="s">
        <v>53</v>
      </c>
      <c r="K109" s="1">
        <v>1</v>
      </c>
      <c r="L109" s="1">
        <v>36884</v>
      </c>
      <c r="M109" s="1">
        <v>5</v>
      </c>
      <c r="N109" s="1">
        <v>1844.2</v>
      </c>
      <c r="O109" s="1">
        <v>6307.16</v>
      </c>
      <c r="P109" s="1">
        <v>88</v>
      </c>
      <c r="Q109" s="1">
        <v>41434.959999999999</v>
      </c>
      <c r="R109" s="1" t="s">
        <v>45</v>
      </c>
      <c r="S109" s="1" t="s">
        <v>63</v>
      </c>
      <c r="T109" s="1" t="s">
        <v>70</v>
      </c>
      <c r="U109" s="1" t="s">
        <v>56</v>
      </c>
      <c r="V109" s="1" t="s">
        <v>57</v>
      </c>
      <c r="W109" s="1">
        <v>2</v>
      </c>
      <c r="X109" s="1" t="s">
        <v>47</v>
      </c>
      <c r="Y109" s="1">
        <v>2</v>
      </c>
      <c r="Z109" s="1" t="s">
        <v>91</v>
      </c>
    </row>
    <row r="110" spans="1:26" x14ac:dyDescent="0.3">
      <c r="A110" s="1" t="s">
        <v>300</v>
      </c>
      <c r="B110" s="2">
        <v>45948</v>
      </c>
      <c r="C110" s="1" t="s">
        <v>301</v>
      </c>
      <c r="D110" s="1" t="s">
        <v>108</v>
      </c>
      <c r="E110" s="1" t="s">
        <v>43</v>
      </c>
      <c r="F110" s="1">
        <v>35</v>
      </c>
      <c r="G110" s="1" t="s">
        <v>99</v>
      </c>
      <c r="H110" s="1" t="s">
        <v>52</v>
      </c>
      <c r="I110" s="1" t="s">
        <v>99</v>
      </c>
      <c r="J110" s="1" t="s">
        <v>125</v>
      </c>
      <c r="K110" s="1">
        <v>2</v>
      </c>
      <c r="L110" s="1">
        <v>44392</v>
      </c>
      <c r="M110" s="1">
        <v>10</v>
      </c>
      <c r="N110" s="1">
        <v>8878.4</v>
      </c>
      <c r="O110" s="1">
        <v>14383.01</v>
      </c>
      <c r="P110" s="1">
        <v>36</v>
      </c>
      <c r="Q110" s="1">
        <v>94324.61</v>
      </c>
      <c r="R110" s="1" t="s">
        <v>83</v>
      </c>
      <c r="S110" s="1" t="s">
        <v>34</v>
      </c>
      <c r="T110" s="1" t="s">
        <v>35</v>
      </c>
      <c r="U110" s="1" t="s">
        <v>36</v>
      </c>
      <c r="V110" s="1" t="s">
        <v>37</v>
      </c>
      <c r="W110" s="1">
        <v>4</v>
      </c>
      <c r="X110" s="1" t="s">
        <v>47</v>
      </c>
      <c r="Y110" s="1">
        <v>3</v>
      </c>
      <c r="Z110" s="1" t="s">
        <v>47</v>
      </c>
    </row>
    <row r="111" spans="1:26" x14ac:dyDescent="0.3">
      <c r="A111" s="1" t="s">
        <v>302</v>
      </c>
      <c r="B111" s="2">
        <v>45950</v>
      </c>
      <c r="C111" s="1" t="s">
        <v>303</v>
      </c>
      <c r="D111" s="1" t="s">
        <v>111</v>
      </c>
      <c r="E111" s="1" t="s">
        <v>29</v>
      </c>
      <c r="F111" s="1">
        <v>49</v>
      </c>
      <c r="G111" s="1" t="s">
        <v>67</v>
      </c>
      <c r="H111" s="1" t="s">
        <v>68</v>
      </c>
      <c r="I111" s="1" t="s">
        <v>67</v>
      </c>
      <c r="J111" s="1" t="s">
        <v>53</v>
      </c>
      <c r="K111" s="1">
        <v>2</v>
      </c>
      <c r="L111" s="1">
        <v>45616</v>
      </c>
      <c r="M111" s="1">
        <v>15</v>
      </c>
      <c r="N111" s="1">
        <v>13684.8</v>
      </c>
      <c r="O111" s="1">
        <v>13958.5</v>
      </c>
      <c r="P111" s="1">
        <v>173</v>
      </c>
      <c r="Q111" s="1">
        <v>91678.7</v>
      </c>
      <c r="R111" s="1" t="s">
        <v>33</v>
      </c>
      <c r="S111" s="1" t="s">
        <v>63</v>
      </c>
      <c r="T111" s="1" t="s">
        <v>84</v>
      </c>
      <c r="U111" s="1" t="s">
        <v>85</v>
      </c>
      <c r="V111" s="1" t="s">
        <v>86</v>
      </c>
      <c r="W111" s="1">
        <v>4</v>
      </c>
      <c r="X111" s="1" t="s">
        <v>47</v>
      </c>
      <c r="Y111" s="1">
        <v>5</v>
      </c>
      <c r="Z111" s="1" t="s">
        <v>58</v>
      </c>
    </row>
    <row r="112" spans="1:26" x14ac:dyDescent="0.3">
      <c r="A112" s="1" t="s">
        <v>304</v>
      </c>
      <c r="B112" s="2">
        <v>45935</v>
      </c>
      <c r="C112" s="1" t="s">
        <v>305</v>
      </c>
      <c r="D112" s="1" t="s">
        <v>50</v>
      </c>
      <c r="E112" s="1" t="s">
        <v>43</v>
      </c>
      <c r="F112" s="1">
        <v>25</v>
      </c>
      <c r="G112" s="1" t="s">
        <v>94</v>
      </c>
      <c r="H112" s="1" t="s">
        <v>31</v>
      </c>
      <c r="I112" s="1" t="s">
        <v>94</v>
      </c>
      <c r="J112" s="1" t="s">
        <v>102</v>
      </c>
      <c r="K112" s="1">
        <v>4</v>
      </c>
      <c r="L112" s="1">
        <v>13466</v>
      </c>
      <c r="M112" s="1">
        <v>15</v>
      </c>
      <c r="N112" s="1">
        <v>8079.6</v>
      </c>
      <c r="O112" s="1">
        <v>8241.19</v>
      </c>
      <c r="P112" s="1">
        <v>298</v>
      </c>
      <c r="Q112" s="1">
        <v>54323.59</v>
      </c>
      <c r="R112" s="1" t="s">
        <v>83</v>
      </c>
      <c r="S112" s="1" t="s">
        <v>63</v>
      </c>
      <c r="T112" s="1" t="s">
        <v>95</v>
      </c>
      <c r="U112" s="1" t="s">
        <v>96</v>
      </c>
      <c r="V112" s="1" t="s">
        <v>57</v>
      </c>
      <c r="W112" s="1">
        <v>6</v>
      </c>
      <c r="X112" s="1" t="s">
        <v>38</v>
      </c>
      <c r="Y112" s="1">
        <v>5</v>
      </c>
      <c r="Z112" s="1" t="s">
        <v>58</v>
      </c>
    </row>
    <row r="113" spans="1:26" x14ac:dyDescent="0.3">
      <c r="A113" s="1" t="s">
        <v>306</v>
      </c>
      <c r="B113" s="2">
        <v>46039</v>
      </c>
      <c r="C113" s="1" t="s">
        <v>307</v>
      </c>
      <c r="D113" s="1" t="s">
        <v>50</v>
      </c>
      <c r="E113" s="1" t="s">
        <v>29</v>
      </c>
      <c r="F113" s="1">
        <v>53</v>
      </c>
      <c r="G113" s="1" t="s">
        <v>44</v>
      </c>
      <c r="H113" s="1" t="s">
        <v>31</v>
      </c>
      <c r="I113" s="1" t="s">
        <v>44</v>
      </c>
      <c r="J113" s="1" t="s">
        <v>32</v>
      </c>
      <c r="K113" s="1">
        <v>3</v>
      </c>
      <c r="L113" s="1">
        <v>10297</v>
      </c>
      <c r="M113" s="1">
        <v>5</v>
      </c>
      <c r="N113" s="1">
        <v>1544.55</v>
      </c>
      <c r="O113" s="1">
        <v>5282.36</v>
      </c>
      <c r="P113" s="1">
        <v>382</v>
      </c>
      <c r="Q113" s="1">
        <v>35010.81</v>
      </c>
      <c r="R113" s="1" t="s">
        <v>54</v>
      </c>
      <c r="S113" s="1" t="s">
        <v>63</v>
      </c>
      <c r="T113" s="1" t="s">
        <v>76</v>
      </c>
      <c r="U113" s="1" t="s">
        <v>77</v>
      </c>
      <c r="V113" s="1" t="s">
        <v>57</v>
      </c>
      <c r="W113" s="1">
        <v>4</v>
      </c>
      <c r="X113" s="1" t="s">
        <v>38</v>
      </c>
      <c r="Y113" s="1">
        <v>1</v>
      </c>
      <c r="Z113" s="1" t="s">
        <v>47</v>
      </c>
    </row>
    <row r="114" spans="1:26" x14ac:dyDescent="0.3">
      <c r="A114" s="1" t="s">
        <v>308</v>
      </c>
      <c r="B114" s="2">
        <v>45845</v>
      </c>
      <c r="C114" s="1" t="s">
        <v>101</v>
      </c>
      <c r="D114" s="1" t="s">
        <v>42</v>
      </c>
      <c r="E114" s="1" t="s">
        <v>29</v>
      </c>
      <c r="F114" s="1">
        <v>38</v>
      </c>
      <c r="G114" s="1" t="s">
        <v>139</v>
      </c>
      <c r="H114" s="1" t="s">
        <v>31</v>
      </c>
      <c r="I114" s="1" t="s">
        <v>139</v>
      </c>
      <c r="J114" s="1" t="s">
        <v>102</v>
      </c>
      <c r="K114" s="1">
        <v>2</v>
      </c>
      <c r="L114" s="1">
        <v>20743</v>
      </c>
      <c r="M114" s="1">
        <v>20</v>
      </c>
      <c r="N114" s="1">
        <v>8297.2000000000007</v>
      </c>
      <c r="O114" s="1">
        <v>5973.98</v>
      </c>
      <c r="P114" s="1">
        <v>397</v>
      </c>
      <c r="Q114" s="1">
        <v>39559.78</v>
      </c>
      <c r="R114" s="1" t="s">
        <v>54</v>
      </c>
      <c r="S114" s="1" t="s">
        <v>34</v>
      </c>
      <c r="T114" s="1" t="s">
        <v>35</v>
      </c>
      <c r="U114" s="1" t="s">
        <v>36</v>
      </c>
      <c r="V114" s="1" t="s">
        <v>37</v>
      </c>
      <c r="W114" s="1">
        <v>8</v>
      </c>
      <c r="X114" s="1" t="s">
        <v>38</v>
      </c>
      <c r="Y114" s="1">
        <v>1</v>
      </c>
      <c r="Z114" s="1" t="s">
        <v>39</v>
      </c>
    </row>
    <row r="115" spans="1:26" x14ac:dyDescent="0.3">
      <c r="A115" s="1" t="s">
        <v>309</v>
      </c>
      <c r="B115" s="2">
        <v>45993</v>
      </c>
      <c r="C115" s="1" t="s">
        <v>310</v>
      </c>
      <c r="D115" s="1" t="s">
        <v>42</v>
      </c>
      <c r="E115" s="1" t="s">
        <v>43</v>
      </c>
      <c r="F115" s="1">
        <v>56</v>
      </c>
      <c r="G115" s="1" t="s">
        <v>139</v>
      </c>
      <c r="H115" s="1" t="s">
        <v>31</v>
      </c>
      <c r="I115" s="1" t="s">
        <v>139</v>
      </c>
      <c r="J115" s="1" t="s">
        <v>125</v>
      </c>
      <c r="K115" s="1">
        <v>3</v>
      </c>
      <c r="L115" s="1">
        <v>45793</v>
      </c>
      <c r="M115" s="1">
        <v>0</v>
      </c>
      <c r="N115" s="1">
        <v>0</v>
      </c>
      <c r="O115" s="1">
        <v>24728.22</v>
      </c>
      <c r="P115" s="1">
        <v>20</v>
      </c>
      <c r="Q115" s="1">
        <v>162127.22</v>
      </c>
      <c r="R115" s="1" t="s">
        <v>54</v>
      </c>
      <c r="S115" s="1" t="s">
        <v>34</v>
      </c>
      <c r="T115" s="1" t="s">
        <v>46</v>
      </c>
      <c r="U115" s="1" t="s">
        <v>36</v>
      </c>
      <c r="V115" s="1" t="s">
        <v>37</v>
      </c>
      <c r="W115" s="1">
        <v>5</v>
      </c>
      <c r="X115" s="1" t="s">
        <v>38</v>
      </c>
      <c r="Y115" s="1">
        <v>5</v>
      </c>
      <c r="Z115" s="1" t="s">
        <v>39</v>
      </c>
    </row>
    <row r="116" spans="1:26" x14ac:dyDescent="0.3">
      <c r="A116" s="1" t="s">
        <v>311</v>
      </c>
      <c r="B116" s="2">
        <v>45983</v>
      </c>
      <c r="C116" s="1" t="s">
        <v>312</v>
      </c>
      <c r="D116" s="1" t="s">
        <v>89</v>
      </c>
      <c r="E116" s="1" t="s">
        <v>29</v>
      </c>
      <c r="F116" s="1">
        <v>24</v>
      </c>
      <c r="G116" s="1" t="s">
        <v>67</v>
      </c>
      <c r="H116" s="1" t="s">
        <v>68</v>
      </c>
      <c r="I116" s="1" t="s">
        <v>67</v>
      </c>
      <c r="J116" s="1" t="s">
        <v>62</v>
      </c>
      <c r="K116" s="1">
        <v>5</v>
      </c>
      <c r="L116" s="1">
        <v>39903</v>
      </c>
      <c r="M116" s="1">
        <v>20</v>
      </c>
      <c r="N116" s="1">
        <v>39903</v>
      </c>
      <c r="O116" s="1">
        <v>28730.16</v>
      </c>
      <c r="P116" s="1">
        <v>492</v>
      </c>
      <c r="Q116" s="1">
        <v>188834.16</v>
      </c>
      <c r="R116" s="1" t="s">
        <v>83</v>
      </c>
      <c r="S116" s="1" t="s">
        <v>63</v>
      </c>
      <c r="T116" s="1" t="s">
        <v>70</v>
      </c>
      <c r="U116" s="1" t="s">
        <v>56</v>
      </c>
      <c r="V116" s="1" t="s">
        <v>57</v>
      </c>
      <c r="W116" s="1">
        <v>2</v>
      </c>
      <c r="X116" s="1" t="s">
        <v>47</v>
      </c>
      <c r="Y116" s="1">
        <v>5</v>
      </c>
      <c r="Z116" s="1" t="s">
        <v>47</v>
      </c>
    </row>
    <row r="117" spans="1:26" x14ac:dyDescent="0.3">
      <c r="A117" s="1" t="s">
        <v>313</v>
      </c>
      <c r="B117" s="2">
        <v>46095</v>
      </c>
      <c r="C117" s="1" t="s">
        <v>314</v>
      </c>
      <c r="D117" s="1" t="s">
        <v>50</v>
      </c>
      <c r="E117" s="1" t="s">
        <v>43</v>
      </c>
      <c r="F117" s="1">
        <v>58</v>
      </c>
      <c r="G117" s="1" t="s">
        <v>30</v>
      </c>
      <c r="H117" s="1" t="s">
        <v>31</v>
      </c>
      <c r="I117" s="1" t="s">
        <v>30</v>
      </c>
      <c r="J117" s="1" t="s">
        <v>53</v>
      </c>
      <c r="K117" s="1">
        <v>3</v>
      </c>
      <c r="L117" s="1">
        <v>22776</v>
      </c>
      <c r="M117" s="1">
        <v>0</v>
      </c>
      <c r="N117" s="1">
        <v>0</v>
      </c>
      <c r="O117" s="1">
        <v>12299.04</v>
      </c>
      <c r="P117" s="1">
        <v>94</v>
      </c>
      <c r="Q117" s="1">
        <v>80721.039999999994</v>
      </c>
      <c r="R117" s="1" t="s">
        <v>54</v>
      </c>
      <c r="S117" s="1" t="s">
        <v>63</v>
      </c>
      <c r="T117" s="1" t="s">
        <v>76</v>
      </c>
      <c r="U117" s="1" t="s">
        <v>77</v>
      </c>
      <c r="V117" s="1" t="s">
        <v>57</v>
      </c>
      <c r="W117" s="1">
        <v>6</v>
      </c>
      <c r="X117" s="1" t="s">
        <v>38</v>
      </c>
      <c r="Y117" s="1">
        <v>1</v>
      </c>
      <c r="Z117" s="1" t="s">
        <v>39</v>
      </c>
    </row>
    <row r="118" spans="1:26" x14ac:dyDescent="0.3">
      <c r="A118" s="1" t="s">
        <v>315</v>
      </c>
      <c r="B118" s="2">
        <v>45809</v>
      </c>
      <c r="C118" s="1" t="s">
        <v>316</v>
      </c>
      <c r="D118" s="1" t="s">
        <v>111</v>
      </c>
      <c r="E118" s="1" t="s">
        <v>43</v>
      </c>
      <c r="F118" s="1">
        <v>30</v>
      </c>
      <c r="G118" s="1" t="s">
        <v>134</v>
      </c>
      <c r="H118" s="1" t="s">
        <v>31</v>
      </c>
      <c r="I118" s="1" t="s">
        <v>134</v>
      </c>
      <c r="J118" s="1" t="s">
        <v>125</v>
      </c>
      <c r="K118" s="1">
        <v>5</v>
      </c>
      <c r="L118" s="1">
        <v>18787</v>
      </c>
      <c r="M118" s="1">
        <v>20</v>
      </c>
      <c r="N118" s="1">
        <v>18787</v>
      </c>
      <c r="O118" s="1">
        <v>13526.64</v>
      </c>
      <c r="P118" s="1">
        <v>101</v>
      </c>
      <c r="Q118" s="1">
        <v>88775.64</v>
      </c>
      <c r="R118" s="1" t="s">
        <v>83</v>
      </c>
      <c r="S118" s="1" t="s">
        <v>63</v>
      </c>
      <c r="T118" s="1" t="s">
        <v>46</v>
      </c>
      <c r="U118" s="1" t="s">
        <v>36</v>
      </c>
      <c r="V118" s="1" t="s">
        <v>37</v>
      </c>
      <c r="W118" s="1">
        <v>4</v>
      </c>
      <c r="X118" s="1" t="s">
        <v>47</v>
      </c>
      <c r="Y118" s="1">
        <v>5</v>
      </c>
      <c r="Z118" s="1" t="s">
        <v>39</v>
      </c>
    </row>
    <row r="119" spans="1:26" x14ac:dyDescent="0.3">
      <c r="A119" s="1" t="s">
        <v>317</v>
      </c>
      <c r="B119" s="2">
        <v>45834</v>
      </c>
      <c r="C119" s="1" t="s">
        <v>318</v>
      </c>
      <c r="D119" s="1" t="s">
        <v>42</v>
      </c>
      <c r="E119" s="1" t="s">
        <v>29</v>
      </c>
      <c r="F119" s="1">
        <v>28</v>
      </c>
      <c r="G119" s="1" t="s">
        <v>30</v>
      </c>
      <c r="H119" s="1" t="s">
        <v>31</v>
      </c>
      <c r="I119" s="1" t="s">
        <v>30</v>
      </c>
      <c r="J119" s="1" t="s">
        <v>32</v>
      </c>
      <c r="K119" s="1">
        <v>1</v>
      </c>
      <c r="L119" s="1">
        <v>956</v>
      </c>
      <c r="M119" s="1">
        <v>20</v>
      </c>
      <c r="N119" s="1">
        <v>191.2</v>
      </c>
      <c r="O119" s="1">
        <v>137.66</v>
      </c>
      <c r="P119" s="1">
        <v>446</v>
      </c>
      <c r="Q119" s="1">
        <v>1348.46</v>
      </c>
      <c r="R119" s="1" t="s">
        <v>45</v>
      </c>
      <c r="S119" s="1" t="s">
        <v>63</v>
      </c>
      <c r="T119" s="1" t="s">
        <v>46</v>
      </c>
      <c r="U119" s="1" t="s">
        <v>36</v>
      </c>
      <c r="V119" s="1" t="s">
        <v>37</v>
      </c>
      <c r="W119" s="1">
        <v>3</v>
      </c>
      <c r="X119" s="1" t="s">
        <v>47</v>
      </c>
      <c r="Y119" s="1">
        <v>2</v>
      </c>
      <c r="Z119" s="1" t="s">
        <v>47</v>
      </c>
    </row>
    <row r="120" spans="1:26" x14ac:dyDescent="0.3">
      <c r="A120" s="1" t="s">
        <v>319</v>
      </c>
      <c r="B120" s="2">
        <v>46080</v>
      </c>
      <c r="C120" s="1" t="s">
        <v>101</v>
      </c>
      <c r="D120" s="1" t="s">
        <v>108</v>
      </c>
      <c r="E120" s="1" t="s">
        <v>43</v>
      </c>
      <c r="F120" s="1">
        <v>20</v>
      </c>
      <c r="G120" s="1" t="s">
        <v>94</v>
      </c>
      <c r="H120" s="1" t="s">
        <v>31</v>
      </c>
      <c r="I120" s="1" t="s">
        <v>94</v>
      </c>
      <c r="J120" s="1" t="s">
        <v>75</v>
      </c>
      <c r="K120" s="1">
        <v>5</v>
      </c>
      <c r="L120" s="1">
        <v>28102</v>
      </c>
      <c r="M120" s="1">
        <v>5</v>
      </c>
      <c r="N120" s="1">
        <v>7025.5</v>
      </c>
      <c r="O120" s="1">
        <v>24027.21</v>
      </c>
      <c r="P120" s="1">
        <v>281</v>
      </c>
      <c r="Q120" s="1">
        <v>157792.71</v>
      </c>
      <c r="R120" s="1" t="s">
        <v>83</v>
      </c>
      <c r="S120" s="1" t="s">
        <v>34</v>
      </c>
      <c r="T120" s="1" t="s">
        <v>70</v>
      </c>
      <c r="U120" s="1" t="s">
        <v>56</v>
      </c>
      <c r="V120" s="1" t="s">
        <v>57</v>
      </c>
      <c r="W120" s="1">
        <v>5</v>
      </c>
      <c r="X120" s="1" t="s">
        <v>38</v>
      </c>
      <c r="Y120" s="1">
        <v>3</v>
      </c>
      <c r="Z120" s="1" t="s">
        <v>39</v>
      </c>
    </row>
    <row r="121" spans="1:26" x14ac:dyDescent="0.3">
      <c r="A121" s="1" t="s">
        <v>320</v>
      </c>
      <c r="B121" s="2">
        <v>45985</v>
      </c>
      <c r="C121" s="1" t="s">
        <v>321</v>
      </c>
      <c r="D121" s="1" t="s">
        <v>80</v>
      </c>
      <c r="E121" s="1" t="s">
        <v>29</v>
      </c>
      <c r="F121" s="1">
        <v>29</v>
      </c>
      <c r="G121" s="1" t="s">
        <v>134</v>
      </c>
      <c r="H121" s="1" t="s">
        <v>31</v>
      </c>
      <c r="I121" s="1" t="s">
        <v>134</v>
      </c>
      <c r="J121" s="1" t="s">
        <v>150</v>
      </c>
      <c r="K121" s="1">
        <v>4</v>
      </c>
      <c r="L121" s="1">
        <v>2455</v>
      </c>
      <c r="M121" s="1">
        <v>5</v>
      </c>
      <c r="N121" s="1">
        <v>491</v>
      </c>
      <c r="O121" s="1">
        <v>1679.22</v>
      </c>
      <c r="P121" s="1">
        <v>255</v>
      </c>
      <c r="Q121" s="1">
        <v>11263.22</v>
      </c>
      <c r="R121" s="1" t="s">
        <v>54</v>
      </c>
      <c r="S121" s="1" t="s">
        <v>63</v>
      </c>
      <c r="T121" s="1" t="s">
        <v>70</v>
      </c>
      <c r="U121" s="1" t="s">
        <v>56</v>
      </c>
      <c r="V121" s="1" t="s">
        <v>57</v>
      </c>
      <c r="W121" s="1">
        <v>4</v>
      </c>
      <c r="X121" s="1" t="s">
        <v>38</v>
      </c>
      <c r="Y121" s="1">
        <v>4</v>
      </c>
      <c r="Z121" s="1" t="s">
        <v>39</v>
      </c>
    </row>
    <row r="122" spans="1:26" x14ac:dyDescent="0.3">
      <c r="A122" s="1" t="s">
        <v>322</v>
      </c>
      <c r="B122" s="2">
        <v>46002</v>
      </c>
      <c r="C122" s="1" t="s">
        <v>323</v>
      </c>
      <c r="D122" s="1" t="s">
        <v>80</v>
      </c>
      <c r="E122" s="1" t="s">
        <v>29</v>
      </c>
      <c r="F122" s="1">
        <v>39</v>
      </c>
      <c r="G122" s="1" t="s">
        <v>67</v>
      </c>
      <c r="H122" s="1" t="s">
        <v>68</v>
      </c>
      <c r="I122" s="1" t="s">
        <v>67</v>
      </c>
      <c r="J122" s="1" t="s">
        <v>125</v>
      </c>
      <c r="K122" s="1">
        <v>2</v>
      </c>
      <c r="L122" s="1">
        <v>14902</v>
      </c>
      <c r="M122" s="1">
        <v>20</v>
      </c>
      <c r="N122" s="1">
        <v>5960.8</v>
      </c>
      <c r="O122" s="1">
        <v>4291.78</v>
      </c>
      <c r="P122" s="1">
        <v>348</v>
      </c>
      <c r="Q122" s="1">
        <v>28482.98</v>
      </c>
      <c r="R122" s="1" t="s">
        <v>83</v>
      </c>
      <c r="S122" s="1" t="s">
        <v>63</v>
      </c>
      <c r="T122" s="1" t="s">
        <v>76</v>
      </c>
      <c r="U122" s="1" t="s">
        <v>77</v>
      </c>
      <c r="V122" s="1" t="s">
        <v>57</v>
      </c>
      <c r="W122" s="1">
        <v>8</v>
      </c>
      <c r="X122" s="1" t="s">
        <v>38</v>
      </c>
      <c r="Y122" s="1">
        <v>1</v>
      </c>
      <c r="Z122" s="1" t="s">
        <v>58</v>
      </c>
    </row>
    <row r="123" spans="1:26" x14ac:dyDescent="0.3">
      <c r="A123" s="1" t="s">
        <v>324</v>
      </c>
      <c r="B123" s="2">
        <v>45898</v>
      </c>
      <c r="C123" s="1" t="s">
        <v>325</v>
      </c>
      <c r="D123" s="1" t="s">
        <v>89</v>
      </c>
      <c r="E123" s="1" t="s">
        <v>29</v>
      </c>
      <c r="F123" s="1">
        <v>30</v>
      </c>
      <c r="G123" s="1" t="s">
        <v>51</v>
      </c>
      <c r="H123" s="1" t="s">
        <v>52</v>
      </c>
      <c r="I123" s="1" t="s">
        <v>51</v>
      </c>
      <c r="J123" s="1" t="s">
        <v>150</v>
      </c>
      <c r="K123" s="1">
        <v>2</v>
      </c>
      <c r="L123" s="1">
        <v>13003</v>
      </c>
      <c r="M123" s="1">
        <v>5</v>
      </c>
      <c r="N123" s="1">
        <v>1300.3</v>
      </c>
      <c r="O123" s="1">
        <v>4447.03</v>
      </c>
      <c r="P123" s="1">
        <v>199</v>
      </c>
      <c r="Q123" s="1">
        <v>29351.73</v>
      </c>
      <c r="R123" s="1" t="s">
        <v>33</v>
      </c>
      <c r="S123" s="1" t="s">
        <v>63</v>
      </c>
      <c r="T123" s="1" t="s">
        <v>46</v>
      </c>
      <c r="U123" s="1" t="s">
        <v>36</v>
      </c>
      <c r="V123" s="1" t="s">
        <v>37</v>
      </c>
      <c r="W123" s="1">
        <v>1</v>
      </c>
      <c r="X123" s="1" t="s">
        <v>47</v>
      </c>
      <c r="Y123" s="1">
        <v>5</v>
      </c>
      <c r="Z123" s="1" t="s">
        <v>39</v>
      </c>
    </row>
    <row r="124" spans="1:26" x14ac:dyDescent="0.3">
      <c r="A124" s="1" t="s">
        <v>326</v>
      </c>
      <c r="B124" s="2">
        <v>45907</v>
      </c>
      <c r="C124" s="1" t="s">
        <v>327</v>
      </c>
      <c r="D124" s="1" t="s">
        <v>50</v>
      </c>
      <c r="E124" s="1" t="s">
        <v>43</v>
      </c>
      <c r="F124" s="1">
        <v>44</v>
      </c>
      <c r="G124" s="1" t="s">
        <v>74</v>
      </c>
      <c r="H124" s="1" t="s">
        <v>31</v>
      </c>
      <c r="I124" s="1" t="s">
        <v>74</v>
      </c>
      <c r="J124" s="1" t="s">
        <v>75</v>
      </c>
      <c r="K124" s="1">
        <v>5</v>
      </c>
      <c r="L124" s="1">
        <v>7255</v>
      </c>
      <c r="M124" s="1">
        <v>5</v>
      </c>
      <c r="N124" s="1">
        <v>1813.75</v>
      </c>
      <c r="O124" s="1">
        <v>6203.02</v>
      </c>
      <c r="P124" s="1">
        <v>388</v>
      </c>
      <c r="Q124" s="1">
        <v>41052.28</v>
      </c>
      <c r="R124" s="1" t="s">
        <v>45</v>
      </c>
      <c r="S124" s="1" t="s">
        <v>34</v>
      </c>
      <c r="T124" s="1" t="s">
        <v>55</v>
      </c>
      <c r="U124" s="1" t="s">
        <v>56</v>
      </c>
      <c r="V124" s="1" t="s">
        <v>57</v>
      </c>
      <c r="W124" s="1">
        <v>10</v>
      </c>
      <c r="X124" s="1" t="s">
        <v>47</v>
      </c>
      <c r="Y124" s="1">
        <v>2</v>
      </c>
      <c r="Z124" s="1" t="s">
        <v>58</v>
      </c>
    </row>
    <row r="125" spans="1:26" x14ac:dyDescent="0.3">
      <c r="A125" s="1" t="s">
        <v>328</v>
      </c>
      <c r="B125" s="2">
        <v>45897</v>
      </c>
      <c r="C125" s="1" t="s">
        <v>323</v>
      </c>
      <c r="D125" s="1" t="s">
        <v>111</v>
      </c>
      <c r="E125" s="1" t="s">
        <v>29</v>
      </c>
      <c r="F125" s="1">
        <v>39</v>
      </c>
      <c r="G125" s="1" t="s">
        <v>99</v>
      </c>
      <c r="H125" s="1" t="s">
        <v>52</v>
      </c>
      <c r="I125" s="1" t="s">
        <v>99</v>
      </c>
      <c r="J125" s="1" t="s">
        <v>112</v>
      </c>
      <c r="K125" s="1">
        <v>1</v>
      </c>
      <c r="L125" s="1">
        <v>31663</v>
      </c>
      <c r="M125" s="1">
        <v>5</v>
      </c>
      <c r="N125" s="1">
        <v>1583.15</v>
      </c>
      <c r="O125" s="1">
        <v>5414.37</v>
      </c>
      <c r="P125" s="1">
        <v>166</v>
      </c>
      <c r="Q125" s="1">
        <v>35660.22</v>
      </c>
      <c r="R125" s="1" t="s">
        <v>83</v>
      </c>
      <c r="S125" s="1" t="s">
        <v>34</v>
      </c>
      <c r="T125" s="1" t="s">
        <v>55</v>
      </c>
      <c r="U125" s="1" t="s">
        <v>56</v>
      </c>
      <c r="V125" s="1" t="s">
        <v>57</v>
      </c>
      <c r="W125" s="1">
        <v>1</v>
      </c>
      <c r="X125" s="1" t="s">
        <v>47</v>
      </c>
      <c r="Y125" s="1">
        <v>2</v>
      </c>
      <c r="Z125" s="1" t="s">
        <v>47</v>
      </c>
    </row>
    <row r="126" spans="1:26" x14ac:dyDescent="0.3">
      <c r="A126" s="1" t="s">
        <v>329</v>
      </c>
      <c r="B126" s="2">
        <v>45870</v>
      </c>
      <c r="C126" s="1" t="s">
        <v>330</v>
      </c>
      <c r="D126" s="1" t="s">
        <v>66</v>
      </c>
      <c r="E126" s="1" t="s">
        <v>29</v>
      </c>
      <c r="F126" s="1">
        <v>40</v>
      </c>
      <c r="G126" s="1" t="s">
        <v>99</v>
      </c>
      <c r="H126" s="1" t="s">
        <v>52</v>
      </c>
      <c r="I126" s="1" t="s">
        <v>99</v>
      </c>
      <c r="J126" s="1" t="s">
        <v>53</v>
      </c>
      <c r="K126" s="1">
        <v>2</v>
      </c>
      <c r="L126" s="1">
        <v>48930</v>
      </c>
      <c r="M126" s="1">
        <v>10</v>
      </c>
      <c r="N126" s="1">
        <v>9786</v>
      </c>
      <c r="O126" s="1">
        <v>15853.32</v>
      </c>
      <c r="P126" s="1">
        <v>400</v>
      </c>
      <c r="Q126" s="1">
        <v>104327.32</v>
      </c>
      <c r="R126" s="1" t="s">
        <v>83</v>
      </c>
      <c r="S126" s="1" t="s">
        <v>63</v>
      </c>
      <c r="T126" s="1" t="s">
        <v>76</v>
      </c>
      <c r="U126" s="1" t="s">
        <v>77</v>
      </c>
      <c r="V126" s="1" t="s">
        <v>57</v>
      </c>
      <c r="W126" s="1">
        <v>10</v>
      </c>
      <c r="X126" s="1" t="s">
        <v>38</v>
      </c>
      <c r="Y126" s="1">
        <v>1</v>
      </c>
      <c r="Z126" s="1" t="s">
        <v>58</v>
      </c>
    </row>
    <row r="127" spans="1:26" x14ac:dyDescent="0.3">
      <c r="A127" s="1" t="s">
        <v>331</v>
      </c>
      <c r="B127" s="2">
        <v>46079</v>
      </c>
      <c r="C127" s="1" t="s">
        <v>332</v>
      </c>
      <c r="D127" s="1" t="s">
        <v>50</v>
      </c>
      <c r="E127" s="1" t="s">
        <v>43</v>
      </c>
      <c r="F127" s="1">
        <v>42</v>
      </c>
      <c r="G127" s="1" t="s">
        <v>139</v>
      </c>
      <c r="H127" s="1" t="s">
        <v>31</v>
      </c>
      <c r="I127" s="1" t="s">
        <v>139</v>
      </c>
      <c r="J127" s="1" t="s">
        <v>125</v>
      </c>
      <c r="K127" s="1">
        <v>4</v>
      </c>
      <c r="L127" s="1">
        <v>11876</v>
      </c>
      <c r="M127" s="1">
        <v>20</v>
      </c>
      <c r="N127" s="1">
        <v>9500.7999999999993</v>
      </c>
      <c r="O127" s="1">
        <v>6840.58</v>
      </c>
      <c r="P127" s="1">
        <v>31</v>
      </c>
      <c r="Q127" s="1">
        <v>44874.78</v>
      </c>
      <c r="R127" s="1" t="s">
        <v>83</v>
      </c>
      <c r="S127" s="1" t="s">
        <v>34</v>
      </c>
      <c r="T127" s="1" t="s">
        <v>35</v>
      </c>
      <c r="U127" s="1" t="s">
        <v>36</v>
      </c>
      <c r="V127" s="1" t="s">
        <v>37</v>
      </c>
      <c r="W127" s="1">
        <v>3</v>
      </c>
      <c r="X127" s="1" t="s">
        <v>38</v>
      </c>
      <c r="Y127" s="1">
        <v>3</v>
      </c>
      <c r="Z127" s="1" t="s">
        <v>47</v>
      </c>
    </row>
    <row r="128" spans="1:26" x14ac:dyDescent="0.3">
      <c r="A128" s="1" t="s">
        <v>333</v>
      </c>
      <c r="B128" s="2">
        <v>46017</v>
      </c>
      <c r="C128" s="1" t="s">
        <v>334</v>
      </c>
      <c r="D128" s="1" t="s">
        <v>66</v>
      </c>
      <c r="E128" s="1" t="s">
        <v>29</v>
      </c>
      <c r="F128" s="1">
        <v>18</v>
      </c>
      <c r="G128" s="1" t="s">
        <v>51</v>
      </c>
      <c r="H128" s="1" t="s">
        <v>52</v>
      </c>
      <c r="I128" s="1" t="s">
        <v>51</v>
      </c>
      <c r="J128" s="1" t="s">
        <v>102</v>
      </c>
      <c r="K128" s="1">
        <v>3</v>
      </c>
      <c r="L128" s="1">
        <v>6898</v>
      </c>
      <c r="M128" s="1">
        <v>10</v>
      </c>
      <c r="N128" s="1">
        <v>2069.4</v>
      </c>
      <c r="O128" s="1">
        <v>3352.43</v>
      </c>
      <c r="P128" s="1">
        <v>417</v>
      </c>
      <c r="Q128" s="1">
        <v>22394.03</v>
      </c>
      <c r="R128" s="1" t="s">
        <v>83</v>
      </c>
      <c r="S128" s="1" t="s">
        <v>34</v>
      </c>
      <c r="T128" s="1" t="s">
        <v>76</v>
      </c>
      <c r="U128" s="1" t="s">
        <v>77</v>
      </c>
      <c r="V128" s="1" t="s">
        <v>57</v>
      </c>
      <c r="W128" s="1">
        <v>4</v>
      </c>
      <c r="X128" s="1" t="s">
        <v>38</v>
      </c>
      <c r="Y128" s="1">
        <v>2</v>
      </c>
      <c r="Z128" s="1" t="s">
        <v>39</v>
      </c>
    </row>
    <row r="129" spans="1:26" x14ac:dyDescent="0.3">
      <c r="A129" s="1" t="s">
        <v>335</v>
      </c>
      <c r="B129" s="2">
        <v>46114</v>
      </c>
      <c r="C129" s="1" t="s">
        <v>336</v>
      </c>
      <c r="D129" s="1" t="s">
        <v>50</v>
      </c>
      <c r="E129" s="1" t="s">
        <v>43</v>
      </c>
      <c r="F129" s="1">
        <v>33</v>
      </c>
      <c r="G129" s="1" t="s">
        <v>94</v>
      </c>
      <c r="H129" s="1" t="s">
        <v>31</v>
      </c>
      <c r="I129" s="1" t="s">
        <v>94</v>
      </c>
      <c r="J129" s="1" t="s">
        <v>69</v>
      </c>
      <c r="K129" s="1">
        <v>5</v>
      </c>
      <c r="L129" s="1">
        <v>27664</v>
      </c>
      <c r="M129" s="1">
        <v>0</v>
      </c>
      <c r="N129" s="1">
        <v>0</v>
      </c>
      <c r="O129" s="1">
        <v>24897.599999999999</v>
      </c>
      <c r="P129" s="1">
        <v>18</v>
      </c>
      <c r="Q129" s="1">
        <v>163235.6</v>
      </c>
      <c r="R129" s="1" t="s">
        <v>33</v>
      </c>
      <c r="S129" s="1" t="s">
        <v>63</v>
      </c>
      <c r="T129" s="1" t="s">
        <v>103</v>
      </c>
      <c r="U129" s="1" t="s">
        <v>103</v>
      </c>
      <c r="V129" s="1" t="s">
        <v>57</v>
      </c>
      <c r="W129" s="1">
        <v>10</v>
      </c>
      <c r="X129" s="1" t="s">
        <v>47</v>
      </c>
      <c r="Y129" s="1">
        <v>3</v>
      </c>
      <c r="Z129" s="1" t="s">
        <v>47</v>
      </c>
    </row>
    <row r="130" spans="1:26" x14ac:dyDescent="0.3">
      <c r="A130" s="1" t="s">
        <v>337</v>
      </c>
      <c r="B130" s="2">
        <v>45899</v>
      </c>
      <c r="C130" s="1" t="s">
        <v>338</v>
      </c>
      <c r="D130" s="1" t="s">
        <v>28</v>
      </c>
      <c r="E130" s="1" t="s">
        <v>43</v>
      </c>
      <c r="F130" s="1">
        <v>25</v>
      </c>
      <c r="G130" s="1" t="s">
        <v>74</v>
      </c>
      <c r="H130" s="1" t="s">
        <v>31</v>
      </c>
      <c r="I130" s="1" t="s">
        <v>74</v>
      </c>
      <c r="J130" s="1" t="s">
        <v>125</v>
      </c>
      <c r="K130" s="1">
        <v>5</v>
      </c>
      <c r="L130" s="1">
        <v>31878</v>
      </c>
      <c r="M130" s="1">
        <v>5</v>
      </c>
      <c r="N130" s="1">
        <v>7969.5</v>
      </c>
      <c r="O130" s="1">
        <v>27255.69</v>
      </c>
      <c r="P130" s="1">
        <v>288</v>
      </c>
      <c r="Q130" s="1">
        <v>178964.19</v>
      </c>
      <c r="R130" s="1" t="s">
        <v>45</v>
      </c>
      <c r="S130" s="1" t="s">
        <v>63</v>
      </c>
      <c r="T130" s="1" t="s">
        <v>95</v>
      </c>
      <c r="U130" s="1" t="s">
        <v>96</v>
      </c>
      <c r="V130" s="1" t="s">
        <v>57</v>
      </c>
      <c r="W130" s="1">
        <v>7</v>
      </c>
      <c r="X130" s="1" t="s">
        <v>38</v>
      </c>
      <c r="Y130" s="1">
        <v>4</v>
      </c>
      <c r="Z130" s="1" t="s">
        <v>47</v>
      </c>
    </row>
    <row r="131" spans="1:26" x14ac:dyDescent="0.3">
      <c r="A131" s="1" t="s">
        <v>339</v>
      </c>
      <c r="B131" s="2">
        <v>46019</v>
      </c>
      <c r="C131" s="1" t="s">
        <v>340</v>
      </c>
      <c r="D131" s="1" t="s">
        <v>89</v>
      </c>
      <c r="E131" s="1" t="s">
        <v>29</v>
      </c>
      <c r="F131" s="1">
        <v>40</v>
      </c>
      <c r="G131" s="1" t="s">
        <v>139</v>
      </c>
      <c r="H131" s="1" t="s">
        <v>31</v>
      </c>
      <c r="I131" s="1" t="s">
        <v>139</v>
      </c>
      <c r="J131" s="1" t="s">
        <v>112</v>
      </c>
      <c r="K131" s="1">
        <v>2</v>
      </c>
      <c r="L131" s="1">
        <v>33074</v>
      </c>
      <c r="M131" s="1">
        <v>10</v>
      </c>
      <c r="N131" s="1">
        <v>6614.8</v>
      </c>
      <c r="O131" s="1">
        <v>10715.98</v>
      </c>
      <c r="P131" s="1">
        <v>377</v>
      </c>
      <c r="Q131" s="1">
        <v>70626.179999999993</v>
      </c>
      <c r="R131" s="1" t="s">
        <v>33</v>
      </c>
      <c r="S131" s="1" t="s">
        <v>34</v>
      </c>
      <c r="T131" s="1" t="s">
        <v>103</v>
      </c>
      <c r="U131" s="1" t="s">
        <v>103</v>
      </c>
      <c r="V131" s="1" t="s">
        <v>57</v>
      </c>
      <c r="W131" s="1">
        <v>4</v>
      </c>
      <c r="X131" s="1" t="s">
        <v>47</v>
      </c>
      <c r="Y131" s="1">
        <v>3</v>
      </c>
      <c r="Z131" s="1" t="s">
        <v>39</v>
      </c>
    </row>
    <row r="132" spans="1:26" x14ac:dyDescent="0.3">
      <c r="A132" s="1" t="s">
        <v>341</v>
      </c>
      <c r="B132" s="2">
        <v>46112</v>
      </c>
      <c r="C132" s="1" t="s">
        <v>342</v>
      </c>
      <c r="D132" s="1" t="s">
        <v>108</v>
      </c>
      <c r="E132" s="1" t="s">
        <v>29</v>
      </c>
      <c r="F132" s="1">
        <v>29</v>
      </c>
      <c r="G132" s="1" t="s">
        <v>134</v>
      </c>
      <c r="H132" s="1" t="s">
        <v>31</v>
      </c>
      <c r="I132" s="1" t="s">
        <v>134</v>
      </c>
      <c r="J132" s="1" t="s">
        <v>102</v>
      </c>
      <c r="K132" s="1">
        <v>1</v>
      </c>
      <c r="L132" s="1">
        <v>24321</v>
      </c>
      <c r="M132" s="1">
        <v>10</v>
      </c>
      <c r="N132" s="1">
        <v>2432.1</v>
      </c>
      <c r="O132" s="1">
        <v>3940</v>
      </c>
      <c r="P132" s="1">
        <v>350</v>
      </c>
      <c r="Q132" s="1">
        <v>26178.9</v>
      </c>
      <c r="R132" s="1" t="s">
        <v>45</v>
      </c>
      <c r="S132" s="1" t="s">
        <v>63</v>
      </c>
      <c r="T132" s="1" t="s">
        <v>103</v>
      </c>
      <c r="U132" s="1" t="s">
        <v>103</v>
      </c>
      <c r="V132" s="1" t="s">
        <v>57</v>
      </c>
      <c r="W132" s="1">
        <v>3</v>
      </c>
      <c r="X132" s="1" t="s">
        <v>47</v>
      </c>
      <c r="Y132" s="1">
        <v>5</v>
      </c>
      <c r="Z132" s="1" t="s">
        <v>39</v>
      </c>
    </row>
    <row r="133" spans="1:26" x14ac:dyDescent="0.3">
      <c r="A133" s="1" t="s">
        <v>343</v>
      </c>
      <c r="B133" s="2">
        <v>45800</v>
      </c>
      <c r="C133" s="1" t="s">
        <v>344</v>
      </c>
      <c r="D133" s="1" t="s">
        <v>108</v>
      </c>
      <c r="E133" s="1" t="s">
        <v>29</v>
      </c>
      <c r="F133" s="1">
        <v>45</v>
      </c>
      <c r="G133" s="1" t="s">
        <v>74</v>
      </c>
      <c r="H133" s="1" t="s">
        <v>31</v>
      </c>
      <c r="I133" s="1" t="s">
        <v>74</v>
      </c>
      <c r="J133" s="1" t="s">
        <v>150</v>
      </c>
      <c r="K133" s="1">
        <v>4</v>
      </c>
      <c r="L133" s="1">
        <v>42895</v>
      </c>
      <c r="M133" s="1">
        <v>15</v>
      </c>
      <c r="N133" s="1">
        <v>25737</v>
      </c>
      <c r="O133" s="1">
        <v>26251.74</v>
      </c>
      <c r="P133" s="1">
        <v>98</v>
      </c>
      <c r="Q133" s="1">
        <v>172192.74</v>
      </c>
      <c r="R133" s="1" t="s">
        <v>83</v>
      </c>
      <c r="S133" s="1" t="s">
        <v>34</v>
      </c>
      <c r="T133" s="1" t="s">
        <v>95</v>
      </c>
      <c r="U133" s="1" t="s">
        <v>96</v>
      </c>
      <c r="V133" s="1" t="s">
        <v>57</v>
      </c>
      <c r="W133" s="1">
        <v>9</v>
      </c>
      <c r="X133" s="1" t="s">
        <v>47</v>
      </c>
      <c r="Y133" s="1">
        <v>1</v>
      </c>
      <c r="Z133" s="1" t="s">
        <v>91</v>
      </c>
    </row>
    <row r="134" spans="1:26" x14ac:dyDescent="0.3">
      <c r="A134" s="1" t="s">
        <v>345</v>
      </c>
      <c r="B134" s="2">
        <v>46058</v>
      </c>
      <c r="C134" s="1" t="s">
        <v>346</v>
      </c>
      <c r="D134" s="1" t="s">
        <v>28</v>
      </c>
      <c r="E134" s="1" t="s">
        <v>29</v>
      </c>
      <c r="F134" s="1">
        <v>58</v>
      </c>
      <c r="G134" s="1" t="s">
        <v>44</v>
      </c>
      <c r="H134" s="1" t="s">
        <v>31</v>
      </c>
      <c r="I134" s="1" t="s">
        <v>44</v>
      </c>
      <c r="J134" s="1" t="s">
        <v>125</v>
      </c>
      <c r="K134" s="1">
        <v>5</v>
      </c>
      <c r="L134" s="1">
        <v>48980</v>
      </c>
      <c r="M134" s="1">
        <v>0</v>
      </c>
      <c r="N134" s="1">
        <v>0</v>
      </c>
      <c r="O134" s="1">
        <v>44082</v>
      </c>
      <c r="P134" s="1">
        <v>96</v>
      </c>
      <c r="Q134" s="1">
        <v>289078</v>
      </c>
      <c r="R134" s="1" t="s">
        <v>83</v>
      </c>
      <c r="S134" s="1" t="s">
        <v>34</v>
      </c>
      <c r="T134" s="1" t="s">
        <v>76</v>
      </c>
      <c r="U134" s="1" t="s">
        <v>77</v>
      </c>
      <c r="V134" s="1" t="s">
        <v>57</v>
      </c>
      <c r="W134" s="1">
        <v>5</v>
      </c>
      <c r="X134" s="1" t="s">
        <v>47</v>
      </c>
      <c r="Y134" s="1">
        <v>2</v>
      </c>
      <c r="Z134" s="1" t="s">
        <v>47</v>
      </c>
    </row>
    <row r="135" spans="1:26" x14ac:dyDescent="0.3">
      <c r="A135" s="1" t="s">
        <v>347</v>
      </c>
      <c r="B135" s="2">
        <v>45852</v>
      </c>
      <c r="C135" s="1" t="s">
        <v>225</v>
      </c>
      <c r="D135" s="1" t="s">
        <v>50</v>
      </c>
      <c r="E135" s="1" t="s">
        <v>43</v>
      </c>
      <c r="F135" s="1">
        <v>33</v>
      </c>
      <c r="G135" s="1" t="s">
        <v>134</v>
      </c>
      <c r="H135" s="1" t="s">
        <v>31</v>
      </c>
      <c r="I135" s="1" t="s">
        <v>134</v>
      </c>
      <c r="J135" s="1" t="s">
        <v>150</v>
      </c>
      <c r="K135" s="1">
        <v>1</v>
      </c>
      <c r="L135" s="1">
        <v>49527</v>
      </c>
      <c r="M135" s="1">
        <v>0</v>
      </c>
      <c r="N135" s="1">
        <v>0</v>
      </c>
      <c r="O135" s="1">
        <v>8914.86</v>
      </c>
      <c r="P135" s="1">
        <v>456</v>
      </c>
      <c r="Q135" s="1">
        <v>58897.86</v>
      </c>
      <c r="R135" s="1" t="s">
        <v>54</v>
      </c>
      <c r="S135" s="1" t="s">
        <v>34</v>
      </c>
      <c r="T135" s="1" t="s">
        <v>46</v>
      </c>
      <c r="U135" s="1" t="s">
        <v>36</v>
      </c>
      <c r="V135" s="1" t="s">
        <v>37</v>
      </c>
      <c r="W135" s="1">
        <v>5</v>
      </c>
      <c r="X135" s="1" t="s">
        <v>47</v>
      </c>
      <c r="Y135" s="1">
        <v>5</v>
      </c>
      <c r="Z135" s="1" t="s">
        <v>47</v>
      </c>
    </row>
    <row r="136" spans="1:26" x14ac:dyDescent="0.3">
      <c r="A136" s="1" t="s">
        <v>348</v>
      </c>
      <c r="B136" s="2">
        <v>45771</v>
      </c>
      <c r="C136" s="1" t="s">
        <v>349</v>
      </c>
      <c r="D136" s="1" t="s">
        <v>73</v>
      </c>
      <c r="E136" s="1" t="s">
        <v>29</v>
      </c>
      <c r="F136" s="1">
        <v>55</v>
      </c>
      <c r="G136" s="1" t="s">
        <v>134</v>
      </c>
      <c r="H136" s="1" t="s">
        <v>31</v>
      </c>
      <c r="I136" s="1" t="s">
        <v>134</v>
      </c>
      <c r="J136" s="1" t="s">
        <v>102</v>
      </c>
      <c r="K136" s="1">
        <v>4</v>
      </c>
      <c r="L136" s="1">
        <v>24297</v>
      </c>
      <c r="M136" s="1">
        <v>5</v>
      </c>
      <c r="N136" s="1">
        <v>4859.3999999999996</v>
      </c>
      <c r="O136" s="1">
        <v>16619.150000000001</v>
      </c>
      <c r="P136" s="1">
        <v>167</v>
      </c>
      <c r="Q136" s="1">
        <v>109114.75</v>
      </c>
      <c r="R136" s="1" t="s">
        <v>45</v>
      </c>
      <c r="S136" s="1" t="s">
        <v>34</v>
      </c>
      <c r="T136" s="1" t="s">
        <v>95</v>
      </c>
      <c r="U136" s="1" t="s">
        <v>96</v>
      </c>
      <c r="V136" s="1" t="s">
        <v>57</v>
      </c>
      <c r="W136" s="1">
        <v>5</v>
      </c>
      <c r="X136" s="1" t="s">
        <v>38</v>
      </c>
      <c r="Y136" s="1">
        <v>1</v>
      </c>
      <c r="Z136" s="1" t="s">
        <v>39</v>
      </c>
    </row>
    <row r="137" spans="1:26" x14ac:dyDescent="0.3">
      <c r="A137" s="1" t="s">
        <v>350</v>
      </c>
      <c r="B137" s="2">
        <v>45793</v>
      </c>
      <c r="C137" s="1" t="s">
        <v>351</v>
      </c>
      <c r="D137" s="1" t="s">
        <v>80</v>
      </c>
      <c r="E137" s="1" t="s">
        <v>43</v>
      </c>
      <c r="F137" s="1">
        <v>57</v>
      </c>
      <c r="G137" s="1" t="s">
        <v>74</v>
      </c>
      <c r="H137" s="1" t="s">
        <v>31</v>
      </c>
      <c r="I137" s="1" t="s">
        <v>74</v>
      </c>
      <c r="J137" s="1" t="s">
        <v>112</v>
      </c>
      <c r="K137" s="1">
        <v>5</v>
      </c>
      <c r="L137" s="1">
        <v>47683</v>
      </c>
      <c r="M137" s="1">
        <v>5</v>
      </c>
      <c r="N137" s="1">
        <v>11920.75</v>
      </c>
      <c r="O137" s="1">
        <v>40768.959999999999</v>
      </c>
      <c r="P137" s="1">
        <v>420</v>
      </c>
      <c r="Q137" s="1">
        <v>267683.21000000002</v>
      </c>
      <c r="R137" s="1" t="s">
        <v>33</v>
      </c>
      <c r="S137" s="1" t="s">
        <v>34</v>
      </c>
      <c r="T137" s="1" t="s">
        <v>103</v>
      </c>
      <c r="U137" s="1" t="s">
        <v>103</v>
      </c>
      <c r="V137" s="1" t="s">
        <v>57</v>
      </c>
      <c r="W137" s="1">
        <v>4</v>
      </c>
      <c r="X137" s="1" t="s">
        <v>47</v>
      </c>
      <c r="Y137" s="1">
        <v>4</v>
      </c>
      <c r="Z137" s="1" t="s">
        <v>39</v>
      </c>
    </row>
    <row r="138" spans="1:26" x14ac:dyDescent="0.3">
      <c r="A138" s="1" t="s">
        <v>352</v>
      </c>
      <c r="B138" s="2">
        <v>45910</v>
      </c>
      <c r="C138" s="1" t="s">
        <v>353</v>
      </c>
      <c r="D138" s="1" t="s">
        <v>61</v>
      </c>
      <c r="E138" s="1" t="s">
        <v>43</v>
      </c>
      <c r="F138" s="1">
        <v>59</v>
      </c>
      <c r="G138" s="1" t="s">
        <v>44</v>
      </c>
      <c r="H138" s="1" t="s">
        <v>31</v>
      </c>
      <c r="I138" s="1" t="s">
        <v>44</v>
      </c>
      <c r="J138" s="1" t="s">
        <v>201</v>
      </c>
      <c r="K138" s="1">
        <v>3</v>
      </c>
      <c r="L138" s="1">
        <v>48486</v>
      </c>
      <c r="M138" s="1">
        <v>0</v>
      </c>
      <c r="N138" s="1">
        <v>0</v>
      </c>
      <c r="O138" s="1">
        <v>26182.44</v>
      </c>
      <c r="P138" s="1">
        <v>460</v>
      </c>
      <c r="Q138" s="1">
        <v>172100.44</v>
      </c>
      <c r="R138" s="1" t="s">
        <v>54</v>
      </c>
      <c r="S138" s="1" t="s">
        <v>34</v>
      </c>
      <c r="T138" s="1" t="s">
        <v>84</v>
      </c>
      <c r="U138" s="1" t="s">
        <v>85</v>
      </c>
      <c r="V138" s="1" t="s">
        <v>86</v>
      </c>
      <c r="W138" s="1">
        <v>6</v>
      </c>
      <c r="X138" s="1" t="s">
        <v>38</v>
      </c>
      <c r="Y138" s="1">
        <v>2</v>
      </c>
      <c r="Z138" s="1" t="s">
        <v>58</v>
      </c>
    </row>
    <row r="139" spans="1:26" x14ac:dyDescent="0.3">
      <c r="A139" s="1" t="s">
        <v>354</v>
      </c>
      <c r="B139" s="2">
        <v>45844</v>
      </c>
      <c r="C139" s="1" t="s">
        <v>355</v>
      </c>
      <c r="D139" s="1" t="s">
        <v>80</v>
      </c>
      <c r="E139" s="1" t="s">
        <v>43</v>
      </c>
      <c r="F139" s="1">
        <v>18</v>
      </c>
      <c r="G139" s="1" t="s">
        <v>74</v>
      </c>
      <c r="H139" s="1" t="s">
        <v>31</v>
      </c>
      <c r="I139" s="1" t="s">
        <v>74</v>
      </c>
      <c r="J139" s="1" t="s">
        <v>62</v>
      </c>
      <c r="K139" s="1">
        <v>4</v>
      </c>
      <c r="L139" s="1">
        <v>35587</v>
      </c>
      <c r="M139" s="1">
        <v>10</v>
      </c>
      <c r="N139" s="1">
        <v>14234.8</v>
      </c>
      <c r="O139" s="1">
        <v>23060.38</v>
      </c>
      <c r="P139" s="1">
        <v>243</v>
      </c>
      <c r="Q139" s="1">
        <v>151416.57999999999</v>
      </c>
      <c r="R139" s="1" t="s">
        <v>83</v>
      </c>
      <c r="S139" s="1" t="s">
        <v>34</v>
      </c>
      <c r="T139" s="1" t="s">
        <v>70</v>
      </c>
      <c r="U139" s="1" t="s">
        <v>56</v>
      </c>
      <c r="V139" s="1" t="s">
        <v>57</v>
      </c>
      <c r="W139" s="1">
        <v>3</v>
      </c>
      <c r="X139" s="1" t="s">
        <v>38</v>
      </c>
      <c r="Y139" s="1">
        <v>4</v>
      </c>
      <c r="Z139" s="1" t="s">
        <v>91</v>
      </c>
    </row>
    <row r="140" spans="1:26" x14ac:dyDescent="0.3">
      <c r="A140" s="1" t="s">
        <v>356</v>
      </c>
      <c r="B140" s="2">
        <v>45870</v>
      </c>
      <c r="C140" s="1" t="s">
        <v>332</v>
      </c>
      <c r="D140" s="1" t="s">
        <v>28</v>
      </c>
      <c r="E140" s="1" t="s">
        <v>43</v>
      </c>
      <c r="F140" s="1">
        <v>47</v>
      </c>
      <c r="G140" s="1" t="s">
        <v>90</v>
      </c>
      <c r="H140" s="1" t="s">
        <v>31</v>
      </c>
      <c r="I140" s="1" t="s">
        <v>90</v>
      </c>
      <c r="J140" s="1" t="s">
        <v>150</v>
      </c>
      <c r="K140" s="1">
        <v>5</v>
      </c>
      <c r="L140" s="1">
        <v>38537</v>
      </c>
      <c r="M140" s="1">
        <v>20</v>
      </c>
      <c r="N140" s="1">
        <v>38537</v>
      </c>
      <c r="O140" s="1">
        <v>27746.639999999999</v>
      </c>
      <c r="P140" s="1">
        <v>428</v>
      </c>
      <c r="Q140" s="1">
        <v>182322.64</v>
      </c>
      <c r="R140" s="1" t="s">
        <v>54</v>
      </c>
      <c r="S140" s="1" t="s">
        <v>63</v>
      </c>
      <c r="T140" s="1" t="s">
        <v>84</v>
      </c>
      <c r="U140" s="1" t="s">
        <v>85</v>
      </c>
      <c r="V140" s="1" t="s">
        <v>86</v>
      </c>
      <c r="W140" s="1">
        <v>8</v>
      </c>
      <c r="X140" s="1" t="s">
        <v>38</v>
      </c>
      <c r="Y140" s="1">
        <v>1</v>
      </c>
      <c r="Z140" s="1" t="s">
        <v>91</v>
      </c>
    </row>
    <row r="141" spans="1:26" x14ac:dyDescent="0.3">
      <c r="A141" s="1" t="s">
        <v>357</v>
      </c>
      <c r="B141" s="2">
        <v>46021</v>
      </c>
      <c r="C141" s="1" t="s">
        <v>279</v>
      </c>
      <c r="D141" s="1" t="s">
        <v>42</v>
      </c>
      <c r="E141" s="1" t="s">
        <v>29</v>
      </c>
      <c r="F141" s="1">
        <v>18</v>
      </c>
      <c r="G141" s="1" t="s">
        <v>90</v>
      </c>
      <c r="H141" s="1" t="s">
        <v>31</v>
      </c>
      <c r="I141" s="1" t="s">
        <v>90</v>
      </c>
      <c r="J141" s="1" t="s">
        <v>125</v>
      </c>
      <c r="K141" s="1">
        <v>5</v>
      </c>
      <c r="L141" s="1">
        <v>2675</v>
      </c>
      <c r="M141" s="1">
        <v>15</v>
      </c>
      <c r="N141" s="1">
        <v>2006.25</v>
      </c>
      <c r="O141" s="1">
        <v>2046.38</v>
      </c>
      <c r="P141" s="1">
        <v>318</v>
      </c>
      <c r="Q141" s="1">
        <v>13733.12</v>
      </c>
      <c r="R141" s="1" t="s">
        <v>33</v>
      </c>
      <c r="S141" s="1" t="s">
        <v>34</v>
      </c>
      <c r="T141" s="1" t="s">
        <v>46</v>
      </c>
      <c r="U141" s="1" t="s">
        <v>36</v>
      </c>
      <c r="V141" s="1" t="s">
        <v>37</v>
      </c>
      <c r="W141" s="1">
        <v>3</v>
      </c>
      <c r="X141" s="1" t="s">
        <v>47</v>
      </c>
      <c r="Y141" s="1">
        <v>1</v>
      </c>
      <c r="Z141" s="1" t="s">
        <v>58</v>
      </c>
    </row>
    <row r="142" spans="1:26" x14ac:dyDescent="0.3">
      <c r="A142" s="1" t="s">
        <v>358</v>
      </c>
      <c r="B142" s="2">
        <v>45776</v>
      </c>
      <c r="C142" s="1" t="s">
        <v>359</v>
      </c>
      <c r="D142" s="1" t="s">
        <v>80</v>
      </c>
      <c r="E142" s="1" t="s">
        <v>43</v>
      </c>
      <c r="F142" s="1">
        <v>43</v>
      </c>
      <c r="G142" s="1" t="s">
        <v>67</v>
      </c>
      <c r="H142" s="1" t="s">
        <v>68</v>
      </c>
      <c r="I142" s="1" t="s">
        <v>67</v>
      </c>
      <c r="J142" s="1" t="s">
        <v>150</v>
      </c>
      <c r="K142" s="1">
        <v>3</v>
      </c>
      <c r="L142" s="1">
        <v>31905</v>
      </c>
      <c r="M142" s="1">
        <v>5</v>
      </c>
      <c r="N142" s="1">
        <v>4785.75</v>
      </c>
      <c r="O142" s="1">
        <v>16367.26</v>
      </c>
      <c r="P142" s="1">
        <v>396</v>
      </c>
      <c r="Q142" s="1">
        <v>107692.51</v>
      </c>
      <c r="R142" s="1" t="s">
        <v>83</v>
      </c>
      <c r="S142" s="1" t="s">
        <v>63</v>
      </c>
      <c r="T142" s="1" t="s">
        <v>70</v>
      </c>
      <c r="U142" s="1" t="s">
        <v>56</v>
      </c>
      <c r="V142" s="1" t="s">
        <v>57</v>
      </c>
      <c r="W142" s="1">
        <v>2</v>
      </c>
      <c r="X142" s="1" t="s">
        <v>47</v>
      </c>
      <c r="Y142" s="1">
        <v>5</v>
      </c>
      <c r="Z142" s="1" t="s">
        <v>58</v>
      </c>
    </row>
    <row r="143" spans="1:26" x14ac:dyDescent="0.3">
      <c r="A143" s="1" t="s">
        <v>360</v>
      </c>
      <c r="B143" s="2">
        <v>45869</v>
      </c>
      <c r="C143" s="1" t="s">
        <v>105</v>
      </c>
      <c r="D143" s="1" t="s">
        <v>28</v>
      </c>
      <c r="E143" s="1" t="s">
        <v>43</v>
      </c>
      <c r="F143" s="1">
        <v>60</v>
      </c>
      <c r="G143" s="1" t="s">
        <v>90</v>
      </c>
      <c r="H143" s="1" t="s">
        <v>31</v>
      </c>
      <c r="I143" s="1" t="s">
        <v>90</v>
      </c>
      <c r="J143" s="1" t="s">
        <v>201</v>
      </c>
      <c r="K143" s="1">
        <v>1</v>
      </c>
      <c r="L143" s="1">
        <v>37253</v>
      </c>
      <c r="M143" s="1">
        <v>5</v>
      </c>
      <c r="N143" s="1">
        <v>1862.65</v>
      </c>
      <c r="O143" s="1">
        <v>6370.26</v>
      </c>
      <c r="P143" s="1">
        <v>234</v>
      </c>
      <c r="Q143" s="1">
        <v>41994.61</v>
      </c>
      <c r="R143" s="1" t="s">
        <v>45</v>
      </c>
      <c r="S143" s="1" t="s">
        <v>34</v>
      </c>
      <c r="T143" s="1" t="s">
        <v>76</v>
      </c>
      <c r="U143" s="1" t="s">
        <v>77</v>
      </c>
      <c r="V143" s="1" t="s">
        <v>57</v>
      </c>
      <c r="W143" s="1">
        <v>4</v>
      </c>
      <c r="X143" s="1" t="s">
        <v>38</v>
      </c>
      <c r="Y143" s="1">
        <v>1</v>
      </c>
      <c r="Z143" s="1" t="s">
        <v>39</v>
      </c>
    </row>
    <row r="144" spans="1:26" x14ac:dyDescent="0.3">
      <c r="A144" s="1" t="s">
        <v>361</v>
      </c>
      <c r="B144" s="2">
        <v>45941</v>
      </c>
      <c r="C144" s="1" t="s">
        <v>351</v>
      </c>
      <c r="D144" s="1" t="s">
        <v>80</v>
      </c>
      <c r="E144" s="1" t="s">
        <v>29</v>
      </c>
      <c r="F144" s="1">
        <v>24</v>
      </c>
      <c r="G144" s="1" t="s">
        <v>74</v>
      </c>
      <c r="H144" s="1" t="s">
        <v>31</v>
      </c>
      <c r="I144" s="1" t="s">
        <v>74</v>
      </c>
      <c r="J144" s="1" t="s">
        <v>112</v>
      </c>
      <c r="K144" s="1">
        <v>1</v>
      </c>
      <c r="L144" s="1">
        <v>7447</v>
      </c>
      <c r="M144" s="1">
        <v>20</v>
      </c>
      <c r="N144" s="1">
        <v>1489.4</v>
      </c>
      <c r="O144" s="1">
        <v>1072.3699999999999</v>
      </c>
      <c r="P144" s="1">
        <v>383</v>
      </c>
      <c r="Q144" s="1">
        <v>7412.97</v>
      </c>
      <c r="R144" s="1" t="s">
        <v>33</v>
      </c>
      <c r="S144" s="1" t="s">
        <v>34</v>
      </c>
      <c r="T144" s="1" t="s">
        <v>103</v>
      </c>
      <c r="U144" s="1" t="s">
        <v>103</v>
      </c>
      <c r="V144" s="1" t="s">
        <v>57</v>
      </c>
      <c r="W144" s="1">
        <v>6</v>
      </c>
      <c r="X144" s="1" t="s">
        <v>38</v>
      </c>
      <c r="Y144" s="1">
        <v>5</v>
      </c>
      <c r="Z144" s="1" t="s">
        <v>91</v>
      </c>
    </row>
    <row r="145" spans="1:26" x14ac:dyDescent="0.3">
      <c r="A145" s="1" t="s">
        <v>362</v>
      </c>
      <c r="B145" s="2">
        <v>45831</v>
      </c>
      <c r="C145" s="1" t="s">
        <v>363</v>
      </c>
      <c r="D145" s="1" t="s">
        <v>28</v>
      </c>
      <c r="E145" s="1" t="s">
        <v>29</v>
      </c>
      <c r="F145" s="1">
        <v>27</v>
      </c>
      <c r="G145" s="1" t="s">
        <v>94</v>
      </c>
      <c r="H145" s="1" t="s">
        <v>31</v>
      </c>
      <c r="I145" s="1" t="s">
        <v>94</v>
      </c>
      <c r="J145" s="1" t="s">
        <v>112</v>
      </c>
      <c r="K145" s="1">
        <v>3</v>
      </c>
      <c r="L145" s="1">
        <v>2465</v>
      </c>
      <c r="M145" s="1">
        <v>5</v>
      </c>
      <c r="N145" s="1">
        <v>369.75</v>
      </c>
      <c r="O145" s="1">
        <v>1264.54</v>
      </c>
      <c r="P145" s="1">
        <v>407</v>
      </c>
      <c r="Q145" s="1">
        <v>8696.7999999999993</v>
      </c>
      <c r="R145" s="1" t="s">
        <v>33</v>
      </c>
      <c r="S145" s="1" t="s">
        <v>63</v>
      </c>
      <c r="T145" s="1" t="s">
        <v>70</v>
      </c>
      <c r="U145" s="1" t="s">
        <v>56</v>
      </c>
      <c r="V145" s="1" t="s">
        <v>57</v>
      </c>
      <c r="W145" s="1">
        <v>5</v>
      </c>
      <c r="X145" s="1" t="s">
        <v>47</v>
      </c>
      <c r="Y145" s="1">
        <v>5</v>
      </c>
      <c r="Z145" s="1" t="s">
        <v>47</v>
      </c>
    </row>
    <row r="146" spans="1:26" x14ac:dyDescent="0.3">
      <c r="A146" s="1" t="s">
        <v>364</v>
      </c>
      <c r="B146" s="2">
        <v>45857</v>
      </c>
      <c r="C146" s="1" t="s">
        <v>365</v>
      </c>
      <c r="D146" s="1" t="s">
        <v>80</v>
      </c>
      <c r="E146" s="1" t="s">
        <v>43</v>
      </c>
      <c r="F146" s="1">
        <v>52</v>
      </c>
      <c r="G146" s="1" t="s">
        <v>94</v>
      </c>
      <c r="H146" s="1" t="s">
        <v>31</v>
      </c>
      <c r="I146" s="1" t="s">
        <v>94</v>
      </c>
      <c r="J146" s="1" t="s">
        <v>75</v>
      </c>
      <c r="K146" s="1">
        <v>2</v>
      </c>
      <c r="L146" s="1">
        <v>43125</v>
      </c>
      <c r="M146" s="1">
        <v>10</v>
      </c>
      <c r="N146" s="1">
        <v>8625</v>
      </c>
      <c r="O146" s="1">
        <v>13972.5</v>
      </c>
      <c r="P146" s="1">
        <v>153</v>
      </c>
      <c r="Q146" s="1">
        <v>91750.5</v>
      </c>
      <c r="R146" s="1" t="s">
        <v>33</v>
      </c>
      <c r="S146" s="1" t="s">
        <v>63</v>
      </c>
      <c r="T146" s="1" t="s">
        <v>95</v>
      </c>
      <c r="U146" s="1" t="s">
        <v>96</v>
      </c>
      <c r="V146" s="1" t="s">
        <v>57</v>
      </c>
      <c r="W146" s="1">
        <v>5</v>
      </c>
      <c r="X146" s="1" t="s">
        <v>47</v>
      </c>
      <c r="Y146" s="1">
        <v>2</v>
      </c>
      <c r="Z146" s="1" t="s">
        <v>47</v>
      </c>
    </row>
    <row r="147" spans="1:26" x14ac:dyDescent="0.3">
      <c r="A147" s="1" t="s">
        <v>366</v>
      </c>
      <c r="B147" s="2">
        <v>45786</v>
      </c>
      <c r="C147" s="1" t="s">
        <v>367</v>
      </c>
      <c r="D147" s="1" t="s">
        <v>73</v>
      </c>
      <c r="E147" s="1" t="s">
        <v>43</v>
      </c>
      <c r="F147" s="1">
        <v>48</v>
      </c>
      <c r="G147" s="1" t="s">
        <v>90</v>
      </c>
      <c r="H147" s="1" t="s">
        <v>31</v>
      </c>
      <c r="I147" s="1" t="s">
        <v>90</v>
      </c>
      <c r="J147" s="1" t="s">
        <v>125</v>
      </c>
      <c r="K147" s="1">
        <v>2</v>
      </c>
      <c r="L147" s="1">
        <v>25854</v>
      </c>
      <c r="M147" s="1">
        <v>15</v>
      </c>
      <c r="N147" s="1">
        <v>7756.2</v>
      </c>
      <c r="O147" s="1">
        <v>7911.32</v>
      </c>
      <c r="P147" s="1">
        <v>26</v>
      </c>
      <c r="Q147" s="1">
        <v>51889.120000000003</v>
      </c>
      <c r="R147" s="1" t="s">
        <v>54</v>
      </c>
      <c r="S147" s="1" t="s">
        <v>63</v>
      </c>
      <c r="T147" s="1" t="s">
        <v>70</v>
      </c>
      <c r="U147" s="1" t="s">
        <v>56</v>
      </c>
      <c r="V147" s="1" t="s">
        <v>57</v>
      </c>
      <c r="W147" s="1">
        <v>1</v>
      </c>
      <c r="X147" s="1" t="s">
        <v>47</v>
      </c>
      <c r="Y147" s="1">
        <v>5</v>
      </c>
      <c r="Z147" s="1" t="s">
        <v>58</v>
      </c>
    </row>
    <row r="148" spans="1:26" x14ac:dyDescent="0.3">
      <c r="A148" s="1" t="s">
        <v>368</v>
      </c>
      <c r="B148" s="2">
        <v>45939</v>
      </c>
      <c r="C148" s="1" t="s">
        <v>369</v>
      </c>
      <c r="D148" s="1" t="s">
        <v>80</v>
      </c>
      <c r="E148" s="1" t="s">
        <v>43</v>
      </c>
      <c r="F148" s="1">
        <v>24</v>
      </c>
      <c r="G148" s="1" t="s">
        <v>44</v>
      </c>
      <c r="H148" s="1" t="s">
        <v>31</v>
      </c>
      <c r="I148" s="1" t="s">
        <v>44</v>
      </c>
      <c r="J148" s="1" t="s">
        <v>53</v>
      </c>
      <c r="K148" s="1">
        <v>4</v>
      </c>
      <c r="L148" s="1">
        <v>24413</v>
      </c>
      <c r="M148" s="1">
        <v>0</v>
      </c>
      <c r="N148" s="1">
        <v>0</v>
      </c>
      <c r="O148" s="1">
        <v>17577.36</v>
      </c>
      <c r="P148" s="1">
        <v>0</v>
      </c>
      <c r="Q148" s="1">
        <v>115229.36</v>
      </c>
      <c r="R148" s="1" t="s">
        <v>54</v>
      </c>
      <c r="S148" s="1" t="s">
        <v>63</v>
      </c>
      <c r="T148" s="1" t="s">
        <v>35</v>
      </c>
      <c r="U148" s="1" t="s">
        <v>36</v>
      </c>
      <c r="V148" s="1" t="s">
        <v>37</v>
      </c>
      <c r="W148" s="1">
        <v>2</v>
      </c>
      <c r="X148" s="1" t="s">
        <v>38</v>
      </c>
      <c r="Y148" s="1">
        <v>1</v>
      </c>
      <c r="Z148" s="1" t="s">
        <v>91</v>
      </c>
    </row>
    <row r="149" spans="1:26" x14ac:dyDescent="0.3">
      <c r="A149" s="1" t="s">
        <v>370</v>
      </c>
      <c r="B149" s="2">
        <v>45947</v>
      </c>
      <c r="C149" s="1" t="s">
        <v>371</v>
      </c>
      <c r="D149" s="1" t="s">
        <v>111</v>
      </c>
      <c r="E149" s="1" t="s">
        <v>43</v>
      </c>
      <c r="F149" s="1">
        <v>59</v>
      </c>
      <c r="G149" s="1" t="s">
        <v>139</v>
      </c>
      <c r="H149" s="1" t="s">
        <v>31</v>
      </c>
      <c r="I149" s="1" t="s">
        <v>139</v>
      </c>
      <c r="J149" s="1" t="s">
        <v>69</v>
      </c>
      <c r="K149" s="1">
        <v>2</v>
      </c>
      <c r="L149" s="1">
        <v>8194</v>
      </c>
      <c r="M149" s="1">
        <v>5</v>
      </c>
      <c r="N149" s="1">
        <v>819.4</v>
      </c>
      <c r="O149" s="1">
        <v>2802.35</v>
      </c>
      <c r="P149" s="1">
        <v>178</v>
      </c>
      <c r="Q149" s="1">
        <v>18548.95</v>
      </c>
      <c r="R149" s="1" t="s">
        <v>33</v>
      </c>
      <c r="S149" s="1" t="s">
        <v>63</v>
      </c>
      <c r="T149" s="1" t="s">
        <v>103</v>
      </c>
      <c r="U149" s="1" t="s">
        <v>103</v>
      </c>
      <c r="V149" s="1" t="s">
        <v>57</v>
      </c>
      <c r="W149" s="1">
        <v>2</v>
      </c>
      <c r="X149" s="1" t="s">
        <v>47</v>
      </c>
      <c r="Y149" s="1">
        <v>3</v>
      </c>
      <c r="Z149" s="1" t="s">
        <v>58</v>
      </c>
    </row>
    <row r="150" spans="1:26" x14ac:dyDescent="0.3">
      <c r="A150" s="1" t="s">
        <v>372</v>
      </c>
      <c r="B150" s="2">
        <v>45810</v>
      </c>
      <c r="C150" s="1" t="s">
        <v>373</v>
      </c>
      <c r="D150" s="1" t="s">
        <v>42</v>
      </c>
      <c r="E150" s="1" t="s">
        <v>43</v>
      </c>
      <c r="F150" s="1">
        <v>31</v>
      </c>
      <c r="G150" s="1" t="s">
        <v>94</v>
      </c>
      <c r="H150" s="1" t="s">
        <v>31</v>
      </c>
      <c r="I150" s="1" t="s">
        <v>94</v>
      </c>
      <c r="J150" s="1" t="s">
        <v>75</v>
      </c>
      <c r="K150" s="1">
        <v>2</v>
      </c>
      <c r="L150" s="1">
        <v>23798</v>
      </c>
      <c r="M150" s="1">
        <v>5</v>
      </c>
      <c r="N150" s="1">
        <v>2379.8000000000002</v>
      </c>
      <c r="O150" s="1">
        <v>8138.92</v>
      </c>
      <c r="P150" s="1">
        <v>62</v>
      </c>
      <c r="Q150" s="1">
        <v>53417.120000000003</v>
      </c>
      <c r="R150" s="1" t="s">
        <v>45</v>
      </c>
      <c r="S150" s="1" t="s">
        <v>63</v>
      </c>
      <c r="T150" s="1" t="s">
        <v>46</v>
      </c>
      <c r="U150" s="1" t="s">
        <v>36</v>
      </c>
      <c r="V150" s="1" t="s">
        <v>37</v>
      </c>
      <c r="W150" s="1">
        <v>2</v>
      </c>
      <c r="X150" s="1" t="s">
        <v>47</v>
      </c>
      <c r="Y150" s="1">
        <v>5</v>
      </c>
      <c r="Z150" s="1" t="s">
        <v>58</v>
      </c>
    </row>
    <row r="151" spans="1:26" x14ac:dyDescent="0.3">
      <c r="A151" s="1" t="s">
        <v>374</v>
      </c>
      <c r="B151" s="2">
        <v>45903</v>
      </c>
      <c r="C151" s="1" t="s">
        <v>375</v>
      </c>
      <c r="D151" s="1" t="s">
        <v>61</v>
      </c>
      <c r="E151" s="1" t="s">
        <v>29</v>
      </c>
      <c r="F151" s="1">
        <v>50</v>
      </c>
      <c r="G151" s="1" t="s">
        <v>51</v>
      </c>
      <c r="H151" s="1" t="s">
        <v>52</v>
      </c>
      <c r="I151" s="1" t="s">
        <v>51</v>
      </c>
      <c r="J151" s="1" t="s">
        <v>62</v>
      </c>
      <c r="K151" s="1">
        <v>1</v>
      </c>
      <c r="L151" s="1">
        <v>26351</v>
      </c>
      <c r="M151" s="1">
        <v>5</v>
      </c>
      <c r="N151" s="1">
        <v>1317.55</v>
      </c>
      <c r="O151" s="1">
        <v>4506.0200000000004</v>
      </c>
      <c r="P151" s="1">
        <v>205</v>
      </c>
      <c r="Q151" s="1">
        <v>29744.47</v>
      </c>
      <c r="R151" s="1" t="s">
        <v>45</v>
      </c>
      <c r="S151" s="1" t="s">
        <v>63</v>
      </c>
      <c r="T151" s="1" t="s">
        <v>103</v>
      </c>
      <c r="U151" s="1" t="s">
        <v>103</v>
      </c>
      <c r="V151" s="1" t="s">
        <v>57</v>
      </c>
      <c r="W151" s="1">
        <v>9</v>
      </c>
      <c r="X151" s="1" t="s">
        <v>47</v>
      </c>
      <c r="Y151" s="1">
        <v>1</v>
      </c>
      <c r="Z151" s="1" t="s">
        <v>39</v>
      </c>
    </row>
    <row r="152" spans="1:26" x14ac:dyDescent="0.3">
      <c r="A152" s="1" t="s">
        <v>376</v>
      </c>
      <c r="B152" s="2">
        <v>45890</v>
      </c>
      <c r="C152" s="1" t="s">
        <v>377</v>
      </c>
      <c r="D152" s="1" t="s">
        <v>42</v>
      </c>
      <c r="E152" s="1" t="s">
        <v>29</v>
      </c>
      <c r="F152" s="1">
        <v>40</v>
      </c>
      <c r="G152" s="1" t="s">
        <v>134</v>
      </c>
      <c r="H152" s="1" t="s">
        <v>31</v>
      </c>
      <c r="I152" s="1" t="s">
        <v>134</v>
      </c>
      <c r="J152" s="1" t="s">
        <v>75</v>
      </c>
      <c r="K152" s="1">
        <v>2</v>
      </c>
      <c r="L152" s="1">
        <v>32644</v>
      </c>
      <c r="M152" s="1">
        <v>0</v>
      </c>
      <c r="N152" s="1">
        <v>0</v>
      </c>
      <c r="O152" s="1">
        <v>11751.84</v>
      </c>
      <c r="P152" s="1">
        <v>413</v>
      </c>
      <c r="Q152" s="1">
        <v>77452.84</v>
      </c>
      <c r="R152" s="1" t="s">
        <v>83</v>
      </c>
      <c r="S152" s="1" t="s">
        <v>34</v>
      </c>
      <c r="T152" s="1" t="s">
        <v>46</v>
      </c>
      <c r="U152" s="1" t="s">
        <v>36</v>
      </c>
      <c r="V152" s="1" t="s">
        <v>37</v>
      </c>
      <c r="W152" s="1">
        <v>7</v>
      </c>
      <c r="X152" s="1" t="s">
        <v>38</v>
      </c>
      <c r="Y152" s="1">
        <v>4</v>
      </c>
      <c r="Z152" s="1" t="s">
        <v>58</v>
      </c>
    </row>
    <row r="153" spans="1:26" x14ac:dyDescent="0.3">
      <c r="A153" s="1" t="s">
        <v>378</v>
      </c>
      <c r="B153" s="2">
        <v>45772</v>
      </c>
      <c r="C153" s="1" t="s">
        <v>379</v>
      </c>
      <c r="D153" s="1" t="s">
        <v>66</v>
      </c>
      <c r="E153" s="1" t="s">
        <v>29</v>
      </c>
      <c r="F153" s="1">
        <v>34</v>
      </c>
      <c r="G153" s="1" t="s">
        <v>134</v>
      </c>
      <c r="H153" s="1" t="s">
        <v>31</v>
      </c>
      <c r="I153" s="1" t="s">
        <v>134</v>
      </c>
      <c r="J153" s="1" t="s">
        <v>32</v>
      </c>
      <c r="K153" s="1">
        <v>5</v>
      </c>
      <c r="L153" s="1">
        <v>13792</v>
      </c>
      <c r="M153" s="1">
        <v>0</v>
      </c>
      <c r="N153" s="1">
        <v>0</v>
      </c>
      <c r="O153" s="1">
        <v>12412.8</v>
      </c>
      <c r="P153" s="1">
        <v>437</v>
      </c>
      <c r="Q153" s="1">
        <v>81809.8</v>
      </c>
      <c r="R153" s="1" t="s">
        <v>54</v>
      </c>
      <c r="S153" s="1" t="s">
        <v>63</v>
      </c>
      <c r="T153" s="1" t="s">
        <v>95</v>
      </c>
      <c r="U153" s="1" t="s">
        <v>96</v>
      </c>
      <c r="V153" s="1" t="s">
        <v>57</v>
      </c>
      <c r="W153" s="1">
        <v>1</v>
      </c>
      <c r="X153" s="1" t="s">
        <v>38</v>
      </c>
      <c r="Y153" s="1">
        <v>4</v>
      </c>
      <c r="Z153" s="1" t="s">
        <v>39</v>
      </c>
    </row>
    <row r="154" spans="1:26" x14ac:dyDescent="0.3">
      <c r="A154" s="1" t="s">
        <v>380</v>
      </c>
      <c r="B154" s="2">
        <v>45828</v>
      </c>
      <c r="C154" s="1" t="s">
        <v>257</v>
      </c>
      <c r="D154" s="1" t="s">
        <v>89</v>
      </c>
      <c r="E154" s="1" t="s">
        <v>43</v>
      </c>
      <c r="F154" s="1">
        <v>31</v>
      </c>
      <c r="G154" s="1" t="s">
        <v>74</v>
      </c>
      <c r="H154" s="1" t="s">
        <v>31</v>
      </c>
      <c r="I154" s="1" t="s">
        <v>74</v>
      </c>
      <c r="J154" s="1" t="s">
        <v>125</v>
      </c>
      <c r="K154" s="1">
        <v>5</v>
      </c>
      <c r="L154" s="1">
        <v>12497</v>
      </c>
      <c r="M154" s="1">
        <v>15</v>
      </c>
      <c r="N154" s="1">
        <v>9372.75</v>
      </c>
      <c r="O154" s="1">
        <v>9560.2000000000007</v>
      </c>
      <c r="P154" s="1">
        <v>71</v>
      </c>
      <c r="Q154" s="1">
        <v>62743.46</v>
      </c>
      <c r="R154" s="1" t="s">
        <v>33</v>
      </c>
      <c r="S154" s="1" t="s">
        <v>63</v>
      </c>
      <c r="T154" s="1" t="s">
        <v>95</v>
      </c>
      <c r="U154" s="1" t="s">
        <v>96</v>
      </c>
      <c r="V154" s="1" t="s">
        <v>57</v>
      </c>
      <c r="W154" s="1">
        <v>10</v>
      </c>
      <c r="X154" s="1" t="s">
        <v>47</v>
      </c>
      <c r="Y154" s="1">
        <v>5</v>
      </c>
      <c r="Z154" s="1" t="s">
        <v>39</v>
      </c>
    </row>
    <row r="155" spans="1:26" x14ac:dyDescent="0.3">
      <c r="A155" s="1" t="s">
        <v>381</v>
      </c>
      <c r="B155" s="2">
        <v>45939</v>
      </c>
      <c r="C155" s="1" t="s">
        <v>382</v>
      </c>
      <c r="D155" s="1" t="s">
        <v>108</v>
      </c>
      <c r="E155" s="1" t="s">
        <v>29</v>
      </c>
      <c r="F155" s="1">
        <v>51</v>
      </c>
      <c r="G155" s="1" t="s">
        <v>51</v>
      </c>
      <c r="H155" s="1" t="s">
        <v>52</v>
      </c>
      <c r="I155" s="1" t="s">
        <v>51</v>
      </c>
      <c r="J155" s="1" t="s">
        <v>53</v>
      </c>
      <c r="K155" s="1">
        <v>5</v>
      </c>
      <c r="L155" s="1">
        <v>46090</v>
      </c>
      <c r="M155" s="1">
        <v>5</v>
      </c>
      <c r="N155" s="1">
        <v>11522.5</v>
      </c>
      <c r="O155" s="1">
        <v>39406.949999999997</v>
      </c>
      <c r="P155" s="1">
        <v>212</v>
      </c>
      <c r="Q155" s="1">
        <v>258546.45</v>
      </c>
      <c r="R155" s="1" t="s">
        <v>54</v>
      </c>
      <c r="S155" s="1" t="s">
        <v>63</v>
      </c>
      <c r="T155" s="1" t="s">
        <v>84</v>
      </c>
      <c r="U155" s="1" t="s">
        <v>85</v>
      </c>
      <c r="V155" s="1" t="s">
        <v>86</v>
      </c>
      <c r="W155" s="1">
        <v>6</v>
      </c>
      <c r="X155" s="1" t="s">
        <v>38</v>
      </c>
      <c r="Y155" s="1">
        <v>2</v>
      </c>
      <c r="Z155" s="1" t="s">
        <v>58</v>
      </c>
    </row>
    <row r="156" spans="1:26" x14ac:dyDescent="0.3">
      <c r="A156" s="1" t="s">
        <v>383</v>
      </c>
      <c r="B156" s="2">
        <v>45974</v>
      </c>
      <c r="C156" s="1" t="s">
        <v>384</v>
      </c>
      <c r="D156" s="1" t="s">
        <v>42</v>
      </c>
      <c r="E156" s="1" t="s">
        <v>29</v>
      </c>
      <c r="F156" s="1">
        <v>34</v>
      </c>
      <c r="G156" s="1" t="s">
        <v>94</v>
      </c>
      <c r="H156" s="1" t="s">
        <v>31</v>
      </c>
      <c r="I156" s="1" t="s">
        <v>94</v>
      </c>
      <c r="J156" s="1" t="s">
        <v>201</v>
      </c>
      <c r="K156" s="1">
        <v>5</v>
      </c>
      <c r="L156" s="1">
        <v>5689</v>
      </c>
      <c r="M156" s="1">
        <v>10</v>
      </c>
      <c r="N156" s="1">
        <v>2844.5</v>
      </c>
      <c r="O156" s="1">
        <v>4608.09</v>
      </c>
      <c r="P156" s="1">
        <v>96</v>
      </c>
      <c r="Q156" s="1">
        <v>30304.59</v>
      </c>
      <c r="R156" s="1" t="s">
        <v>54</v>
      </c>
      <c r="S156" s="1" t="s">
        <v>34</v>
      </c>
      <c r="T156" s="1" t="s">
        <v>70</v>
      </c>
      <c r="U156" s="1" t="s">
        <v>56</v>
      </c>
      <c r="V156" s="1" t="s">
        <v>57</v>
      </c>
      <c r="W156" s="1">
        <v>6</v>
      </c>
      <c r="X156" s="1" t="s">
        <v>47</v>
      </c>
      <c r="Y156" s="1">
        <v>1</v>
      </c>
      <c r="Z156" s="1" t="s">
        <v>58</v>
      </c>
    </row>
    <row r="157" spans="1:26" x14ac:dyDescent="0.3">
      <c r="A157" s="1" t="s">
        <v>385</v>
      </c>
      <c r="B157" s="2">
        <v>46120</v>
      </c>
      <c r="C157" s="1" t="s">
        <v>386</v>
      </c>
      <c r="D157" s="1" t="s">
        <v>73</v>
      </c>
      <c r="E157" s="1" t="s">
        <v>29</v>
      </c>
      <c r="F157" s="1">
        <v>39</v>
      </c>
      <c r="G157" s="1" t="s">
        <v>51</v>
      </c>
      <c r="H157" s="1" t="s">
        <v>52</v>
      </c>
      <c r="I157" s="1" t="s">
        <v>51</v>
      </c>
      <c r="J157" s="1" t="s">
        <v>75</v>
      </c>
      <c r="K157" s="1">
        <v>1</v>
      </c>
      <c r="L157" s="1">
        <v>37843</v>
      </c>
      <c r="M157" s="1">
        <v>0</v>
      </c>
      <c r="N157" s="1">
        <v>0</v>
      </c>
      <c r="O157" s="1">
        <v>6811.74</v>
      </c>
      <c r="P157" s="1">
        <v>134</v>
      </c>
      <c r="Q157" s="1">
        <v>44788.74</v>
      </c>
      <c r="R157" s="1" t="s">
        <v>45</v>
      </c>
      <c r="S157" s="1" t="s">
        <v>34</v>
      </c>
      <c r="T157" s="1" t="s">
        <v>84</v>
      </c>
      <c r="U157" s="1" t="s">
        <v>85</v>
      </c>
      <c r="V157" s="1" t="s">
        <v>86</v>
      </c>
      <c r="W157" s="1">
        <v>8</v>
      </c>
      <c r="X157" s="1" t="s">
        <v>38</v>
      </c>
      <c r="Y157" s="1">
        <v>3</v>
      </c>
      <c r="Z157" s="1" t="s">
        <v>91</v>
      </c>
    </row>
    <row r="158" spans="1:26" x14ac:dyDescent="0.3">
      <c r="A158" s="1" t="s">
        <v>387</v>
      </c>
      <c r="B158" s="2">
        <v>46064</v>
      </c>
      <c r="C158" s="1" t="s">
        <v>388</v>
      </c>
      <c r="D158" s="1" t="s">
        <v>42</v>
      </c>
      <c r="E158" s="1" t="s">
        <v>43</v>
      </c>
      <c r="F158" s="1">
        <v>26</v>
      </c>
      <c r="G158" s="1" t="s">
        <v>139</v>
      </c>
      <c r="H158" s="1" t="s">
        <v>31</v>
      </c>
      <c r="I158" s="1" t="s">
        <v>139</v>
      </c>
      <c r="J158" s="1" t="s">
        <v>53</v>
      </c>
      <c r="K158" s="1">
        <v>2</v>
      </c>
      <c r="L158" s="1">
        <v>11265</v>
      </c>
      <c r="M158" s="1">
        <v>20</v>
      </c>
      <c r="N158" s="1">
        <v>4506</v>
      </c>
      <c r="O158" s="1">
        <v>3244.32</v>
      </c>
      <c r="P158" s="1">
        <v>220</v>
      </c>
      <c r="Q158" s="1">
        <v>21488.32</v>
      </c>
      <c r="R158" s="1" t="s">
        <v>54</v>
      </c>
      <c r="S158" s="1" t="s">
        <v>63</v>
      </c>
      <c r="T158" s="1" t="s">
        <v>84</v>
      </c>
      <c r="U158" s="1" t="s">
        <v>85</v>
      </c>
      <c r="V158" s="1" t="s">
        <v>86</v>
      </c>
      <c r="W158" s="1">
        <v>4</v>
      </c>
      <c r="X158" s="1" t="s">
        <v>47</v>
      </c>
      <c r="Y158" s="1">
        <v>2</v>
      </c>
      <c r="Z158" s="1" t="s">
        <v>58</v>
      </c>
    </row>
    <row r="159" spans="1:26" x14ac:dyDescent="0.3">
      <c r="A159" s="1" t="s">
        <v>389</v>
      </c>
      <c r="B159" s="2">
        <v>45853</v>
      </c>
      <c r="C159" s="1" t="s">
        <v>390</v>
      </c>
      <c r="D159" s="1" t="s">
        <v>42</v>
      </c>
      <c r="E159" s="1" t="s">
        <v>29</v>
      </c>
      <c r="F159" s="1">
        <v>28</v>
      </c>
      <c r="G159" s="1" t="s">
        <v>74</v>
      </c>
      <c r="H159" s="1" t="s">
        <v>31</v>
      </c>
      <c r="I159" s="1" t="s">
        <v>74</v>
      </c>
      <c r="J159" s="1" t="s">
        <v>75</v>
      </c>
      <c r="K159" s="1">
        <v>2</v>
      </c>
      <c r="L159" s="1">
        <v>3628</v>
      </c>
      <c r="M159" s="1">
        <v>20</v>
      </c>
      <c r="N159" s="1">
        <v>1451.2</v>
      </c>
      <c r="O159" s="1">
        <v>1044.8599999999999</v>
      </c>
      <c r="P159" s="1">
        <v>45</v>
      </c>
      <c r="Q159" s="1">
        <v>6894.66</v>
      </c>
      <c r="R159" s="1" t="s">
        <v>83</v>
      </c>
      <c r="S159" s="1" t="s">
        <v>34</v>
      </c>
      <c r="T159" s="1" t="s">
        <v>103</v>
      </c>
      <c r="U159" s="1" t="s">
        <v>103</v>
      </c>
      <c r="V159" s="1" t="s">
        <v>57</v>
      </c>
      <c r="W159" s="1">
        <v>2</v>
      </c>
      <c r="X159" s="1" t="s">
        <v>47</v>
      </c>
      <c r="Y159" s="1">
        <v>1</v>
      </c>
      <c r="Z159" s="1" t="s">
        <v>39</v>
      </c>
    </row>
    <row r="160" spans="1:26" x14ac:dyDescent="0.3">
      <c r="A160" s="1" t="s">
        <v>391</v>
      </c>
      <c r="B160" s="2">
        <v>46043</v>
      </c>
      <c r="C160" s="1" t="s">
        <v>392</v>
      </c>
      <c r="D160" s="1" t="s">
        <v>80</v>
      </c>
      <c r="E160" s="1" t="s">
        <v>43</v>
      </c>
      <c r="F160" s="1">
        <v>35</v>
      </c>
      <c r="G160" s="1" t="s">
        <v>74</v>
      </c>
      <c r="H160" s="1" t="s">
        <v>31</v>
      </c>
      <c r="I160" s="1" t="s">
        <v>74</v>
      </c>
      <c r="J160" s="1" t="s">
        <v>62</v>
      </c>
      <c r="K160" s="1">
        <v>2</v>
      </c>
      <c r="L160" s="1">
        <v>7118</v>
      </c>
      <c r="M160" s="1">
        <v>10</v>
      </c>
      <c r="N160" s="1">
        <v>1423.6</v>
      </c>
      <c r="O160" s="1">
        <v>2306.23</v>
      </c>
      <c r="P160" s="1">
        <v>140</v>
      </c>
      <c r="Q160" s="1">
        <v>15258.63</v>
      </c>
      <c r="R160" s="1" t="s">
        <v>83</v>
      </c>
      <c r="S160" s="1" t="s">
        <v>63</v>
      </c>
      <c r="T160" s="1" t="s">
        <v>46</v>
      </c>
      <c r="U160" s="1" t="s">
        <v>36</v>
      </c>
      <c r="V160" s="1" t="s">
        <v>37</v>
      </c>
      <c r="W160" s="1">
        <v>10</v>
      </c>
      <c r="X160" s="1" t="s">
        <v>38</v>
      </c>
      <c r="Y160" s="1">
        <v>3</v>
      </c>
      <c r="Z160" s="1" t="s">
        <v>91</v>
      </c>
    </row>
    <row r="161" spans="1:26" x14ac:dyDescent="0.3">
      <c r="A161" s="1" t="s">
        <v>393</v>
      </c>
      <c r="B161" s="2">
        <v>45812</v>
      </c>
      <c r="C161" s="1" t="s">
        <v>127</v>
      </c>
      <c r="D161" s="1" t="s">
        <v>108</v>
      </c>
      <c r="E161" s="1" t="s">
        <v>43</v>
      </c>
      <c r="F161" s="1">
        <v>48</v>
      </c>
      <c r="G161" s="1" t="s">
        <v>94</v>
      </c>
      <c r="H161" s="1" t="s">
        <v>31</v>
      </c>
      <c r="I161" s="1" t="s">
        <v>94</v>
      </c>
      <c r="J161" s="1" t="s">
        <v>62</v>
      </c>
      <c r="K161" s="1">
        <v>2</v>
      </c>
      <c r="L161" s="1">
        <v>31726</v>
      </c>
      <c r="M161" s="1">
        <v>15</v>
      </c>
      <c r="N161" s="1">
        <v>9517.7999999999993</v>
      </c>
      <c r="O161" s="1">
        <v>9708.16</v>
      </c>
      <c r="P161" s="1">
        <v>13</v>
      </c>
      <c r="Q161" s="1">
        <v>63655.360000000001</v>
      </c>
      <c r="R161" s="1" t="s">
        <v>83</v>
      </c>
      <c r="S161" s="1" t="s">
        <v>63</v>
      </c>
      <c r="T161" s="1" t="s">
        <v>35</v>
      </c>
      <c r="U161" s="1" t="s">
        <v>36</v>
      </c>
      <c r="V161" s="1" t="s">
        <v>37</v>
      </c>
      <c r="W161" s="1">
        <v>1</v>
      </c>
      <c r="X161" s="1" t="s">
        <v>38</v>
      </c>
      <c r="Y161" s="1">
        <v>5</v>
      </c>
      <c r="Z161" s="1" t="s">
        <v>58</v>
      </c>
    </row>
    <row r="162" spans="1:26" x14ac:dyDescent="0.3">
      <c r="A162" s="1" t="s">
        <v>394</v>
      </c>
      <c r="B162" s="2">
        <v>45935</v>
      </c>
      <c r="C162" s="1" t="s">
        <v>395</v>
      </c>
      <c r="D162" s="1" t="s">
        <v>89</v>
      </c>
      <c r="E162" s="1" t="s">
        <v>29</v>
      </c>
      <c r="F162" s="1">
        <v>24</v>
      </c>
      <c r="G162" s="1" t="s">
        <v>139</v>
      </c>
      <c r="H162" s="1" t="s">
        <v>31</v>
      </c>
      <c r="I162" s="1" t="s">
        <v>139</v>
      </c>
      <c r="J162" s="1" t="s">
        <v>69</v>
      </c>
      <c r="K162" s="1">
        <v>4</v>
      </c>
      <c r="L162" s="1">
        <v>42298</v>
      </c>
      <c r="M162" s="1">
        <v>20</v>
      </c>
      <c r="N162" s="1">
        <v>33838.400000000001</v>
      </c>
      <c r="O162" s="1">
        <v>24363.65</v>
      </c>
      <c r="P162" s="1">
        <v>262</v>
      </c>
      <c r="Q162" s="1">
        <v>159979.25</v>
      </c>
      <c r="R162" s="1" t="s">
        <v>45</v>
      </c>
      <c r="S162" s="1" t="s">
        <v>63</v>
      </c>
      <c r="T162" s="1" t="s">
        <v>70</v>
      </c>
      <c r="U162" s="1" t="s">
        <v>56</v>
      </c>
      <c r="V162" s="1" t="s">
        <v>57</v>
      </c>
      <c r="W162" s="1">
        <v>8</v>
      </c>
      <c r="X162" s="1" t="s">
        <v>38</v>
      </c>
      <c r="Y162" s="1">
        <v>5</v>
      </c>
      <c r="Z162" s="1" t="s">
        <v>39</v>
      </c>
    </row>
    <row r="163" spans="1:26" x14ac:dyDescent="0.3">
      <c r="A163" s="1" t="s">
        <v>396</v>
      </c>
      <c r="B163" s="2">
        <v>45949</v>
      </c>
      <c r="C163" s="1" t="s">
        <v>397</v>
      </c>
      <c r="D163" s="1" t="s">
        <v>61</v>
      </c>
      <c r="E163" s="1" t="s">
        <v>43</v>
      </c>
      <c r="F163" s="1">
        <v>30</v>
      </c>
      <c r="G163" s="1" t="s">
        <v>44</v>
      </c>
      <c r="H163" s="1" t="s">
        <v>31</v>
      </c>
      <c r="I163" s="1" t="s">
        <v>44</v>
      </c>
      <c r="J163" s="1" t="s">
        <v>112</v>
      </c>
      <c r="K163" s="1">
        <v>4</v>
      </c>
      <c r="L163" s="1">
        <v>43897</v>
      </c>
      <c r="M163" s="1">
        <v>15</v>
      </c>
      <c r="N163" s="1">
        <v>26338.2</v>
      </c>
      <c r="O163" s="1">
        <v>26864.959999999999</v>
      </c>
      <c r="P163" s="1">
        <v>108</v>
      </c>
      <c r="Q163" s="1">
        <v>176222.76</v>
      </c>
      <c r="R163" s="1" t="s">
        <v>45</v>
      </c>
      <c r="S163" s="1" t="s">
        <v>63</v>
      </c>
      <c r="T163" s="1" t="s">
        <v>70</v>
      </c>
      <c r="U163" s="1" t="s">
        <v>56</v>
      </c>
      <c r="V163" s="1" t="s">
        <v>57</v>
      </c>
      <c r="W163" s="1">
        <v>8</v>
      </c>
      <c r="X163" s="1" t="s">
        <v>38</v>
      </c>
      <c r="Y163" s="1">
        <v>3</v>
      </c>
      <c r="Z163" s="1" t="s">
        <v>58</v>
      </c>
    </row>
    <row r="164" spans="1:26" x14ac:dyDescent="0.3">
      <c r="A164" s="1" t="s">
        <v>398</v>
      </c>
      <c r="B164" s="2">
        <v>45923</v>
      </c>
      <c r="C164" s="1" t="s">
        <v>351</v>
      </c>
      <c r="D164" s="1" t="s">
        <v>28</v>
      </c>
      <c r="E164" s="1" t="s">
        <v>29</v>
      </c>
      <c r="F164" s="1">
        <v>19</v>
      </c>
      <c r="G164" s="1" t="s">
        <v>99</v>
      </c>
      <c r="H164" s="1" t="s">
        <v>52</v>
      </c>
      <c r="I164" s="1" t="s">
        <v>99</v>
      </c>
      <c r="J164" s="1" t="s">
        <v>112</v>
      </c>
      <c r="K164" s="1">
        <v>2</v>
      </c>
      <c r="L164" s="1">
        <v>48486</v>
      </c>
      <c r="M164" s="1">
        <v>0</v>
      </c>
      <c r="N164" s="1">
        <v>0</v>
      </c>
      <c r="O164" s="1">
        <v>17454.96</v>
      </c>
      <c r="P164" s="1">
        <v>267</v>
      </c>
      <c r="Q164" s="1">
        <v>114693.96</v>
      </c>
      <c r="R164" s="1" t="s">
        <v>45</v>
      </c>
      <c r="S164" s="1" t="s">
        <v>34</v>
      </c>
      <c r="T164" s="1" t="s">
        <v>84</v>
      </c>
      <c r="U164" s="1" t="s">
        <v>85</v>
      </c>
      <c r="V164" s="1" t="s">
        <v>86</v>
      </c>
      <c r="W164" s="1">
        <v>1</v>
      </c>
      <c r="X164" s="1" t="s">
        <v>38</v>
      </c>
      <c r="Y164" s="1">
        <v>5</v>
      </c>
      <c r="Z164" s="1" t="s">
        <v>39</v>
      </c>
    </row>
    <row r="165" spans="1:26" x14ac:dyDescent="0.3">
      <c r="A165" s="1" t="s">
        <v>399</v>
      </c>
      <c r="B165" s="2">
        <v>45860</v>
      </c>
      <c r="C165" s="1" t="s">
        <v>118</v>
      </c>
      <c r="D165" s="1" t="s">
        <v>80</v>
      </c>
      <c r="E165" s="1" t="s">
        <v>29</v>
      </c>
      <c r="F165" s="1">
        <v>37</v>
      </c>
      <c r="G165" s="1" t="s">
        <v>99</v>
      </c>
      <c r="H165" s="1" t="s">
        <v>52</v>
      </c>
      <c r="I165" s="1" t="s">
        <v>99</v>
      </c>
      <c r="J165" s="1" t="s">
        <v>75</v>
      </c>
      <c r="K165" s="1">
        <v>3</v>
      </c>
      <c r="L165" s="1">
        <v>11761</v>
      </c>
      <c r="M165" s="1">
        <v>15</v>
      </c>
      <c r="N165" s="1">
        <v>5292.45</v>
      </c>
      <c r="O165" s="1">
        <v>5398.3</v>
      </c>
      <c r="P165" s="1">
        <v>14</v>
      </c>
      <c r="Q165" s="1">
        <v>35402.85</v>
      </c>
      <c r="R165" s="1" t="s">
        <v>33</v>
      </c>
      <c r="S165" s="1" t="s">
        <v>63</v>
      </c>
      <c r="T165" s="1" t="s">
        <v>55</v>
      </c>
      <c r="U165" s="1" t="s">
        <v>56</v>
      </c>
      <c r="V165" s="1" t="s">
        <v>57</v>
      </c>
      <c r="W165" s="1">
        <v>5</v>
      </c>
      <c r="X165" s="1" t="s">
        <v>38</v>
      </c>
      <c r="Y165" s="1">
        <v>1</v>
      </c>
      <c r="Z165" s="1" t="s">
        <v>39</v>
      </c>
    </row>
    <row r="166" spans="1:26" x14ac:dyDescent="0.3">
      <c r="A166" s="1" t="s">
        <v>400</v>
      </c>
      <c r="B166" s="2">
        <v>46001</v>
      </c>
      <c r="C166" s="1" t="s">
        <v>401</v>
      </c>
      <c r="D166" s="1" t="s">
        <v>73</v>
      </c>
      <c r="E166" s="1" t="s">
        <v>43</v>
      </c>
      <c r="F166" s="1">
        <v>19</v>
      </c>
      <c r="G166" s="1" t="s">
        <v>90</v>
      </c>
      <c r="H166" s="1" t="s">
        <v>31</v>
      </c>
      <c r="I166" s="1" t="s">
        <v>90</v>
      </c>
      <c r="J166" s="1" t="s">
        <v>102</v>
      </c>
      <c r="K166" s="1">
        <v>1</v>
      </c>
      <c r="L166" s="1">
        <v>34466</v>
      </c>
      <c r="M166" s="1">
        <v>5</v>
      </c>
      <c r="N166" s="1">
        <v>1723.3</v>
      </c>
      <c r="O166" s="1">
        <v>5893.69</v>
      </c>
      <c r="P166" s="1">
        <v>50</v>
      </c>
      <c r="Q166" s="1">
        <v>38686.39</v>
      </c>
      <c r="R166" s="1" t="s">
        <v>83</v>
      </c>
      <c r="S166" s="1" t="s">
        <v>34</v>
      </c>
      <c r="T166" s="1" t="s">
        <v>95</v>
      </c>
      <c r="U166" s="1" t="s">
        <v>96</v>
      </c>
      <c r="V166" s="1" t="s">
        <v>57</v>
      </c>
      <c r="W166" s="1">
        <v>1</v>
      </c>
      <c r="X166" s="1" t="s">
        <v>38</v>
      </c>
      <c r="Y166" s="1">
        <v>3</v>
      </c>
      <c r="Z166" s="1" t="s">
        <v>39</v>
      </c>
    </row>
    <row r="167" spans="1:26" x14ac:dyDescent="0.3">
      <c r="A167" s="1" t="s">
        <v>402</v>
      </c>
      <c r="B167" s="2">
        <v>45947</v>
      </c>
      <c r="C167" s="1" t="s">
        <v>384</v>
      </c>
      <c r="D167" s="1" t="s">
        <v>66</v>
      </c>
      <c r="E167" s="1" t="s">
        <v>29</v>
      </c>
      <c r="F167" s="1">
        <v>57</v>
      </c>
      <c r="G167" s="1" t="s">
        <v>99</v>
      </c>
      <c r="H167" s="1" t="s">
        <v>52</v>
      </c>
      <c r="I167" s="1" t="s">
        <v>99</v>
      </c>
      <c r="J167" s="1" t="s">
        <v>32</v>
      </c>
      <c r="K167" s="1">
        <v>3</v>
      </c>
      <c r="L167" s="1">
        <v>42623</v>
      </c>
      <c r="M167" s="1">
        <v>20</v>
      </c>
      <c r="N167" s="1">
        <v>25573.8</v>
      </c>
      <c r="O167" s="1">
        <v>18413.14</v>
      </c>
      <c r="P167" s="1">
        <v>20</v>
      </c>
      <c r="Q167" s="1">
        <v>120728.34</v>
      </c>
      <c r="R167" s="1" t="s">
        <v>45</v>
      </c>
      <c r="S167" s="1" t="s">
        <v>63</v>
      </c>
      <c r="T167" s="1" t="s">
        <v>95</v>
      </c>
      <c r="U167" s="1" t="s">
        <v>96</v>
      </c>
      <c r="V167" s="1" t="s">
        <v>57</v>
      </c>
      <c r="W167" s="1">
        <v>1</v>
      </c>
      <c r="X167" s="1" t="s">
        <v>47</v>
      </c>
      <c r="Y167" s="1">
        <v>1</v>
      </c>
      <c r="Z167" s="1" t="s">
        <v>91</v>
      </c>
    </row>
    <row r="168" spans="1:26" x14ac:dyDescent="0.3">
      <c r="A168" s="1" t="s">
        <v>403</v>
      </c>
      <c r="B168" s="2">
        <v>46059</v>
      </c>
      <c r="C168" s="1" t="s">
        <v>404</v>
      </c>
      <c r="D168" s="1" t="s">
        <v>89</v>
      </c>
      <c r="E168" s="1" t="s">
        <v>29</v>
      </c>
      <c r="F168" s="1">
        <v>45</v>
      </c>
      <c r="G168" s="1" t="s">
        <v>51</v>
      </c>
      <c r="H168" s="1" t="s">
        <v>52</v>
      </c>
      <c r="I168" s="1" t="s">
        <v>51</v>
      </c>
      <c r="J168" s="1" t="s">
        <v>150</v>
      </c>
      <c r="K168" s="1">
        <v>2</v>
      </c>
      <c r="L168" s="1">
        <v>35830</v>
      </c>
      <c r="M168" s="1">
        <v>10</v>
      </c>
      <c r="N168" s="1">
        <v>7166</v>
      </c>
      <c r="O168" s="1">
        <v>11608.92</v>
      </c>
      <c r="P168" s="1">
        <v>133</v>
      </c>
      <c r="Q168" s="1">
        <v>76235.92</v>
      </c>
      <c r="R168" s="1" t="s">
        <v>54</v>
      </c>
      <c r="S168" s="1" t="s">
        <v>34</v>
      </c>
      <c r="T168" s="1" t="s">
        <v>55</v>
      </c>
      <c r="U168" s="1" t="s">
        <v>56</v>
      </c>
      <c r="V168" s="1" t="s">
        <v>57</v>
      </c>
      <c r="W168" s="1">
        <v>8</v>
      </c>
      <c r="X168" s="1" t="s">
        <v>47</v>
      </c>
      <c r="Y168" s="1">
        <v>1</v>
      </c>
      <c r="Z168" s="1" t="s">
        <v>39</v>
      </c>
    </row>
    <row r="169" spans="1:26" x14ac:dyDescent="0.3">
      <c r="A169" s="1" t="s">
        <v>405</v>
      </c>
      <c r="B169" s="2">
        <v>45837</v>
      </c>
      <c r="C169" s="1" t="s">
        <v>406</v>
      </c>
      <c r="D169" s="1" t="s">
        <v>108</v>
      </c>
      <c r="E169" s="1" t="s">
        <v>29</v>
      </c>
      <c r="F169" s="1">
        <v>37</v>
      </c>
      <c r="G169" s="1" t="s">
        <v>99</v>
      </c>
      <c r="H169" s="1" t="s">
        <v>52</v>
      </c>
      <c r="I169" s="1" t="s">
        <v>99</v>
      </c>
      <c r="J169" s="1" t="s">
        <v>32</v>
      </c>
      <c r="K169" s="1">
        <v>1</v>
      </c>
      <c r="L169" s="1">
        <v>40523</v>
      </c>
      <c r="M169" s="1">
        <v>0</v>
      </c>
      <c r="N169" s="1">
        <v>0</v>
      </c>
      <c r="O169" s="1">
        <v>7294.14</v>
      </c>
      <c r="P169" s="1">
        <v>302</v>
      </c>
      <c r="Q169" s="1">
        <v>48119.14</v>
      </c>
      <c r="R169" s="1" t="s">
        <v>83</v>
      </c>
      <c r="S169" s="1" t="s">
        <v>63</v>
      </c>
      <c r="T169" s="1" t="s">
        <v>70</v>
      </c>
      <c r="U169" s="1" t="s">
        <v>56</v>
      </c>
      <c r="V169" s="1" t="s">
        <v>57</v>
      </c>
      <c r="W169" s="1">
        <v>9</v>
      </c>
      <c r="X169" s="1" t="s">
        <v>38</v>
      </c>
      <c r="Y169" s="1">
        <v>5</v>
      </c>
      <c r="Z169" s="1" t="s">
        <v>47</v>
      </c>
    </row>
    <row r="170" spans="1:26" x14ac:dyDescent="0.3">
      <c r="A170" s="1" t="s">
        <v>407</v>
      </c>
      <c r="B170" s="2">
        <v>46085</v>
      </c>
      <c r="C170" s="1" t="s">
        <v>408</v>
      </c>
      <c r="D170" s="1" t="s">
        <v>80</v>
      </c>
      <c r="E170" s="1" t="s">
        <v>43</v>
      </c>
      <c r="F170" s="1">
        <v>24</v>
      </c>
      <c r="G170" s="1" t="s">
        <v>44</v>
      </c>
      <c r="H170" s="1" t="s">
        <v>31</v>
      </c>
      <c r="I170" s="1" t="s">
        <v>44</v>
      </c>
      <c r="J170" s="1" t="s">
        <v>201</v>
      </c>
      <c r="K170" s="1">
        <v>4</v>
      </c>
      <c r="L170" s="1">
        <v>11352</v>
      </c>
      <c r="M170" s="1">
        <v>0</v>
      </c>
      <c r="N170" s="1">
        <v>0</v>
      </c>
      <c r="O170" s="1">
        <v>8173.44</v>
      </c>
      <c r="P170" s="1">
        <v>161</v>
      </c>
      <c r="Q170" s="1">
        <v>53742.44</v>
      </c>
      <c r="R170" s="1" t="s">
        <v>45</v>
      </c>
      <c r="S170" s="1" t="s">
        <v>34</v>
      </c>
      <c r="T170" s="1" t="s">
        <v>35</v>
      </c>
      <c r="U170" s="1" t="s">
        <v>36</v>
      </c>
      <c r="V170" s="1" t="s">
        <v>37</v>
      </c>
      <c r="W170" s="1">
        <v>6</v>
      </c>
      <c r="X170" s="1" t="s">
        <v>38</v>
      </c>
      <c r="Y170" s="1">
        <v>1</v>
      </c>
      <c r="Z170" s="1" t="s">
        <v>58</v>
      </c>
    </row>
    <row r="171" spans="1:26" x14ac:dyDescent="0.3">
      <c r="A171" s="1" t="s">
        <v>409</v>
      </c>
      <c r="B171" s="2">
        <v>45956</v>
      </c>
      <c r="C171" s="1" t="s">
        <v>410</v>
      </c>
      <c r="D171" s="1" t="s">
        <v>28</v>
      </c>
      <c r="E171" s="1" t="s">
        <v>43</v>
      </c>
      <c r="F171" s="1">
        <v>18</v>
      </c>
      <c r="G171" s="1" t="s">
        <v>67</v>
      </c>
      <c r="H171" s="1" t="s">
        <v>68</v>
      </c>
      <c r="I171" s="1" t="s">
        <v>67</v>
      </c>
      <c r="J171" s="1" t="s">
        <v>32</v>
      </c>
      <c r="K171" s="1">
        <v>4</v>
      </c>
      <c r="L171" s="1">
        <v>42955</v>
      </c>
      <c r="M171" s="1">
        <v>0</v>
      </c>
      <c r="N171" s="1">
        <v>0</v>
      </c>
      <c r="O171" s="1">
        <v>30927.599999999999</v>
      </c>
      <c r="P171" s="1">
        <v>41</v>
      </c>
      <c r="Q171" s="1">
        <v>202788.6</v>
      </c>
      <c r="R171" s="1" t="s">
        <v>45</v>
      </c>
      <c r="S171" s="1" t="s">
        <v>63</v>
      </c>
      <c r="T171" s="1" t="s">
        <v>46</v>
      </c>
      <c r="U171" s="1" t="s">
        <v>36</v>
      </c>
      <c r="V171" s="1" t="s">
        <v>37</v>
      </c>
      <c r="W171" s="1">
        <v>9</v>
      </c>
      <c r="X171" s="1" t="s">
        <v>38</v>
      </c>
      <c r="Y171" s="1">
        <v>3</v>
      </c>
      <c r="Z171" s="1" t="s">
        <v>47</v>
      </c>
    </row>
    <row r="172" spans="1:26" x14ac:dyDescent="0.3">
      <c r="A172" s="1" t="s">
        <v>411</v>
      </c>
      <c r="B172" s="2">
        <v>45931</v>
      </c>
      <c r="C172" s="1" t="s">
        <v>412</v>
      </c>
      <c r="D172" s="1" t="s">
        <v>108</v>
      </c>
      <c r="E172" s="1" t="s">
        <v>29</v>
      </c>
      <c r="F172" s="1">
        <v>59</v>
      </c>
      <c r="G172" s="1" t="s">
        <v>51</v>
      </c>
      <c r="H172" s="1" t="s">
        <v>52</v>
      </c>
      <c r="I172" s="1" t="s">
        <v>51</v>
      </c>
      <c r="J172" s="1" t="s">
        <v>112</v>
      </c>
      <c r="K172" s="1">
        <v>3</v>
      </c>
      <c r="L172" s="1">
        <v>40789</v>
      </c>
      <c r="M172" s="1">
        <v>10</v>
      </c>
      <c r="N172" s="1">
        <v>12236.7</v>
      </c>
      <c r="O172" s="1">
        <v>19823.45</v>
      </c>
      <c r="P172" s="1">
        <v>488</v>
      </c>
      <c r="Q172" s="1">
        <v>130441.75</v>
      </c>
      <c r="R172" s="1" t="s">
        <v>83</v>
      </c>
      <c r="S172" s="1" t="s">
        <v>34</v>
      </c>
      <c r="T172" s="1" t="s">
        <v>55</v>
      </c>
      <c r="U172" s="1" t="s">
        <v>56</v>
      </c>
      <c r="V172" s="1" t="s">
        <v>57</v>
      </c>
      <c r="W172" s="1">
        <v>3</v>
      </c>
      <c r="X172" s="1" t="s">
        <v>38</v>
      </c>
      <c r="Y172" s="1">
        <v>1</v>
      </c>
      <c r="Z172" s="1" t="s">
        <v>47</v>
      </c>
    </row>
    <row r="173" spans="1:26" x14ac:dyDescent="0.3">
      <c r="A173" s="1" t="s">
        <v>413</v>
      </c>
      <c r="B173" s="2">
        <v>45865</v>
      </c>
      <c r="C173" s="1" t="s">
        <v>414</v>
      </c>
      <c r="D173" s="1" t="s">
        <v>66</v>
      </c>
      <c r="E173" s="1" t="s">
        <v>29</v>
      </c>
      <c r="F173" s="1">
        <v>56</v>
      </c>
      <c r="G173" s="1" t="s">
        <v>30</v>
      </c>
      <c r="H173" s="1" t="s">
        <v>31</v>
      </c>
      <c r="I173" s="1" t="s">
        <v>30</v>
      </c>
      <c r="J173" s="1" t="s">
        <v>32</v>
      </c>
      <c r="K173" s="1">
        <v>5</v>
      </c>
      <c r="L173" s="1">
        <v>39991</v>
      </c>
      <c r="M173" s="1">
        <v>5</v>
      </c>
      <c r="N173" s="1">
        <v>9997.75</v>
      </c>
      <c r="O173" s="1">
        <v>34192.31</v>
      </c>
      <c r="P173" s="1">
        <v>328</v>
      </c>
      <c r="Q173" s="1">
        <v>224477.55</v>
      </c>
      <c r="R173" s="1" t="s">
        <v>33</v>
      </c>
      <c r="S173" s="1" t="s">
        <v>63</v>
      </c>
      <c r="T173" s="1" t="s">
        <v>103</v>
      </c>
      <c r="U173" s="1" t="s">
        <v>103</v>
      </c>
      <c r="V173" s="1" t="s">
        <v>57</v>
      </c>
      <c r="W173" s="1">
        <v>10</v>
      </c>
      <c r="X173" s="1" t="s">
        <v>47</v>
      </c>
      <c r="Y173" s="1">
        <v>4</v>
      </c>
      <c r="Z173" s="1" t="s">
        <v>58</v>
      </c>
    </row>
    <row r="174" spans="1:26" x14ac:dyDescent="0.3">
      <c r="A174" s="1" t="s">
        <v>415</v>
      </c>
      <c r="B174" s="2">
        <v>46009</v>
      </c>
      <c r="C174" s="1" t="s">
        <v>266</v>
      </c>
      <c r="D174" s="1" t="s">
        <v>89</v>
      </c>
      <c r="E174" s="1" t="s">
        <v>43</v>
      </c>
      <c r="F174" s="1">
        <v>41</v>
      </c>
      <c r="G174" s="1" t="s">
        <v>44</v>
      </c>
      <c r="H174" s="1" t="s">
        <v>31</v>
      </c>
      <c r="I174" s="1" t="s">
        <v>44</v>
      </c>
      <c r="J174" s="1" t="s">
        <v>201</v>
      </c>
      <c r="K174" s="1">
        <v>3</v>
      </c>
      <c r="L174" s="1">
        <v>22410</v>
      </c>
      <c r="M174" s="1">
        <v>10</v>
      </c>
      <c r="N174" s="1">
        <v>6723</v>
      </c>
      <c r="O174" s="1">
        <v>10891.26</v>
      </c>
      <c r="P174" s="1">
        <v>365</v>
      </c>
      <c r="Q174" s="1">
        <v>71763.259999999995</v>
      </c>
      <c r="R174" s="1" t="s">
        <v>45</v>
      </c>
      <c r="S174" s="1" t="s">
        <v>63</v>
      </c>
      <c r="T174" s="1" t="s">
        <v>103</v>
      </c>
      <c r="U174" s="1" t="s">
        <v>103</v>
      </c>
      <c r="V174" s="1" t="s">
        <v>57</v>
      </c>
      <c r="W174" s="1">
        <v>1</v>
      </c>
      <c r="X174" s="1" t="s">
        <v>47</v>
      </c>
      <c r="Y174" s="1">
        <v>1</v>
      </c>
      <c r="Z174" s="1" t="s">
        <v>47</v>
      </c>
    </row>
    <row r="175" spans="1:26" x14ac:dyDescent="0.3">
      <c r="A175" s="1" t="s">
        <v>416</v>
      </c>
      <c r="B175" s="2">
        <v>45938</v>
      </c>
      <c r="C175" s="1" t="s">
        <v>417</v>
      </c>
      <c r="D175" s="1" t="s">
        <v>80</v>
      </c>
      <c r="E175" s="1" t="s">
        <v>29</v>
      </c>
      <c r="F175" s="1">
        <v>18</v>
      </c>
      <c r="G175" s="1" t="s">
        <v>94</v>
      </c>
      <c r="H175" s="1" t="s">
        <v>31</v>
      </c>
      <c r="I175" s="1" t="s">
        <v>94</v>
      </c>
      <c r="J175" s="1" t="s">
        <v>53</v>
      </c>
      <c r="K175" s="1">
        <v>4</v>
      </c>
      <c r="L175" s="1">
        <v>3086</v>
      </c>
      <c r="M175" s="1">
        <v>10</v>
      </c>
      <c r="N175" s="1">
        <v>1234.4000000000001</v>
      </c>
      <c r="O175" s="1">
        <v>1999.73</v>
      </c>
      <c r="P175" s="1">
        <v>247</v>
      </c>
      <c r="Q175" s="1">
        <v>13356.33</v>
      </c>
      <c r="R175" s="1" t="s">
        <v>33</v>
      </c>
      <c r="S175" s="1" t="s">
        <v>63</v>
      </c>
      <c r="T175" s="1" t="s">
        <v>35</v>
      </c>
      <c r="U175" s="1" t="s">
        <v>36</v>
      </c>
      <c r="V175" s="1" t="s">
        <v>37</v>
      </c>
      <c r="W175" s="1">
        <v>4</v>
      </c>
      <c r="X175" s="1" t="s">
        <v>47</v>
      </c>
      <c r="Y175" s="1">
        <v>5</v>
      </c>
      <c r="Z175" s="1" t="s">
        <v>58</v>
      </c>
    </row>
    <row r="176" spans="1:26" x14ac:dyDescent="0.3">
      <c r="A176" s="1" t="s">
        <v>418</v>
      </c>
      <c r="B176" s="2">
        <v>45868</v>
      </c>
      <c r="C176" s="1" t="s">
        <v>419</v>
      </c>
      <c r="D176" s="1" t="s">
        <v>50</v>
      </c>
      <c r="E176" s="1" t="s">
        <v>43</v>
      </c>
      <c r="F176" s="1">
        <v>53</v>
      </c>
      <c r="G176" s="1" t="s">
        <v>30</v>
      </c>
      <c r="H176" s="1" t="s">
        <v>31</v>
      </c>
      <c r="I176" s="1" t="s">
        <v>30</v>
      </c>
      <c r="J176" s="1" t="s">
        <v>62</v>
      </c>
      <c r="K176" s="1">
        <v>3</v>
      </c>
      <c r="L176" s="1">
        <v>39476</v>
      </c>
      <c r="M176" s="1">
        <v>20</v>
      </c>
      <c r="N176" s="1">
        <v>23685.599999999999</v>
      </c>
      <c r="O176" s="1">
        <v>17053.63</v>
      </c>
      <c r="P176" s="1">
        <v>78</v>
      </c>
      <c r="Q176" s="1">
        <v>111874.03</v>
      </c>
      <c r="R176" s="1" t="s">
        <v>83</v>
      </c>
      <c r="S176" s="1" t="s">
        <v>63</v>
      </c>
      <c r="T176" s="1" t="s">
        <v>103</v>
      </c>
      <c r="U176" s="1" t="s">
        <v>103</v>
      </c>
      <c r="V176" s="1" t="s">
        <v>57</v>
      </c>
      <c r="W176" s="1">
        <v>5</v>
      </c>
      <c r="X176" s="1" t="s">
        <v>47</v>
      </c>
      <c r="Y176" s="1">
        <v>2</v>
      </c>
      <c r="Z176" s="1" t="s">
        <v>47</v>
      </c>
    </row>
    <row r="177" spans="1:26" x14ac:dyDescent="0.3">
      <c r="A177" s="1" t="s">
        <v>420</v>
      </c>
      <c r="B177" s="2">
        <v>45925</v>
      </c>
      <c r="C177" s="1" t="s">
        <v>421</v>
      </c>
      <c r="D177" s="1" t="s">
        <v>50</v>
      </c>
      <c r="E177" s="1" t="s">
        <v>29</v>
      </c>
      <c r="F177" s="1">
        <v>31</v>
      </c>
      <c r="G177" s="1" t="s">
        <v>44</v>
      </c>
      <c r="H177" s="1" t="s">
        <v>31</v>
      </c>
      <c r="I177" s="1" t="s">
        <v>44</v>
      </c>
      <c r="J177" s="1" t="s">
        <v>53</v>
      </c>
      <c r="K177" s="1">
        <v>1</v>
      </c>
      <c r="L177" s="1">
        <v>31021</v>
      </c>
      <c r="M177" s="1">
        <v>15</v>
      </c>
      <c r="N177" s="1">
        <v>4653.1499999999996</v>
      </c>
      <c r="O177" s="1">
        <v>4746.21</v>
      </c>
      <c r="P177" s="1">
        <v>39</v>
      </c>
      <c r="Q177" s="1">
        <v>31153.06</v>
      </c>
      <c r="R177" s="1" t="s">
        <v>83</v>
      </c>
      <c r="S177" s="1" t="s">
        <v>34</v>
      </c>
      <c r="T177" s="1" t="s">
        <v>70</v>
      </c>
      <c r="U177" s="1" t="s">
        <v>56</v>
      </c>
      <c r="V177" s="1" t="s">
        <v>57</v>
      </c>
      <c r="W177" s="1">
        <v>8</v>
      </c>
      <c r="X177" s="1" t="s">
        <v>47</v>
      </c>
      <c r="Y177" s="1">
        <v>4</v>
      </c>
      <c r="Z177" s="1" t="s">
        <v>39</v>
      </c>
    </row>
    <row r="178" spans="1:26" x14ac:dyDescent="0.3">
      <c r="A178" s="1" t="s">
        <v>422</v>
      </c>
      <c r="B178" s="2">
        <v>45842</v>
      </c>
      <c r="C178" s="1" t="s">
        <v>423</v>
      </c>
      <c r="D178" s="1" t="s">
        <v>73</v>
      </c>
      <c r="E178" s="1" t="s">
        <v>43</v>
      </c>
      <c r="F178" s="1">
        <v>46</v>
      </c>
      <c r="G178" s="1" t="s">
        <v>74</v>
      </c>
      <c r="H178" s="1" t="s">
        <v>31</v>
      </c>
      <c r="I178" s="1" t="s">
        <v>74</v>
      </c>
      <c r="J178" s="1" t="s">
        <v>201</v>
      </c>
      <c r="K178" s="1">
        <v>1</v>
      </c>
      <c r="L178" s="1">
        <v>581</v>
      </c>
      <c r="M178" s="1">
        <v>0</v>
      </c>
      <c r="N178" s="1">
        <v>0</v>
      </c>
      <c r="O178" s="1">
        <v>104.58</v>
      </c>
      <c r="P178" s="1">
        <v>19</v>
      </c>
      <c r="Q178" s="1">
        <v>704.58</v>
      </c>
      <c r="R178" s="1" t="s">
        <v>83</v>
      </c>
      <c r="S178" s="1" t="s">
        <v>34</v>
      </c>
      <c r="T178" s="1" t="s">
        <v>103</v>
      </c>
      <c r="U178" s="1" t="s">
        <v>103</v>
      </c>
      <c r="V178" s="1" t="s">
        <v>57</v>
      </c>
      <c r="W178" s="1">
        <v>4</v>
      </c>
      <c r="X178" s="1" t="s">
        <v>47</v>
      </c>
      <c r="Y178" s="1">
        <v>2</v>
      </c>
      <c r="Z178" s="1" t="s">
        <v>91</v>
      </c>
    </row>
    <row r="179" spans="1:26" x14ac:dyDescent="0.3">
      <c r="A179" s="1" t="s">
        <v>424</v>
      </c>
      <c r="B179" s="2">
        <v>46058</v>
      </c>
      <c r="C179" s="1" t="s">
        <v>425</v>
      </c>
      <c r="D179" s="1" t="s">
        <v>111</v>
      </c>
      <c r="E179" s="1" t="s">
        <v>29</v>
      </c>
      <c r="F179" s="1">
        <v>23</v>
      </c>
      <c r="G179" s="1" t="s">
        <v>134</v>
      </c>
      <c r="H179" s="1" t="s">
        <v>31</v>
      </c>
      <c r="I179" s="1" t="s">
        <v>134</v>
      </c>
      <c r="J179" s="1" t="s">
        <v>102</v>
      </c>
      <c r="K179" s="1">
        <v>3</v>
      </c>
      <c r="L179" s="1">
        <v>36753</v>
      </c>
      <c r="M179" s="1">
        <v>10</v>
      </c>
      <c r="N179" s="1">
        <v>11025.9</v>
      </c>
      <c r="O179" s="1">
        <v>17861.96</v>
      </c>
      <c r="P179" s="1">
        <v>200</v>
      </c>
      <c r="Q179" s="1">
        <v>117295.06</v>
      </c>
      <c r="R179" s="1" t="s">
        <v>54</v>
      </c>
      <c r="S179" s="1" t="s">
        <v>34</v>
      </c>
      <c r="T179" s="1" t="s">
        <v>95</v>
      </c>
      <c r="U179" s="1" t="s">
        <v>96</v>
      </c>
      <c r="V179" s="1" t="s">
        <v>57</v>
      </c>
      <c r="W179" s="1">
        <v>9</v>
      </c>
      <c r="X179" s="1" t="s">
        <v>38</v>
      </c>
      <c r="Y179" s="1">
        <v>3</v>
      </c>
      <c r="Z179" s="1" t="s">
        <v>58</v>
      </c>
    </row>
    <row r="180" spans="1:26" x14ac:dyDescent="0.3">
      <c r="A180" s="1" t="s">
        <v>426</v>
      </c>
      <c r="B180" s="2">
        <v>46011</v>
      </c>
      <c r="C180" s="1" t="s">
        <v>427</v>
      </c>
      <c r="D180" s="1" t="s">
        <v>28</v>
      </c>
      <c r="E180" s="1" t="s">
        <v>43</v>
      </c>
      <c r="F180" s="1">
        <v>30</v>
      </c>
      <c r="G180" s="1" t="s">
        <v>139</v>
      </c>
      <c r="H180" s="1" t="s">
        <v>31</v>
      </c>
      <c r="I180" s="1" t="s">
        <v>139</v>
      </c>
      <c r="J180" s="1" t="s">
        <v>75</v>
      </c>
      <c r="K180" s="1">
        <v>3</v>
      </c>
      <c r="L180" s="1">
        <v>34859</v>
      </c>
      <c r="M180" s="1">
        <v>5</v>
      </c>
      <c r="N180" s="1">
        <v>5228.8500000000004</v>
      </c>
      <c r="O180" s="1">
        <v>17882.669999999998</v>
      </c>
      <c r="P180" s="1">
        <v>482</v>
      </c>
      <c r="Q180" s="1">
        <v>117712.82</v>
      </c>
      <c r="R180" s="1" t="s">
        <v>54</v>
      </c>
      <c r="S180" s="1" t="s">
        <v>34</v>
      </c>
      <c r="T180" s="1" t="s">
        <v>70</v>
      </c>
      <c r="U180" s="1" t="s">
        <v>56</v>
      </c>
      <c r="V180" s="1" t="s">
        <v>57</v>
      </c>
      <c r="W180" s="1">
        <v>6</v>
      </c>
      <c r="X180" s="1" t="s">
        <v>47</v>
      </c>
      <c r="Y180" s="1">
        <v>1</v>
      </c>
      <c r="Z180" s="1" t="s">
        <v>47</v>
      </c>
    </row>
    <row r="181" spans="1:26" x14ac:dyDescent="0.3">
      <c r="A181" s="1" t="s">
        <v>428</v>
      </c>
      <c r="B181" s="2">
        <v>46101</v>
      </c>
      <c r="C181" s="1" t="s">
        <v>172</v>
      </c>
      <c r="D181" s="1" t="s">
        <v>108</v>
      </c>
      <c r="E181" s="1" t="s">
        <v>43</v>
      </c>
      <c r="F181" s="1">
        <v>38</v>
      </c>
      <c r="G181" s="1" t="s">
        <v>67</v>
      </c>
      <c r="H181" s="1" t="s">
        <v>68</v>
      </c>
      <c r="I181" s="1" t="s">
        <v>67</v>
      </c>
      <c r="J181" s="1" t="s">
        <v>150</v>
      </c>
      <c r="K181" s="1">
        <v>3</v>
      </c>
      <c r="L181" s="1">
        <v>27908</v>
      </c>
      <c r="M181" s="1">
        <v>15</v>
      </c>
      <c r="N181" s="1">
        <v>12558.6</v>
      </c>
      <c r="O181" s="1">
        <v>12809.77</v>
      </c>
      <c r="P181" s="1">
        <v>250</v>
      </c>
      <c r="Q181" s="1">
        <v>84225.17</v>
      </c>
      <c r="R181" s="1" t="s">
        <v>45</v>
      </c>
      <c r="S181" s="1" t="s">
        <v>34</v>
      </c>
      <c r="T181" s="1" t="s">
        <v>70</v>
      </c>
      <c r="U181" s="1" t="s">
        <v>56</v>
      </c>
      <c r="V181" s="1" t="s">
        <v>57</v>
      </c>
      <c r="W181" s="1">
        <v>9</v>
      </c>
      <c r="X181" s="1" t="s">
        <v>47</v>
      </c>
      <c r="Y181" s="1">
        <v>5</v>
      </c>
      <c r="Z181" s="1" t="s">
        <v>39</v>
      </c>
    </row>
    <row r="182" spans="1:26" x14ac:dyDescent="0.3">
      <c r="A182" s="1" t="s">
        <v>429</v>
      </c>
      <c r="B182" s="2">
        <v>46028</v>
      </c>
      <c r="C182" s="1" t="s">
        <v>301</v>
      </c>
      <c r="D182" s="1" t="s">
        <v>108</v>
      </c>
      <c r="E182" s="1" t="s">
        <v>43</v>
      </c>
      <c r="F182" s="1">
        <v>29</v>
      </c>
      <c r="G182" s="1" t="s">
        <v>139</v>
      </c>
      <c r="H182" s="1" t="s">
        <v>31</v>
      </c>
      <c r="I182" s="1" t="s">
        <v>139</v>
      </c>
      <c r="J182" s="1" t="s">
        <v>69</v>
      </c>
      <c r="K182" s="1">
        <v>3</v>
      </c>
      <c r="L182" s="1">
        <v>47658</v>
      </c>
      <c r="M182" s="1">
        <v>0</v>
      </c>
      <c r="N182" s="1">
        <v>0</v>
      </c>
      <c r="O182" s="1">
        <v>25735.32</v>
      </c>
      <c r="P182" s="1">
        <v>240</v>
      </c>
      <c r="Q182" s="1">
        <v>168949.32</v>
      </c>
      <c r="R182" s="1" t="s">
        <v>45</v>
      </c>
      <c r="S182" s="1" t="s">
        <v>34</v>
      </c>
      <c r="T182" s="1" t="s">
        <v>70</v>
      </c>
      <c r="U182" s="1" t="s">
        <v>56</v>
      </c>
      <c r="V182" s="1" t="s">
        <v>57</v>
      </c>
      <c r="W182" s="1">
        <v>4</v>
      </c>
      <c r="X182" s="1" t="s">
        <v>38</v>
      </c>
      <c r="Y182" s="1">
        <v>2</v>
      </c>
      <c r="Z182" s="1" t="s">
        <v>58</v>
      </c>
    </row>
    <row r="183" spans="1:26" x14ac:dyDescent="0.3">
      <c r="A183" s="1" t="s">
        <v>430</v>
      </c>
      <c r="B183" s="2">
        <v>45954</v>
      </c>
      <c r="C183" s="1" t="s">
        <v>431</v>
      </c>
      <c r="D183" s="1" t="s">
        <v>89</v>
      </c>
      <c r="E183" s="1" t="s">
        <v>43</v>
      </c>
      <c r="F183" s="1">
        <v>56</v>
      </c>
      <c r="G183" s="1" t="s">
        <v>30</v>
      </c>
      <c r="H183" s="1" t="s">
        <v>31</v>
      </c>
      <c r="I183" s="1" t="s">
        <v>30</v>
      </c>
      <c r="J183" s="1" t="s">
        <v>62</v>
      </c>
      <c r="K183" s="1">
        <v>4</v>
      </c>
      <c r="L183" s="1">
        <v>2329</v>
      </c>
      <c r="M183" s="1">
        <v>0</v>
      </c>
      <c r="N183" s="1">
        <v>0</v>
      </c>
      <c r="O183" s="1">
        <v>1676.88</v>
      </c>
      <c r="P183" s="1">
        <v>348</v>
      </c>
      <c r="Q183" s="1">
        <v>11340.88</v>
      </c>
      <c r="R183" s="1" t="s">
        <v>54</v>
      </c>
      <c r="S183" s="1" t="s">
        <v>34</v>
      </c>
      <c r="T183" s="1" t="s">
        <v>55</v>
      </c>
      <c r="U183" s="1" t="s">
        <v>56</v>
      </c>
      <c r="V183" s="1" t="s">
        <v>57</v>
      </c>
      <c r="W183" s="1">
        <v>1</v>
      </c>
      <c r="X183" s="1" t="s">
        <v>38</v>
      </c>
      <c r="Y183" s="1">
        <v>2</v>
      </c>
      <c r="Z183" s="1" t="s">
        <v>39</v>
      </c>
    </row>
    <row r="184" spans="1:26" x14ac:dyDescent="0.3">
      <c r="A184" s="1" t="s">
        <v>432</v>
      </c>
      <c r="B184" s="2">
        <v>45975</v>
      </c>
      <c r="C184" s="1" t="s">
        <v>433</v>
      </c>
      <c r="D184" s="1" t="s">
        <v>89</v>
      </c>
      <c r="E184" s="1" t="s">
        <v>43</v>
      </c>
      <c r="F184" s="1">
        <v>42</v>
      </c>
      <c r="G184" s="1" t="s">
        <v>30</v>
      </c>
      <c r="H184" s="1" t="s">
        <v>31</v>
      </c>
      <c r="I184" s="1" t="s">
        <v>30</v>
      </c>
      <c r="J184" s="1" t="s">
        <v>201</v>
      </c>
      <c r="K184" s="1">
        <v>2</v>
      </c>
      <c r="L184" s="1">
        <v>10674</v>
      </c>
      <c r="M184" s="1">
        <v>20</v>
      </c>
      <c r="N184" s="1">
        <v>4269.6000000000004</v>
      </c>
      <c r="O184" s="1">
        <v>3074.11</v>
      </c>
      <c r="P184" s="1">
        <v>316</v>
      </c>
      <c r="Q184" s="1">
        <v>20468.509999999998</v>
      </c>
      <c r="R184" s="1" t="s">
        <v>33</v>
      </c>
      <c r="S184" s="1" t="s">
        <v>34</v>
      </c>
      <c r="T184" s="1" t="s">
        <v>46</v>
      </c>
      <c r="U184" s="1" t="s">
        <v>36</v>
      </c>
      <c r="V184" s="1" t="s">
        <v>37</v>
      </c>
      <c r="W184" s="1">
        <v>5</v>
      </c>
      <c r="X184" s="1" t="s">
        <v>38</v>
      </c>
      <c r="Y184" s="1">
        <v>1</v>
      </c>
      <c r="Z184" s="1" t="s">
        <v>91</v>
      </c>
    </row>
    <row r="185" spans="1:26" x14ac:dyDescent="0.3">
      <c r="A185" s="1" t="s">
        <v>434</v>
      </c>
      <c r="B185" s="2">
        <v>45910</v>
      </c>
      <c r="C185" s="1" t="s">
        <v>435</v>
      </c>
      <c r="D185" s="1" t="s">
        <v>108</v>
      </c>
      <c r="E185" s="1" t="s">
        <v>29</v>
      </c>
      <c r="F185" s="1">
        <v>37</v>
      </c>
      <c r="G185" s="1" t="s">
        <v>139</v>
      </c>
      <c r="H185" s="1" t="s">
        <v>31</v>
      </c>
      <c r="I185" s="1" t="s">
        <v>139</v>
      </c>
      <c r="J185" s="1" t="s">
        <v>62</v>
      </c>
      <c r="K185" s="1">
        <v>4</v>
      </c>
      <c r="L185" s="1">
        <v>9797</v>
      </c>
      <c r="M185" s="1">
        <v>15</v>
      </c>
      <c r="N185" s="1">
        <v>5878.2</v>
      </c>
      <c r="O185" s="1">
        <v>5995.76</v>
      </c>
      <c r="P185" s="1">
        <v>457</v>
      </c>
      <c r="Q185" s="1">
        <v>39762.559999999998</v>
      </c>
      <c r="R185" s="1" t="s">
        <v>83</v>
      </c>
      <c r="S185" s="1" t="s">
        <v>34</v>
      </c>
      <c r="T185" s="1" t="s">
        <v>55</v>
      </c>
      <c r="U185" s="1" t="s">
        <v>56</v>
      </c>
      <c r="V185" s="1" t="s">
        <v>57</v>
      </c>
      <c r="W185" s="1">
        <v>3</v>
      </c>
      <c r="X185" s="1" t="s">
        <v>47</v>
      </c>
      <c r="Y185" s="1">
        <v>5</v>
      </c>
      <c r="Z185" s="1" t="s">
        <v>91</v>
      </c>
    </row>
    <row r="186" spans="1:26" x14ac:dyDescent="0.3">
      <c r="A186" s="1" t="s">
        <v>436</v>
      </c>
      <c r="B186" s="2">
        <v>45990</v>
      </c>
      <c r="C186" s="1" t="s">
        <v>299</v>
      </c>
      <c r="D186" s="1" t="s">
        <v>80</v>
      </c>
      <c r="E186" s="1" t="s">
        <v>43</v>
      </c>
      <c r="F186" s="1">
        <v>46</v>
      </c>
      <c r="G186" s="1" t="s">
        <v>74</v>
      </c>
      <c r="H186" s="1" t="s">
        <v>31</v>
      </c>
      <c r="I186" s="1" t="s">
        <v>74</v>
      </c>
      <c r="J186" s="1" t="s">
        <v>32</v>
      </c>
      <c r="K186" s="1">
        <v>3</v>
      </c>
      <c r="L186" s="1">
        <v>44724</v>
      </c>
      <c r="M186" s="1">
        <v>5</v>
      </c>
      <c r="N186" s="1">
        <v>6708.6</v>
      </c>
      <c r="O186" s="1">
        <v>22943.41</v>
      </c>
      <c r="P186" s="1">
        <v>76</v>
      </c>
      <c r="Q186" s="1">
        <v>150482.81</v>
      </c>
      <c r="R186" s="1" t="s">
        <v>83</v>
      </c>
      <c r="S186" s="1" t="s">
        <v>34</v>
      </c>
      <c r="T186" s="1" t="s">
        <v>103</v>
      </c>
      <c r="U186" s="1" t="s">
        <v>103</v>
      </c>
      <c r="V186" s="1" t="s">
        <v>57</v>
      </c>
      <c r="W186" s="1">
        <v>7</v>
      </c>
      <c r="X186" s="1" t="s">
        <v>47</v>
      </c>
      <c r="Y186" s="1">
        <v>2</v>
      </c>
      <c r="Z186" s="1" t="s">
        <v>91</v>
      </c>
    </row>
    <row r="187" spans="1:26" x14ac:dyDescent="0.3">
      <c r="A187" s="1" t="s">
        <v>437</v>
      </c>
      <c r="B187" s="2">
        <v>46075</v>
      </c>
      <c r="C187" s="1" t="s">
        <v>438</v>
      </c>
      <c r="D187" s="1" t="s">
        <v>80</v>
      </c>
      <c r="E187" s="1" t="s">
        <v>29</v>
      </c>
      <c r="F187" s="1">
        <v>33</v>
      </c>
      <c r="G187" s="1" t="s">
        <v>44</v>
      </c>
      <c r="H187" s="1" t="s">
        <v>31</v>
      </c>
      <c r="I187" s="1" t="s">
        <v>44</v>
      </c>
      <c r="J187" s="1" t="s">
        <v>150</v>
      </c>
      <c r="K187" s="1">
        <v>2</v>
      </c>
      <c r="L187" s="1">
        <v>41199</v>
      </c>
      <c r="M187" s="1">
        <v>20</v>
      </c>
      <c r="N187" s="1">
        <v>16479.599999999999</v>
      </c>
      <c r="O187" s="1">
        <v>11865.31</v>
      </c>
      <c r="P187" s="1">
        <v>317</v>
      </c>
      <c r="Q187" s="1">
        <v>78100.710000000006</v>
      </c>
      <c r="R187" s="1" t="s">
        <v>54</v>
      </c>
      <c r="S187" s="1" t="s">
        <v>63</v>
      </c>
      <c r="T187" s="1" t="s">
        <v>46</v>
      </c>
      <c r="U187" s="1" t="s">
        <v>36</v>
      </c>
      <c r="V187" s="1" t="s">
        <v>37</v>
      </c>
      <c r="W187" s="1">
        <v>2</v>
      </c>
      <c r="X187" s="1" t="s">
        <v>38</v>
      </c>
      <c r="Y187" s="1">
        <v>3</v>
      </c>
      <c r="Z187" s="1" t="s">
        <v>39</v>
      </c>
    </row>
    <row r="188" spans="1:26" x14ac:dyDescent="0.3">
      <c r="A188" s="1" t="s">
        <v>439</v>
      </c>
      <c r="B188" s="2">
        <v>45849</v>
      </c>
      <c r="C188" s="1" t="s">
        <v>375</v>
      </c>
      <c r="D188" s="1" t="s">
        <v>73</v>
      </c>
      <c r="E188" s="1" t="s">
        <v>43</v>
      </c>
      <c r="F188" s="1">
        <v>37</v>
      </c>
      <c r="G188" s="1" t="s">
        <v>94</v>
      </c>
      <c r="H188" s="1" t="s">
        <v>31</v>
      </c>
      <c r="I188" s="1" t="s">
        <v>94</v>
      </c>
      <c r="J188" s="1" t="s">
        <v>75</v>
      </c>
      <c r="K188" s="1">
        <v>5</v>
      </c>
      <c r="L188" s="1">
        <v>41589</v>
      </c>
      <c r="M188" s="1">
        <v>0</v>
      </c>
      <c r="N188" s="1">
        <v>0</v>
      </c>
      <c r="O188" s="1">
        <v>37430.1</v>
      </c>
      <c r="P188" s="1">
        <v>194</v>
      </c>
      <c r="Q188" s="1">
        <v>245569.1</v>
      </c>
      <c r="R188" s="1" t="s">
        <v>33</v>
      </c>
      <c r="S188" s="1" t="s">
        <v>63</v>
      </c>
      <c r="T188" s="1" t="s">
        <v>70</v>
      </c>
      <c r="U188" s="1" t="s">
        <v>56</v>
      </c>
      <c r="V188" s="1" t="s">
        <v>57</v>
      </c>
      <c r="W188" s="1">
        <v>10</v>
      </c>
      <c r="X188" s="1" t="s">
        <v>38</v>
      </c>
      <c r="Y188" s="1">
        <v>1</v>
      </c>
      <c r="Z188" s="1" t="s">
        <v>39</v>
      </c>
    </row>
    <row r="189" spans="1:26" x14ac:dyDescent="0.3">
      <c r="A189" s="1" t="s">
        <v>440</v>
      </c>
      <c r="B189" s="2">
        <v>46068</v>
      </c>
      <c r="C189" s="1" t="s">
        <v>441</v>
      </c>
      <c r="D189" s="1" t="s">
        <v>42</v>
      </c>
      <c r="E189" s="1" t="s">
        <v>43</v>
      </c>
      <c r="F189" s="1">
        <v>50</v>
      </c>
      <c r="G189" s="1" t="s">
        <v>139</v>
      </c>
      <c r="H189" s="1" t="s">
        <v>31</v>
      </c>
      <c r="I189" s="1" t="s">
        <v>139</v>
      </c>
      <c r="J189" s="1" t="s">
        <v>150</v>
      </c>
      <c r="K189" s="1">
        <v>3</v>
      </c>
      <c r="L189" s="1">
        <v>38807</v>
      </c>
      <c r="M189" s="1">
        <v>5</v>
      </c>
      <c r="N189" s="1">
        <v>5821.05</v>
      </c>
      <c r="O189" s="1">
        <v>19907.990000000002</v>
      </c>
      <c r="P189" s="1">
        <v>361</v>
      </c>
      <c r="Q189" s="1">
        <v>130868.94</v>
      </c>
      <c r="R189" s="1" t="s">
        <v>45</v>
      </c>
      <c r="S189" s="1" t="s">
        <v>34</v>
      </c>
      <c r="T189" s="1" t="s">
        <v>46</v>
      </c>
      <c r="U189" s="1" t="s">
        <v>36</v>
      </c>
      <c r="V189" s="1" t="s">
        <v>37</v>
      </c>
      <c r="W189" s="1">
        <v>10</v>
      </c>
      <c r="X189" s="1" t="s">
        <v>47</v>
      </c>
      <c r="Y189" s="1">
        <v>5</v>
      </c>
      <c r="Z189" s="1" t="s">
        <v>47</v>
      </c>
    </row>
    <row r="190" spans="1:26" x14ac:dyDescent="0.3">
      <c r="A190" s="1" t="s">
        <v>442</v>
      </c>
      <c r="B190" s="2">
        <v>45840</v>
      </c>
      <c r="C190" s="1" t="s">
        <v>443</v>
      </c>
      <c r="D190" s="1" t="s">
        <v>61</v>
      </c>
      <c r="E190" s="1" t="s">
        <v>43</v>
      </c>
      <c r="F190" s="1">
        <v>32</v>
      </c>
      <c r="G190" s="1" t="s">
        <v>30</v>
      </c>
      <c r="H190" s="1" t="s">
        <v>31</v>
      </c>
      <c r="I190" s="1" t="s">
        <v>30</v>
      </c>
      <c r="J190" s="1" t="s">
        <v>69</v>
      </c>
      <c r="K190" s="1">
        <v>1</v>
      </c>
      <c r="L190" s="1">
        <v>6099</v>
      </c>
      <c r="M190" s="1">
        <v>0</v>
      </c>
      <c r="N190" s="1">
        <v>0</v>
      </c>
      <c r="O190" s="1">
        <v>1097.82</v>
      </c>
      <c r="P190" s="1">
        <v>238</v>
      </c>
      <c r="Q190" s="1">
        <v>7434.82</v>
      </c>
      <c r="R190" s="1" t="s">
        <v>45</v>
      </c>
      <c r="S190" s="1" t="s">
        <v>63</v>
      </c>
      <c r="T190" s="1" t="s">
        <v>95</v>
      </c>
      <c r="U190" s="1" t="s">
        <v>96</v>
      </c>
      <c r="V190" s="1" t="s">
        <v>57</v>
      </c>
      <c r="W190" s="1">
        <v>10</v>
      </c>
      <c r="X190" s="1" t="s">
        <v>38</v>
      </c>
      <c r="Y190" s="1">
        <v>2</v>
      </c>
      <c r="Z190" s="1" t="s">
        <v>39</v>
      </c>
    </row>
    <row r="191" spans="1:26" x14ac:dyDescent="0.3">
      <c r="A191" s="1" t="s">
        <v>444</v>
      </c>
      <c r="B191" s="2">
        <v>45929</v>
      </c>
      <c r="C191" s="1" t="s">
        <v>445</v>
      </c>
      <c r="D191" s="1" t="s">
        <v>108</v>
      </c>
      <c r="E191" s="1" t="s">
        <v>29</v>
      </c>
      <c r="F191" s="1">
        <v>25</v>
      </c>
      <c r="G191" s="1" t="s">
        <v>51</v>
      </c>
      <c r="H191" s="1" t="s">
        <v>52</v>
      </c>
      <c r="I191" s="1" t="s">
        <v>51</v>
      </c>
      <c r="J191" s="1" t="s">
        <v>201</v>
      </c>
      <c r="K191" s="1">
        <v>1</v>
      </c>
      <c r="L191" s="1">
        <v>22901</v>
      </c>
      <c r="M191" s="1">
        <v>0</v>
      </c>
      <c r="N191" s="1">
        <v>0</v>
      </c>
      <c r="O191" s="1">
        <v>4122.18</v>
      </c>
      <c r="P191" s="1">
        <v>141</v>
      </c>
      <c r="Q191" s="1">
        <v>27164.18</v>
      </c>
      <c r="R191" s="1" t="s">
        <v>54</v>
      </c>
      <c r="S191" s="1" t="s">
        <v>34</v>
      </c>
      <c r="T191" s="1" t="s">
        <v>95</v>
      </c>
      <c r="U191" s="1" t="s">
        <v>96</v>
      </c>
      <c r="V191" s="1" t="s">
        <v>57</v>
      </c>
      <c r="W191" s="1">
        <v>4</v>
      </c>
      <c r="X191" s="1" t="s">
        <v>47</v>
      </c>
      <c r="Y191" s="1">
        <v>3</v>
      </c>
      <c r="Z191" s="1" t="s">
        <v>39</v>
      </c>
    </row>
    <row r="192" spans="1:26" x14ac:dyDescent="0.3">
      <c r="A192" s="1" t="s">
        <v>446</v>
      </c>
      <c r="B192" s="2">
        <v>45994</v>
      </c>
      <c r="C192" s="1" t="s">
        <v>447</v>
      </c>
      <c r="D192" s="1" t="s">
        <v>61</v>
      </c>
      <c r="E192" s="1" t="s">
        <v>29</v>
      </c>
      <c r="F192" s="1">
        <v>58</v>
      </c>
      <c r="G192" s="1" t="s">
        <v>44</v>
      </c>
      <c r="H192" s="1" t="s">
        <v>31</v>
      </c>
      <c r="I192" s="1" t="s">
        <v>44</v>
      </c>
      <c r="J192" s="1" t="s">
        <v>53</v>
      </c>
      <c r="K192" s="1">
        <v>2</v>
      </c>
      <c r="L192" s="1">
        <v>15512</v>
      </c>
      <c r="M192" s="1">
        <v>20</v>
      </c>
      <c r="N192" s="1">
        <v>6204.8</v>
      </c>
      <c r="O192" s="1">
        <v>4467.46</v>
      </c>
      <c r="P192" s="1">
        <v>484</v>
      </c>
      <c r="Q192" s="1">
        <v>29770.66</v>
      </c>
      <c r="R192" s="1" t="s">
        <v>83</v>
      </c>
      <c r="S192" s="1" t="s">
        <v>63</v>
      </c>
      <c r="T192" s="1" t="s">
        <v>35</v>
      </c>
      <c r="U192" s="1" t="s">
        <v>36</v>
      </c>
      <c r="V192" s="1" t="s">
        <v>37</v>
      </c>
      <c r="W192" s="1">
        <v>8</v>
      </c>
      <c r="X192" s="1" t="s">
        <v>47</v>
      </c>
      <c r="Y192" s="1">
        <v>1</v>
      </c>
      <c r="Z192" s="1" t="s">
        <v>47</v>
      </c>
    </row>
    <row r="193" spans="1:26" x14ac:dyDescent="0.3">
      <c r="A193" s="1" t="s">
        <v>448</v>
      </c>
      <c r="B193" s="2">
        <v>45778</v>
      </c>
      <c r="C193" s="1" t="s">
        <v>449</v>
      </c>
      <c r="D193" s="1" t="s">
        <v>28</v>
      </c>
      <c r="E193" s="1" t="s">
        <v>43</v>
      </c>
      <c r="F193" s="1">
        <v>58</v>
      </c>
      <c r="G193" s="1" t="s">
        <v>94</v>
      </c>
      <c r="H193" s="1" t="s">
        <v>31</v>
      </c>
      <c r="I193" s="1" t="s">
        <v>94</v>
      </c>
      <c r="J193" s="1" t="s">
        <v>62</v>
      </c>
      <c r="K193" s="1">
        <v>3</v>
      </c>
      <c r="L193" s="1">
        <v>15329</v>
      </c>
      <c r="M193" s="1">
        <v>15</v>
      </c>
      <c r="N193" s="1">
        <v>6898.05</v>
      </c>
      <c r="O193" s="1">
        <v>7036.01</v>
      </c>
      <c r="P193" s="1">
        <v>288</v>
      </c>
      <c r="Q193" s="1">
        <v>46412.959999999999</v>
      </c>
      <c r="R193" s="1" t="s">
        <v>45</v>
      </c>
      <c r="S193" s="1" t="s">
        <v>63</v>
      </c>
      <c r="T193" s="1" t="s">
        <v>76</v>
      </c>
      <c r="U193" s="1" t="s">
        <v>77</v>
      </c>
      <c r="V193" s="1" t="s">
        <v>57</v>
      </c>
      <c r="W193" s="1">
        <v>4</v>
      </c>
      <c r="X193" s="1" t="s">
        <v>38</v>
      </c>
      <c r="Y193" s="1">
        <v>5</v>
      </c>
      <c r="Z193" s="1" t="s">
        <v>91</v>
      </c>
    </row>
    <row r="194" spans="1:26" x14ac:dyDescent="0.3">
      <c r="A194" s="1" t="s">
        <v>450</v>
      </c>
      <c r="B194" s="2">
        <v>45814</v>
      </c>
      <c r="C194" s="1" t="s">
        <v>451</v>
      </c>
      <c r="D194" s="1" t="s">
        <v>28</v>
      </c>
      <c r="E194" s="1" t="s">
        <v>43</v>
      </c>
      <c r="F194" s="1">
        <v>57</v>
      </c>
      <c r="G194" s="1" t="s">
        <v>51</v>
      </c>
      <c r="H194" s="1" t="s">
        <v>52</v>
      </c>
      <c r="I194" s="1" t="s">
        <v>51</v>
      </c>
      <c r="J194" s="1" t="s">
        <v>32</v>
      </c>
      <c r="K194" s="1">
        <v>1</v>
      </c>
      <c r="L194" s="1">
        <v>10386</v>
      </c>
      <c r="M194" s="1">
        <v>10</v>
      </c>
      <c r="N194" s="1">
        <v>1038.5999999999999</v>
      </c>
      <c r="O194" s="1">
        <v>1682.53</v>
      </c>
      <c r="P194" s="1">
        <v>35</v>
      </c>
      <c r="Q194" s="1">
        <v>11064.93</v>
      </c>
      <c r="R194" s="1" t="s">
        <v>83</v>
      </c>
      <c r="S194" s="1" t="s">
        <v>63</v>
      </c>
      <c r="T194" s="1" t="s">
        <v>70</v>
      </c>
      <c r="U194" s="1" t="s">
        <v>56</v>
      </c>
      <c r="V194" s="1" t="s">
        <v>57</v>
      </c>
      <c r="W194" s="1">
        <v>10</v>
      </c>
      <c r="X194" s="1" t="s">
        <v>47</v>
      </c>
      <c r="Y194" s="1">
        <v>4</v>
      </c>
      <c r="Z194" s="1" t="s">
        <v>39</v>
      </c>
    </row>
    <row r="195" spans="1:26" x14ac:dyDescent="0.3">
      <c r="A195" s="1" t="s">
        <v>452</v>
      </c>
      <c r="B195" s="2">
        <v>45802</v>
      </c>
      <c r="C195" s="1" t="s">
        <v>453</v>
      </c>
      <c r="D195" s="1" t="s">
        <v>111</v>
      </c>
      <c r="E195" s="1" t="s">
        <v>43</v>
      </c>
      <c r="F195" s="1">
        <v>24</v>
      </c>
      <c r="G195" s="1" t="s">
        <v>90</v>
      </c>
      <c r="H195" s="1" t="s">
        <v>31</v>
      </c>
      <c r="I195" s="1" t="s">
        <v>90</v>
      </c>
      <c r="J195" s="1" t="s">
        <v>125</v>
      </c>
      <c r="K195" s="1">
        <v>1</v>
      </c>
      <c r="L195" s="1">
        <v>35438</v>
      </c>
      <c r="M195" s="1">
        <v>20</v>
      </c>
      <c r="N195" s="1">
        <v>7087.6</v>
      </c>
      <c r="O195" s="1">
        <v>5103.07</v>
      </c>
      <c r="P195" s="1">
        <v>457</v>
      </c>
      <c r="Q195" s="1">
        <v>33910.47</v>
      </c>
      <c r="R195" s="1" t="s">
        <v>33</v>
      </c>
      <c r="S195" s="1" t="s">
        <v>34</v>
      </c>
      <c r="T195" s="1" t="s">
        <v>55</v>
      </c>
      <c r="U195" s="1" t="s">
        <v>56</v>
      </c>
      <c r="V195" s="1" t="s">
        <v>57</v>
      </c>
      <c r="W195" s="1">
        <v>10</v>
      </c>
      <c r="X195" s="1" t="s">
        <v>38</v>
      </c>
      <c r="Y195" s="1">
        <v>1</v>
      </c>
      <c r="Z195" s="1" t="s">
        <v>47</v>
      </c>
    </row>
    <row r="196" spans="1:26" x14ac:dyDescent="0.3">
      <c r="A196" s="1" t="s">
        <v>454</v>
      </c>
      <c r="B196" s="2">
        <v>46007</v>
      </c>
      <c r="C196" s="1" t="s">
        <v>455</v>
      </c>
      <c r="D196" s="1" t="s">
        <v>28</v>
      </c>
      <c r="E196" s="1" t="s">
        <v>29</v>
      </c>
      <c r="F196" s="1">
        <v>56</v>
      </c>
      <c r="G196" s="1" t="s">
        <v>51</v>
      </c>
      <c r="H196" s="1" t="s">
        <v>52</v>
      </c>
      <c r="I196" s="1" t="s">
        <v>51</v>
      </c>
      <c r="J196" s="1" t="s">
        <v>62</v>
      </c>
      <c r="K196" s="1">
        <v>2</v>
      </c>
      <c r="L196" s="1">
        <v>44534</v>
      </c>
      <c r="M196" s="1">
        <v>15</v>
      </c>
      <c r="N196" s="1">
        <v>13360.2</v>
      </c>
      <c r="O196" s="1">
        <v>13627.4</v>
      </c>
      <c r="P196" s="1">
        <v>3</v>
      </c>
      <c r="Q196" s="1">
        <v>89338.2</v>
      </c>
      <c r="R196" s="1" t="s">
        <v>45</v>
      </c>
      <c r="S196" s="1" t="s">
        <v>34</v>
      </c>
      <c r="T196" s="1" t="s">
        <v>103</v>
      </c>
      <c r="U196" s="1" t="s">
        <v>103</v>
      </c>
      <c r="V196" s="1" t="s">
        <v>57</v>
      </c>
      <c r="W196" s="1">
        <v>5</v>
      </c>
      <c r="X196" s="1" t="s">
        <v>38</v>
      </c>
      <c r="Y196" s="1">
        <v>2</v>
      </c>
      <c r="Z196" s="1" t="s">
        <v>47</v>
      </c>
    </row>
    <row r="197" spans="1:26" x14ac:dyDescent="0.3">
      <c r="A197" s="1" t="s">
        <v>456</v>
      </c>
      <c r="B197" s="2">
        <v>46005</v>
      </c>
      <c r="C197" s="1" t="s">
        <v>457</v>
      </c>
      <c r="D197" s="1" t="s">
        <v>111</v>
      </c>
      <c r="E197" s="1" t="s">
        <v>29</v>
      </c>
      <c r="F197" s="1">
        <v>50</v>
      </c>
      <c r="G197" s="1" t="s">
        <v>139</v>
      </c>
      <c r="H197" s="1" t="s">
        <v>31</v>
      </c>
      <c r="I197" s="1" t="s">
        <v>139</v>
      </c>
      <c r="J197" s="1" t="s">
        <v>62</v>
      </c>
      <c r="K197" s="1">
        <v>3</v>
      </c>
      <c r="L197" s="1">
        <v>34485</v>
      </c>
      <c r="M197" s="1">
        <v>20</v>
      </c>
      <c r="N197" s="1">
        <v>20691</v>
      </c>
      <c r="O197" s="1">
        <v>14897.52</v>
      </c>
      <c r="P197" s="1">
        <v>283</v>
      </c>
      <c r="Q197" s="1">
        <v>97944.52</v>
      </c>
      <c r="R197" s="1" t="s">
        <v>45</v>
      </c>
      <c r="S197" s="1" t="s">
        <v>63</v>
      </c>
      <c r="T197" s="1" t="s">
        <v>76</v>
      </c>
      <c r="U197" s="1" t="s">
        <v>77</v>
      </c>
      <c r="V197" s="1" t="s">
        <v>57</v>
      </c>
      <c r="W197" s="1">
        <v>6</v>
      </c>
      <c r="X197" s="1" t="s">
        <v>38</v>
      </c>
      <c r="Y197" s="1">
        <v>5</v>
      </c>
      <c r="Z197" s="1" t="s">
        <v>58</v>
      </c>
    </row>
    <row r="198" spans="1:26" x14ac:dyDescent="0.3">
      <c r="A198" s="1" t="s">
        <v>458</v>
      </c>
      <c r="B198" s="2">
        <v>46099</v>
      </c>
      <c r="C198" s="1" t="s">
        <v>459</v>
      </c>
      <c r="D198" s="1" t="s">
        <v>28</v>
      </c>
      <c r="E198" s="1" t="s">
        <v>29</v>
      </c>
      <c r="F198" s="1">
        <v>29</v>
      </c>
      <c r="G198" s="1" t="s">
        <v>134</v>
      </c>
      <c r="H198" s="1" t="s">
        <v>31</v>
      </c>
      <c r="I198" s="1" t="s">
        <v>134</v>
      </c>
      <c r="J198" s="1" t="s">
        <v>112</v>
      </c>
      <c r="K198" s="1">
        <v>5</v>
      </c>
      <c r="L198" s="1">
        <v>2512</v>
      </c>
      <c r="M198" s="1">
        <v>5</v>
      </c>
      <c r="N198" s="1">
        <v>628</v>
      </c>
      <c r="O198" s="1">
        <v>2147.7600000000002</v>
      </c>
      <c r="P198" s="1">
        <v>234</v>
      </c>
      <c r="Q198" s="1">
        <v>14313.76</v>
      </c>
      <c r="R198" s="1" t="s">
        <v>54</v>
      </c>
      <c r="S198" s="1" t="s">
        <v>34</v>
      </c>
      <c r="T198" s="1" t="s">
        <v>35</v>
      </c>
      <c r="U198" s="1" t="s">
        <v>36</v>
      </c>
      <c r="V198" s="1" t="s">
        <v>37</v>
      </c>
      <c r="W198" s="1">
        <v>5</v>
      </c>
      <c r="X198" s="1" t="s">
        <v>38</v>
      </c>
      <c r="Y198" s="1">
        <v>2</v>
      </c>
      <c r="Z198" s="1" t="s">
        <v>39</v>
      </c>
    </row>
    <row r="199" spans="1:26" x14ac:dyDescent="0.3">
      <c r="A199" s="1" t="s">
        <v>460</v>
      </c>
      <c r="B199" s="2">
        <v>45809</v>
      </c>
      <c r="C199" s="1" t="s">
        <v>461</v>
      </c>
      <c r="D199" s="1" t="s">
        <v>73</v>
      </c>
      <c r="E199" s="1" t="s">
        <v>43</v>
      </c>
      <c r="F199" s="1">
        <v>33</v>
      </c>
      <c r="G199" s="1" t="s">
        <v>74</v>
      </c>
      <c r="H199" s="1" t="s">
        <v>31</v>
      </c>
      <c r="I199" s="1" t="s">
        <v>74</v>
      </c>
      <c r="J199" s="1" t="s">
        <v>102</v>
      </c>
      <c r="K199" s="1">
        <v>5</v>
      </c>
      <c r="L199" s="1">
        <v>17388</v>
      </c>
      <c r="M199" s="1">
        <v>0</v>
      </c>
      <c r="N199" s="1">
        <v>0</v>
      </c>
      <c r="O199" s="1">
        <v>15649.2</v>
      </c>
      <c r="P199" s="1">
        <v>308</v>
      </c>
      <c r="Q199" s="1">
        <v>102897.2</v>
      </c>
      <c r="R199" s="1" t="s">
        <v>54</v>
      </c>
      <c r="S199" s="1" t="s">
        <v>63</v>
      </c>
      <c r="T199" s="1" t="s">
        <v>84</v>
      </c>
      <c r="U199" s="1" t="s">
        <v>85</v>
      </c>
      <c r="V199" s="1" t="s">
        <v>86</v>
      </c>
      <c r="W199" s="1">
        <v>7</v>
      </c>
      <c r="X199" s="1" t="s">
        <v>47</v>
      </c>
      <c r="Y199" s="1">
        <v>5</v>
      </c>
      <c r="Z199" s="1" t="s">
        <v>39</v>
      </c>
    </row>
    <row r="200" spans="1:26" x14ac:dyDescent="0.3">
      <c r="A200" s="1" t="s">
        <v>462</v>
      </c>
      <c r="B200" s="2">
        <v>45948</v>
      </c>
      <c r="C200" s="1" t="s">
        <v>419</v>
      </c>
      <c r="D200" s="1" t="s">
        <v>50</v>
      </c>
      <c r="E200" s="1" t="s">
        <v>43</v>
      </c>
      <c r="F200" s="1">
        <v>57</v>
      </c>
      <c r="G200" s="1" t="s">
        <v>139</v>
      </c>
      <c r="H200" s="1" t="s">
        <v>31</v>
      </c>
      <c r="I200" s="1" t="s">
        <v>139</v>
      </c>
      <c r="J200" s="1" t="s">
        <v>53</v>
      </c>
      <c r="K200" s="1">
        <v>2</v>
      </c>
      <c r="L200" s="1">
        <v>2519</v>
      </c>
      <c r="M200" s="1">
        <v>0</v>
      </c>
      <c r="N200" s="1">
        <v>0</v>
      </c>
      <c r="O200" s="1">
        <v>906.84</v>
      </c>
      <c r="P200" s="1">
        <v>204</v>
      </c>
      <c r="Q200" s="1">
        <v>6148.84</v>
      </c>
      <c r="R200" s="1" t="s">
        <v>83</v>
      </c>
      <c r="S200" s="1" t="s">
        <v>34</v>
      </c>
      <c r="T200" s="1" t="s">
        <v>84</v>
      </c>
      <c r="U200" s="1" t="s">
        <v>85</v>
      </c>
      <c r="V200" s="1" t="s">
        <v>86</v>
      </c>
      <c r="W200" s="1">
        <v>8</v>
      </c>
      <c r="X200" s="1" t="s">
        <v>38</v>
      </c>
      <c r="Y200" s="1">
        <v>3</v>
      </c>
      <c r="Z200" s="1" t="s">
        <v>91</v>
      </c>
    </row>
    <row r="201" spans="1:26" x14ac:dyDescent="0.3">
      <c r="A201" s="1" t="s">
        <v>463</v>
      </c>
      <c r="B201" s="2">
        <v>45873</v>
      </c>
      <c r="C201" s="1" t="s">
        <v>464</v>
      </c>
      <c r="D201" s="1" t="s">
        <v>28</v>
      </c>
      <c r="E201" s="1" t="s">
        <v>43</v>
      </c>
      <c r="F201" s="1">
        <v>51</v>
      </c>
      <c r="G201" s="1" t="s">
        <v>30</v>
      </c>
      <c r="H201" s="1" t="s">
        <v>31</v>
      </c>
      <c r="I201" s="1" t="s">
        <v>30</v>
      </c>
      <c r="J201" s="1" t="s">
        <v>201</v>
      </c>
      <c r="K201" s="1">
        <v>3</v>
      </c>
      <c r="L201" s="1">
        <v>16183</v>
      </c>
      <c r="M201" s="1">
        <v>10</v>
      </c>
      <c r="N201" s="1">
        <v>4854.8999999999996</v>
      </c>
      <c r="O201" s="1">
        <v>7864.94</v>
      </c>
      <c r="P201" s="1">
        <v>2</v>
      </c>
      <c r="Q201" s="1">
        <v>51561.04</v>
      </c>
      <c r="R201" s="1" t="s">
        <v>33</v>
      </c>
      <c r="S201" s="1" t="s">
        <v>63</v>
      </c>
      <c r="T201" s="1" t="s">
        <v>35</v>
      </c>
      <c r="U201" s="1" t="s">
        <v>36</v>
      </c>
      <c r="V201" s="1" t="s">
        <v>37</v>
      </c>
      <c r="W201" s="1">
        <v>6</v>
      </c>
      <c r="X201" s="1" t="s">
        <v>47</v>
      </c>
      <c r="Y201" s="1">
        <v>2</v>
      </c>
      <c r="Z201" s="1" t="s">
        <v>47</v>
      </c>
    </row>
    <row r="202" spans="1:26" x14ac:dyDescent="0.3">
      <c r="A202" s="1" t="s">
        <v>465</v>
      </c>
      <c r="B202" s="2">
        <v>45862</v>
      </c>
      <c r="C202" s="1" t="s">
        <v>449</v>
      </c>
      <c r="D202" s="1" t="s">
        <v>42</v>
      </c>
      <c r="E202" s="1" t="s">
        <v>29</v>
      </c>
      <c r="F202" s="1">
        <v>18</v>
      </c>
      <c r="G202" s="1" t="s">
        <v>139</v>
      </c>
      <c r="H202" s="1" t="s">
        <v>31</v>
      </c>
      <c r="I202" s="1" t="s">
        <v>139</v>
      </c>
      <c r="J202" s="1" t="s">
        <v>53</v>
      </c>
      <c r="K202" s="1">
        <v>1</v>
      </c>
      <c r="L202" s="1">
        <v>10602</v>
      </c>
      <c r="M202" s="1">
        <v>5</v>
      </c>
      <c r="N202" s="1">
        <v>530.1</v>
      </c>
      <c r="O202" s="1">
        <v>1812.94</v>
      </c>
      <c r="P202" s="1">
        <v>367</v>
      </c>
      <c r="Q202" s="1">
        <v>12251.84</v>
      </c>
      <c r="R202" s="1" t="s">
        <v>33</v>
      </c>
      <c r="S202" s="1" t="s">
        <v>34</v>
      </c>
      <c r="T202" s="1" t="s">
        <v>95</v>
      </c>
      <c r="U202" s="1" t="s">
        <v>96</v>
      </c>
      <c r="V202" s="1" t="s">
        <v>57</v>
      </c>
      <c r="W202" s="1">
        <v>2</v>
      </c>
      <c r="X202" s="1" t="s">
        <v>38</v>
      </c>
      <c r="Y202" s="1">
        <v>1</v>
      </c>
      <c r="Z202" s="1" t="s">
        <v>58</v>
      </c>
    </row>
    <row r="203" spans="1:26" x14ac:dyDescent="0.3">
      <c r="A203" s="1" t="s">
        <v>466</v>
      </c>
      <c r="B203" s="2">
        <v>45911</v>
      </c>
      <c r="C203" s="1" t="s">
        <v>467</v>
      </c>
      <c r="D203" s="1" t="s">
        <v>66</v>
      </c>
      <c r="E203" s="1" t="s">
        <v>29</v>
      </c>
      <c r="F203" s="1">
        <v>21</v>
      </c>
      <c r="G203" s="1" t="s">
        <v>139</v>
      </c>
      <c r="H203" s="1" t="s">
        <v>31</v>
      </c>
      <c r="I203" s="1" t="s">
        <v>139</v>
      </c>
      <c r="J203" s="1" t="s">
        <v>125</v>
      </c>
      <c r="K203" s="1">
        <v>4</v>
      </c>
      <c r="L203" s="1">
        <v>7961</v>
      </c>
      <c r="M203" s="1">
        <v>10</v>
      </c>
      <c r="N203" s="1">
        <v>3184.4</v>
      </c>
      <c r="O203" s="1">
        <v>5158.7299999999996</v>
      </c>
      <c r="P203" s="1">
        <v>317</v>
      </c>
      <c r="Q203" s="1">
        <v>34135.33</v>
      </c>
      <c r="R203" s="1" t="s">
        <v>33</v>
      </c>
      <c r="S203" s="1" t="s">
        <v>34</v>
      </c>
      <c r="T203" s="1" t="s">
        <v>46</v>
      </c>
      <c r="U203" s="1" t="s">
        <v>36</v>
      </c>
      <c r="V203" s="1" t="s">
        <v>37</v>
      </c>
      <c r="W203" s="1">
        <v>4</v>
      </c>
      <c r="X203" s="1" t="s">
        <v>47</v>
      </c>
      <c r="Y203" s="1">
        <v>5</v>
      </c>
      <c r="Z203" s="1" t="s">
        <v>91</v>
      </c>
    </row>
    <row r="204" spans="1:26" x14ac:dyDescent="0.3">
      <c r="A204" s="1" t="s">
        <v>468</v>
      </c>
      <c r="B204" s="2">
        <v>46072</v>
      </c>
      <c r="C204" s="1" t="s">
        <v>469</v>
      </c>
      <c r="D204" s="1" t="s">
        <v>66</v>
      </c>
      <c r="E204" s="1" t="s">
        <v>29</v>
      </c>
      <c r="F204" s="1">
        <v>19</v>
      </c>
      <c r="G204" s="1" t="s">
        <v>51</v>
      </c>
      <c r="H204" s="1" t="s">
        <v>52</v>
      </c>
      <c r="I204" s="1" t="s">
        <v>51</v>
      </c>
      <c r="J204" s="1" t="s">
        <v>32</v>
      </c>
      <c r="K204" s="1">
        <v>1</v>
      </c>
      <c r="L204" s="1">
        <v>12794</v>
      </c>
      <c r="M204" s="1">
        <v>0</v>
      </c>
      <c r="N204" s="1">
        <v>0</v>
      </c>
      <c r="O204" s="1">
        <v>2302.92</v>
      </c>
      <c r="P204" s="1">
        <v>244</v>
      </c>
      <c r="Q204" s="1">
        <v>15340.92</v>
      </c>
      <c r="R204" s="1" t="s">
        <v>33</v>
      </c>
      <c r="S204" s="1" t="s">
        <v>63</v>
      </c>
      <c r="T204" s="1" t="s">
        <v>35</v>
      </c>
      <c r="U204" s="1" t="s">
        <v>36</v>
      </c>
      <c r="V204" s="1" t="s">
        <v>37</v>
      </c>
      <c r="W204" s="1">
        <v>6</v>
      </c>
      <c r="X204" s="1" t="s">
        <v>38</v>
      </c>
      <c r="Y204" s="1">
        <v>3</v>
      </c>
      <c r="Z204" s="1" t="s">
        <v>91</v>
      </c>
    </row>
    <row r="205" spans="1:26" x14ac:dyDescent="0.3">
      <c r="A205" s="1" t="s">
        <v>470</v>
      </c>
      <c r="B205" s="2">
        <v>45806</v>
      </c>
      <c r="C205" s="1" t="s">
        <v>471</v>
      </c>
      <c r="D205" s="1" t="s">
        <v>111</v>
      </c>
      <c r="E205" s="1" t="s">
        <v>29</v>
      </c>
      <c r="F205" s="1">
        <v>35</v>
      </c>
      <c r="G205" s="1" t="s">
        <v>90</v>
      </c>
      <c r="H205" s="1" t="s">
        <v>31</v>
      </c>
      <c r="I205" s="1" t="s">
        <v>90</v>
      </c>
      <c r="J205" s="1" t="s">
        <v>125</v>
      </c>
      <c r="K205" s="1">
        <v>4</v>
      </c>
      <c r="L205" s="1">
        <v>22668</v>
      </c>
      <c r="M205" s="1">
        <v>5</v>
      </c>
      <c r="N205" s="1">
        <v>4533.6000000000004</v>
      </c>
      <c r="O205" s="1">
        <v>15504.91</v>
      </c>
      <c r="P205" s="1">
        <v>15</v>
      </c>
      <c r="Q205" s="1">
        <v>101658.31</v>
      </c>
      <c r="R205" s="1" t="s">
        <v>83</v>
      </c>
      <c r="S205" s="1" t="s">
        <v>63</v>
      </c>
      <c r="T205" s="1" t="s">
        <v>103</v>
      </c>
      <c r="U205" s="1" t="s">
        <v>103</v>
      </c>
      <c r="V205" s="1" t="s">
        <v>57</v>
      </c>
      <c r="W205" s="1">
        <v>8</v>
      </c>
      <c r="X205" s="1" t="s">
        <v>38</v>
      </c>
      <c r="Y205" s="1">
        <v>5</v>
      </c>
      <c r="Z205" s="1" t="s">
        <v>47</v>
      </c>
    </row>
    <row r="206" spans="1:26" x14ac:dyDescent="0.3">
      <c r="A206" s="1" t="s">
        <v>472</v>
      </c>
      <c r="B206" s="2">
        <v>46031</v>
      </c>
      <c r="C206" s="1" t="s">
        <v>473</v>
      </c>
      <c r="D206" s="1" t="s">
        <v>61</v>
      </c>
      <c r="E206" s="1" t="s">
        <v>29</v>
      </c>
      <c r="F206" s="1">
        <v>41</v>
      </c>
      <c r="G206" s="1" t="s">
        <v>30</v>
      </c>
      <c r="H206" s="1" t="s">
        <v>31</v>
      </c>
      <c r="I206" s="1" t="s">
        <v>30</v>
      </c>
      <c r="J206" s="1" t="s">
        <v>112</v>
      </c>
      <c r="K206" s="1">
        <v>3</v>
      </c>
      <c r="L206" s="1">
        <v>5734</v>
      </c>
      <c r="M206" s="1">
        <v>20</v>
      </c>
      <c r="N206" s="1">
        <v>3440.4</v>
      </c>
      <c r="O206" s="1">
        <v>2477.09</v>
      </c>
      <c r="P206" s="1">
        <v>0</v>
      </c>
      <c r="Q206" s="1">
        <v>16238.69</v>
      </c>
      <c r="R206" s="1" t="s">
        <v>83</v>
      </c>
      <c r="S206" s="1" t="s">
        <v>63</v>
      </c>
      <c r="T206" s="1" t="s">
        <v>70</v>
      </c>
      <c r="U206" s="1" t="s">
        <v>56</v>
      </c>
      <c r="V206" s="1" t="s">
        <v>57</v>
      </c>
      <c r="W206" s="1">
        <v>5</v>
      </c>
      <c r="X206" s="1" t="s">
        <v>47</v>
      </c>
      <c r="Y206" s="1">
        <v>3</v>
      </c>
      <c r="Z206" s="1" t="s">
        <v>58</v>
      </c>
    </row>
    <row r="207" spans="1:26" x14ac:dyDescent="0.3">
      <c r="A207" s="1" t="s">
        <v>474</v>
      </c>
      <c r="B207" s="2">
        <v>45926</v>
      </c>
      <c r="C207" s="1" t="s">
        <v>475</v>
      </c>
      <c r="D207" s="1" t="s">
        <v>50</v>
      </c>
      <c r="E207" s="1" t="s">
        <v>29</v>
      </c>
      <c r="F207" s="1">
        <v>59</v>
      </c>
      <c r="G207" s="1" t="s">
        <v>139</v>
      </c>
      <c r="H207" s="1" t="s">
        <v>31</v>
      </c>
      <c r="I207" s="1" t="s">
        <v>139</v>
      </c>
      <c r="J207" s="1" t="s">
        <v>102</v>
      </c>
      <c r="K207" s="1">
        <v>4</v>
      </c>
      <c r="L207" s="1">
        <v>30869</v>
      </c>
      <c r="M207" s="1">
        <v>0</v>
      </c>
      <c r="N207" s="1">
        <v>0</v>
      </c>
      <c r="O207" s="1">
        <v>22225.68</v>
      </c>
      <c r="P207" s="1">
        <v>282</v>
      </c>
      <c r="Q207" s="1">
        <v>145983.67999999999</v>
      </c>
      <c r="R207" s="1" t="s">
        <v>83</v>
      </c>
      <c r="S207" s="1" t="s">
        <v>34</v>
      </c>
      <c r="T207" s="1" t="s">
        <v>84</v>
      </c>
      <c r="U207" s="1" t="s">
        <v>85</v>
      </c>
      <c r="V207" s="1" t="s">
        <v>86</v>
      </c>
      <c r="W207" s="1">
        <v>7</v>
      </c>
      <c r="X207" s="1" t="s">
        <v>38</v>
      </c>
      <c r="Y207" s="1">
        <v>4</v>
      </c>
      <c r="Z207" s="1" t="s">
        <v>91</v>
      </c>
    </row>
    <row r="208" spans="1:26" x14ac:dyDescent="0.3">
      <c r="A208" s="1" t="s">
        <v>476</v>
      </c>
      <c r="B208" s="2">
        <v>45797</v>
      </c>
      <c r="C208" s="1" t="s">
        <v>477</v>
      </c>
      <c r="D208" s="1" t="s">
        <v>66</v>
      </c>
      <c r="E208" s="1" t="s">
        <v>29</v>
      </c>
      <c r="F208" s="1">
        <v>49</v>
      </c>
      <c r="G208" s="1" t="s">
        <v>67</v>
      </c>
      <c r="H208" s="1" t="s">
        <v>68</v>
      </c>
      <c r="I208" s="1" t="s">
        <v>67</v>
      </c>
      <c r="J208" s="1" t="s">
        <v>32</v>
      </c>
      <c r="K208" s="1">
        <v>1</v>
      </c>
      <c r="L208" s="1">
        <v>7798</v>
      </c>
      <c r="M208" s="1">
        <v>10</v>
      </c>
      <c r="N208" s="1">
        <v>779.8</v>
      </c>
      <c r="O208" s="1">
        <v>1263.28</v>
      </c>
      <c r="P208" s="1">
        <v>371</v>
      </c>
      <c r="Q208" s="1">
        <v>8652.48</v>
      </c>
      <c r="R208" s="1" t="s">
        <v>83</v>
      </c>
      <c r="S208" s="1" t="s">
        <v>63</v>
      </c>
      <c r="T208" s="1" t="s">
        <v>70</v>
      </c>
      <c r="U208" s="1" t="s">
        <v>56</v>
      </c>
      <c r="V208" s="1" t="s">
        <v>57</v>
      </c>
      <c r="W208" s="1">
        <v>6</v>
      </c>
      <c r="X208" s="1" t="s">
        <v>38</v>
      </c>
      <c r="Y208" s="1">
        <v>3</v>
      </c>
      <c r="Z208" s="1" t="s">
        <v>58</v>
      </c>
    </row>
    <row r="209" spans="1:26" x14ac:dyDescent="0.3">
      <c r="A209" s="1" t="s">
        <v>478</v>
      </c>
      <c r="B209" s="2">
        <v>45912</v>
      </c>
      <c r="C209" s="1" t="s">
        <v>479</v>
      </c>
      <c r="D209" s="1" t="s">
        <v>80</v>
      </c>
      <c r="E209" s="1" t="s">
        <v>43</v>
      </c>
      <c r="F209" s="1">
        <v>49</v>
      </c>
      <c r="G209" s="1" t="s">
        <v>139</v>
      </c>
      <c r="H209" s="1" t="s">
        <v>31</v>
      </c>
      <c r="I209" s="1" t="s">
        <v>139</v>
      </c>
      <c r="J209" s="1" t="s">
        <v>102</v>
      </c>
      <c r="K209" s="1">
        <v>2</v>
      </c>
      <c r="L209" s="1">
        <v>41986</v>
      </c>
      <c r="M209" s="1">
        <v>5</v>
      </c>
      <c r="N209" s="1">
        <v>4198.6000000000004</v>
      </c>
      <c r="O209" s="1">
        <v>14359.21</v>
      </c>
      <c r="P209" s="1">
        <v>169</v>
      </c>
      <c r="Q209" s="1">
        <v>94301.61</v>
      </c>
      <c r="R209" s="1" t="s">
        <v>83</v>
      </c>
      <c r="S209" s="1" t="s">
        <v>63</v>
      </c>
      <c r="T209" s="1" t="s">
        <v>70</v>
      </c>
      <c r="U209" s="1" t="s">
        <v>56</v>
      </c>
      <c r="V209" s="1" t="s">
        <v>57</v>
      </c>
      <c r="W209" s="1">
        <v>6</v>
      </c>
      <c r="X209" s="1" t="s">
        <v>47</v>
      </c>
      <c r="Y209" s="1">
        <v>5</v>
      </c>
      <c r="Z209" s="1" t="s">
        <v>91</v>
      </c>
    </row>
    <row r="210" spans="1:26" x14ac:dyDescent="0.3">
      <c r="A210" s="1" t="s">
        <v>480</v>
      </c>
      <c r="B210" s="2">
        <v>46020</v>
      </c>
      <c r="C210" s="1" t="s">
        <v>481</v>
      </c>
      <c r="D210" s="1" t="s">
        <v>66</v>
      </c>
      <c r="E210" s="1" t="s">
        <v>29</v>
      </c>
      <c r="F210" s="1">
        <v>26</v>
      </c>
      <c r="G210" s="1" t="s">
        <v>134</v>
      </c>
      <c r="H210" s="1" t="s">
        <v>31</v>
      </c>
      <c r="I210" s="1" t="s">
        <v>134</v>
      </c>
      <c r="J210" s="1" t="s">
        <v>125</v>
      </c>
      <c r="K210" s="1">
        <v>1</v>
      </c>
      <c r="L210" s="1">
        <v>31155</v>
      </c>
      <c r="M210" s="1">
        <v>5</v>
      </c>
      <c r="N210" s="1">
        <v>1557.75</v>
      </c>
      <c r="O210" s="1">
        <v>5327.51</v>
      </c>
      <c r="P210" s="1">
        <v>11</v>
      </c>
      <c r="Q210" s="1">
        <v>34935.75</v>
      </c>
      <c r="R210" s="1" t="s">
        <v>54</v>
      </c>
      <c r="S210" s="1" t="s">
        <v>34</v>
      </c>
      <c r="T210" s="1" t="s">
        <v>95</v>
      </c>
      <c r="U210" s="1" t="s">
        <v>96</v>
      </c>
      <c r="V210" s="1" t="s">
        <v>57</v>
      </c>
      <c r="W210" s="1">
        <v>1</v>
      </c>
      <c r="X210" s="1" t="s">
        <v>47</v>
      </c>
      <c r="Y210" s="1">
        <v>5</v>
      </c>
      <c r="Z210" s="1" t="s">
        <v>39</v>
      </c>
    </row>
    <row r="211" spans="1:26" x14ac:dyDescent="0.3">
      <c r="A211" s="1" t="s">
        <v>482</v>
      </c>
      <c r="B211" s="2">
        <v>45836</v>
      </c>
      <c r="C211" s="1" t="s">
        <v>249</v>
      </c>
      <c r="D211" s="1" t="s">
        <v>66</v>
      </c>
      <c r="E211" s="1" t="s">
        <v>43</v>
      </c>
      <c r="F211" s="1">
        <v>53</v>
      </c>
      <c r="G211" s="1" t="s">
        <v>90</v>
      </c>
      <c r="H211" s="1" t="s">
        <v>31</v>
      </c>
      <c r="I211" s="1" t="s">
        <v>90</v>
      </c>
      <c r="J211" s="1" t="s">
        <v>150</v>
      </c>
      <c r="K211" s="1">
        <v>4</v>
      </c>
      <c r="L211" s="1">
        <v>41074</v>
      </c>
      <c r="M211" s="1">
        <v>20</v>
      </c>
      <c r="N211" s="1">
        <v>32859.199999999997</v>
      </c>
      <c r="O211" s="1">
        <v>23658.62</v>
      </c>
      <c r="P211" s="1">
        <v>115</v>
      </c>
      <c r="Q211" s="1">
        <v>155210.42000000001</v>
      </c>
      <c r="R211" s="1" t="s">
        <v>45</v>
      </c>
      <c r="S211" s="1" t="s">
        <v>34</v>
      </c>
      <c r="T211" s="1" t="s">
        <v>103</v>
      </c>
      <c r="U211" s="1" t="s">
        <v>103</v>
      </c>
      <c r="V211" s="1" t="s">
        <v>57</v>
      </c>
      <c r="W211" s="1">
        <v>1</v>
      </c>
      <c r="X211" s="1" t="s">
        <v>38</v>
      </c>
      <c r="Y211" s="1">
        <v>1</v>
      </c>
      <c r="Z211" s="1" t="s">
        <v>47</v>
      </c>
    </row>
    <row r="212" spans="1:26" x14ac:dyDescent="0.3">
      <c r="A212" s="1" t="s">
        <v>483</v>
      </c>
      <c r="B212" s="2">
        <v>46013</v>
      </c>
      <c r="C212" s="1" t="s">
        <v>484</v>
      </c>
      <c r="D212" s="1" t="s">
        <v>73</v>
      </c>
      <c r="E212" s="1" t="s">
        <v>29</v>
      </c>
      <c r="F212" s="1">
        <v>50</v>
      </c>
      <c r="G212" s="1" t="s">
        <v>90</v>
      </c>
      <c r="H212" s="1" t="s">
        <v>31</v>
      </c>
      <c r="I212" s="1" t="s">
        <v>90</v>
      </c>
      <c r="J212" s="1" t="s">
        <v>150</v>
      </c>
      <c r="K212" s="1">
        <v>1</v>
      </c>
      <c r="L212" s="1">
        <v>47164</v>
      </c>
      <c r="M212" s="1">
        <v>20</v>
      </c>
      <c r="N212" s="1">
        <v>9432.7999999999993</v>
      </c>
      <c r="O212" s="1">
        <v>6791.62</v>
      </c>
      <c r="P212" s="1">
        <v>27</v>
      </c>
      <c r="Q212" s="1">
        <v>44549.82</v>
      </c>
      <c r="R212" s="1" t="s">
        <v>33</v>
      </c>
      <c r="S212" s="1" t="s">
        <v>63</v>
      </c>
      <c r="T212" s="1" t="s">
        <v>35</v>
      </c>
      <c r="U212" s="1" t="s">
        <v>36</v>
      </c>
      <c r="V212" s="1" t="s">
        <v>37</v>
      </c>
      <c r="W212" s="1">
        <v>3</v>
      </c>
      <c r="X212" s="1" t="s">
        <v>47</v>
      </c>
      <c r="Y212" s="1">
        <v>3</v>
      </c>
      <c r="Z212" s="1" t="s">
        <v>91</v>
      </c>
    </row>
    <row r="213" spans="1:26" x14ac:dyDescent="0.3">
      <c r="A213" s="1" t="s">
        <v>485</v>
      </c>
      <c r="B213" s="2">
        <v>46001</v>
      </c>
      <c r="C213" s="1" t="s">
        <v>486</v>
      </c>
      <c r="D213" s="1" t="s">
        <v>73</v>
      </c>
      <c r="E213" s="1" t="s">
        <v>29</v>
      </c>
      <c r="F213" s="1">
        <v>35</v>
      </c>
      <c r="G213" s="1" t="s">
        <v>51</v>
      </c>
      <c r="H213" s="1" t="s">
        <v>52</v>
      </c>
      <c r="I213" s="1" t="s">
        <v>51</v>
      </c>
      <c r="J213" s="1" t="s">
        <v>75</v>
      </c>
      <c r="K213" s="1">
        <v>4</v>
      </c>
      <c r="L213" s="1">
        <v>12596</v>
      </c>
      <c r="M213" s="1">
        <v>15</v>
      </c>
      <c r="N213" s="1">
        <v>7557.6</v>
      </c>
      <c r="O213" s="1">
        <v>7708.75</v>
      </c>
      <c r="P213" s="1">
        <v>445</v>
      </c>
      <c r="Q213" s="1">
        <v>50980.15</v>
      </c>
      <c r="R213" s="1" t="s">
        <v>45</v>
      </c>
      <c r="S213" s="1" t="s">
        <v>34</v>
      </c>
      <c r="T213" s="1" t="s">
        <v>55</v>
      </c>
      <c r="U213" s="1" t="s">
        <v>56</v>
      </c>
      <c r="V213" s="1" t="s">
        <v>57</v>
      </c>
      <c r="W213" s="1">
        <v>8</v>
      </c>
      <c r="X213" s="1" t="s">
        <v>38</v>
      </c>
      <c r="Y213" s="1">
        <v>3</v>
      </c>
      <c r="Z213" s="1" t="s">
        <v>58</v>
      </c>
    </row>
    <row r="214" spans="1:26" x14ac:dyDescent="0.3">
      <c r="A214" s="1" t="s">
        <v>487</v>
      </c>
      <c r="B214" s="2">
        <v>46086</v>
      </c>
      <c r="C214" s="1" t="s">
        <v>488</v>
      </c>
      <c r="D214" s="1" t="s">
        <v>42</v>
      </c>
      <c r="E214" s="1" t="s">
        <v>43</v>
      </c>
      <c r="F214" s="1">
        <v>35</v>
      </c>
      <c r="G214" s="1" t="s">
        <v>134</v>
      </c>
      <c r="H214" s="1" t="s">
        <v>31</v>
      </c>
      <c r="I214" s="1" t="s">
        <v>134</v>
      </c>
      <c r="J214" s="1" t="s">
        <v>62</v>
      </c>
      <c r="K214" s="1">
        <v>3</v>
      </c>
      <c r="L214" s="1">
        <v>17489</v>
      </c>
      <c r="M214" s="1">
        <v>20</v>
      </c>
      <c r="N214" s="1">
        <v>10493.4</v>
      </c>
      <c r="O214" s="1">
        <v>7555.25</v>
      </c>
      <c r="P214" s="1">
        <v>241</v>
      </c>
      <c r="Q214" s="1">
        <v>49769.85</v>
      </c>
      <c r="R214" s="1" t="s">
        <v>83</v>
      </c>
      <c r="S214" s="1" t="s">
        <v>34</v>
      </c>
      <c r="T214" s="1" t="s">
        <v>84</v>
      </c>
      <c r="U214" s="1" t="s">
        <v>85</v>
      </c>
      <c r="V214" s="1" t="s">
        <v>86</v>
      </c>
      <c r="W214" s="1">
        <v>8</v>
      </c>
      <c r="X214" s="1" t="s">
        <v>47</v>
      </c>
      <c r="Y214" s="1">
        <v>4</v>
      </c>
      <c r="Z214" s="1" t="s">
        <v>91</v>
      </c>
    </row>
    <row r="215" spans="1:26" x14ac:dyDescent="0.3">
      <c r="A215" s="1" t="s">
        <v>489</v>
      </c>
      <c r="B215" s="2">
        <v>46056</v>
      </c>
      <c r="C215" s="1" t="s">
        <v>423</v>
      </c>
      <c r="D215" s="1" t="s">
        <v>50</v>
      </c>
      <c r="E215" s="1" t="s">
        <v>43</v>
      </c>
      <c r="F215" s="1">
        <v>54</v>
      </c>
      <c r="G215" s="1" t="s">
        <v>44</v>
      </c>
      <c r="H215" s="1" t="s">
        <v>31</v>
      </c>
      <c r="I215" s="1" t="s">
        <v>44</v>
      </c>
      <c r="J215" s="1" t="s">
        <v>125</v>
      </c>
      <c r="K215" s="1">
        <v>2</v>
      </c>
      <c r="L215" s="1">
        <v>8534</v>
      </c>
      <c r="M215" s="1">
        <v>0</v>
      </c>
      <c r="N215" s="1">
        <v>0</v>
      </c>
      <c r="O215" s="1">
        <v>3072.24</v>
      </c>
      <c r="P215" s="1">
        <v>230</v>
      </c>
      <c r="Q215" s="1">
        <v>20370.240000000002</v>
      </c>
      <c r="R215" s="1" t="s">
        <v>33</v>
      </c>
      <c r="S215" s="1" t="s">
        <v>63</v>
      </c>
      <c r="T215" s="1" t="s">
        <v>35</v>
      </c>
      <c r="U215" s="1" t="s">
        <v>36</v>
      </c>
      <c r="V215" s="1" t="s">
        <v>37</v>
      </c>
      <c r="W215" s="1">
        <v>6</v>
      </c>
      <c r="X215" s="1" t="s">
        <v>38</v>
      </c>
      <c r="Y215" s="1">
        <v>3</v>
      </c>
      <c r="Z215" s="1" t="s">
        <v>58</v>
      </c>
    </row>
    <row r="216" spans="1:26" x14ac:dyDescent="0.3">
      <c r="A216" s="1" t="s">
        <v>490</v>
      </c>
      <c r="B216" s="2">
        <v>46006</v>
      </c>
      <c r="C216" s="1" t="s">
        <v>491</v>
      </c>
      <c r="D216" s="1" t="s">
        <v>108</v>
      </c>
      <c r="E216" s="1" t="s">
        <v>29</v>
      </c>
      <c r="F216" s="1">
        <v>48</v>
      </c>
      <c r="G216" s="1" t="s">
        <v>99</v>
      </c>
      <c r="H216" s="1" t="s">
        <v>52</v>
      </c>
      <c r="I216" s="1" t="s">
        <v>99</v>
      </c>
      <c r="J216" s="1" t="s">
        <v>125</v>
      </c>
      <c r="K216" s="1">
        <v>4</v>
      </c>
      <c r="L216" s="1">
        <v>22679</v>
      </c>
      <c r="M216" s="1">
        <v>0</v>
      </c>
      <c r="N216" s="1">
        <v>0</v>
      </c>
      <c r="O216" s="1">
        <v>16328.88</v>
      </c>
      <c r="P216" s="1">
        <v>412</v>
      </c>
      <c r="Q216" s="1">
        <v>107456.88</v>
      </c>
      <c r="R216" s="1" t="s">
        <v>54</v>
      </c>
      <c r="S216" s="1" t="s">
        <v>63</v>
      </c>
      <c r="T216" s="1" t="s">
        <v>76</v>
      </c>
      <c r="U216" s="1" t="s">
        <v>77</v>
      </c>
      <c r="V216" s="1" t="s">
        <v>57</v>
      </c>
      <c r="W216" s="1">
        <v>4</v>
      </c>
      <c r="X216" s="1" t="s">
        <v>38</v>
      </c>
      <c r="Y216" s="1">
        <v>5</v>
      </c>
      <c r="Z216" s="1" t="s">
        <v>47</v>
      </c>
    </row>
    <row r="217" spans="1:26" x14ac:dyDescent="0.3">
      <c r="A217" s="1" t="s">
        <v>492</v>
      </c>
      <c r="B217" s="2">
        <v>45834</v>
      </c>
      <c r="C217" s="1" t="s">
        <v>493</v>
      </c>
      <c r="D217" s="1" t="s">
        <v>89</v>
      </c>
      <c r="E217" s="1" t="s">
        <v>43</v>
      </c>
      <c r="F217" s="1">
        <v>29</v>
      </c>
      <c r="G217" s="1" t="s">
        <v>94</v>
      </c>
      <c r="H217" s="1" t="s">
        <v>31</v>
      </c>
      <c r="I217" s="1" t="s">
        <v>94</v>
      </c>
      <c r="J217" s="1" t="s">
        <v>69</v>
      </c>
      <c r="K217" s="1">
        <v>3</v>
      </c>
      <c r="L217" s="1">
        <v>10780</v>
      </c>
      <c r="M217" s="1">
        <v>15</v>
      </c>
      <c r="N217" s="1">
        <v>4851</v>
      </c>
      <c r="O217" s="1">
        <v>4948.0200000000004</v>
      </c>
      <c r="P217" s="1">
        <v>12</v>
      </c>
      <c r="Q217" s="1">
        <v>32449.02</v>
      </c>
      <c r="R217" s="1" t="s">
        <v>83</v>
      </c>
      <c r="S217" s="1" t="s">
        <v>63</v>
      </c>
      <c r="T217" s="1" t="s">
        <v>84</v>
      </c>
      <c r="U217" s="1" t="s">
        <v>85</v>
      </c>
      <c r="V217" s="1" t="s">
        <v>86</v>
      </c>
      <c r="W217" s="1">
        <v>6</v>
      </c>
      <c r="X217" s="1" t="s">
        <v>38</v>
      </c>
      <c r="Y217" s="1">
        <v>2</v>
      </c>
      <c r="Z217" s="1" t="s">
        <v>39</v>
      </c>
    </row>
    <row r="218" spans="1:26" x14ac:dyDescent="0.3">
      <c r="A218" s="1" t="s">
        <v>494</v>
      </c>
      <c r="B218" s="2">
        <v>45780</v>
      </c>
      <c r="C218" s="1" t="s">
        <v>495</v>
      </c>
      <c r="D218" s="1" t="s">
        <v>50</v>
      </c>
      <c r="E218" s="1" t="s">
        <v>29</v>
      </c>
      <c r="F218" s="1">
        <v>22</v>
      </c>
      <c r="G218" s="1" t="s">
        <v>99</v>
      </c>
      <c r="H218" s="1" t="s">
        <v>52</v>
      </c>
      <c r="I218" s="1" t="s">
        <v>99</v>
      </c>
      <c r="J218" s="1" t="s">
        <v>201</v>
      </c>
      <c r="K218" s="1">
        <v>1</v>
      </c>
      <c r="L218" s="1">
        <v>41995</v>
      </c>
      <c r="M218" s="1">
        <v>15</v>
      </c>
      <c r="N218" s="1">
        <v>6299.25</v>
      </c>
      <c r="O218" s="1">
        <v>6425.23</v>
      </c>
      <c r="P218" s="1">
        <v>363</v>
      </c>
      <c r="Q218" s="1">
        <v>42483.99</v>
      </c>
      <c r="R218" s="1" t="s">
        <v>33</v>
      </c>
      <c r="S218" s="1" t="s">
        <v>34</v>
      </c>
      <c r="T218" s="1" t="s">
        <v>35</v>
      </c>
      <c r="U218" s="1" t="s">
        <v>36</v>
      </c>
      <c r="V218" s="1" t="s">
        <v>37</v>
      </c>
      <c r="W218" s="1">
        <v>10</v>
      </c>
      <c r="X218" s="1" t="s">
        <v>38</v>
      </c>
      <c r="Y218" s="1">
        <v>3</v>
      </c>
      <c r="Z218" s="1" t="s">
        <v>91</v>
      </c>
    </row>
    <row r="219" spans="1:26" x14ac:dyDescent="0.3">
      <c r="A219" s="1" t="s">
        <v>496</v>
      </c>
      <c r="B219" s="2">
        <v>45800</v>
      </c>
      <c r="C219" s="1" t="s">
        <v>497</v>
      </c>
      <c r="D219" s="1" t="s">
        <v>66</v>
      </c>
      <c r="E219" s="1" t="s">
        <v>29</v>
      </c>
      <c r="F219" s="1">
        <v>51</v>
      </c>
      <c r="G219" s="1" t="s">
        <v>44</v>
      </c>
      <c r="H219" s="1" t="s">
        <v>31</v>
      </c>
      <c r="I219" s="1" t="s">
        <v>44</v>
      </c>
      <c r="J219" s="1" t="s">
        <v>102</v>
      </c>
      <c r="K219" s="1">
        <v>1</v>
      </c>
      <c r="L219" s="1">
        <v>2778</v>
      </c>
      <c r="M219" s="1">
        <v>15</v>
      </c>
      <c r="N219" s="1">
        <v>416.7</v>
      </c>
      <c r="O219" s="1">
        <v>425.03</v>
      </c>
      <c r="P219" s="1">
        <v>387</v>
      </c>
      <c r="Q219" s="1">
        <v>3173.33</v>
      </c>
      <c r="R219" s="1" t="s">
        <v>83</v>
      </c>
      <c r="S219" s="1" t="s">
        <v>63</v>
      </c>
      <c r="T219" s="1" t="s">
        <v>84</v>
      </c>
      <c r="U219" s="1" t="s">
        <v>85</v>
      </c>
      <c r="V219" s="1" t="s">
        <v>86</v>
      </c>
      <c r="W219" s="1">
        <v>9</v>
      </c>
      <c r="X219" s="1" t="s">
        <v>38</v>
      </c>
      <c r="Y219" s="1">
        <v>5</v>
      </c>
      <c r="Z219" s="1" t="s">
        <v>39</v>
      </c>
    </row>
    <row r="220" spans="1:26" x14ac:dyDescent="0.3">
      <c r="A220" s="1" t="s">
        <v>498</v>
      </c>
      <c r="B220" s="2">
        <v>45836</v>
      </c>
      <c r="C220" s="1" t="s">
        <v>499</v>
      </c>
      <c r="D220" s="1" t="s">
        <v>80</v>
      </c>
      <c r="E220" s="1" t="s">
        <v>43</v>
      </c>
      <c r="F220" s="1">
        <v>27</v>
      </c>
      <c r="G220" s="1" t="s">
        <v>67</v>
      </c>
      <c r="H220" s="1" t="s">
        <v>68</v>
      </c>
      <c r="I220" s="1" t="s">
        <v>67</v>
      </c>
      <c r="J220" s="1" t="s">
        <v>69</v>
      </c>
      <c r="K220" s="1">
        <v>3</v>
      </c>
      <c r="L220" s="1">
        <v>35468</v>
      </c>
      <c r="M220" s="1">
        <v>5</v>
      </c>
      <c r="N220" s="1">
        <v>5320.2</v>
      </c>
      <c r="O220" s="1">
        <v>18195.080000000002</v>
      </c>
      <c r="P220" s="1">
        <v>238</v>
      </c>
      <c r="Q220" s="1">
        <v>119516.88</v>
      </c>
      <c r="R220" s="1" t="s">
        <v>54</v>
      </c>
      <c r="S220" s="1" t="s">
        <v>63</v>
      </c>
      <c r="T220" s="1" t="s">
        <v>95</v>
      </c>
      <c r="U220" s="1" t="s">
        <v>96</v>
      </c>
      <c r="V220" s="1" t="s">
        <v>57</v>
      </c>
      <c r="W220" s="1">
        <v>4</v>
      </c>
      <c r="X220" s="1" t="s">
        <v>47</v>
      </c>
      <c r="Y220" s="1">
        <v>1</v>
      </c>
      <c r="Z220" s="1" t="s">
        <v>91</v>
      </c>
    </row>
    <row r="221" spans="1:26" x14ac:dyDescent="0.3">
      <c r="A221" s="1" t="s">
        <v>500</v>
      </c>
      <c r="B221" s="2">
        <v>45990</v>
      </c>
      <c r="C221" s="1" t="s">
        <v>501</v>
      </c>
      <c r="D221" s="1" t="s">
        <v>89</v>
      </c>
      <c r="E221" s="1" t="s">
        <v>29</v>
      </c>
      <c r="F221" s="1">
        <v>50</v>
      </c>
      <c r="G221" s="1" t="s">
        <v>90</v>
      </c>
      <c r="H221" s="1" t="s">
        <v>31</v>
      </c>
      <c r="I221" s="1" t="s">
        <v>90</v>
      </c>
      <c r="J221" s="1" t="s">
        <v>69</v>
      </c>
      <c r="K221" s="1">
        <v>2</v>
      </c>
      <c r="L221" s="1">
        <v>32959</v>
      </c>
      <c r="M221" s="1">
        <v>20</v>
      </c>
      <c r="N221" s="1">
        <v>13183.6</v>
      </c>
      <c r="O221" s="1">
        <v>9492.19</v>
      </c>
      <c r="P221" s="1">
        <v>266</v>
      </c>
      <c r="Q221" s="1">
        <v>62492.59</v>
      </c>
      <c r="R221" s="1" t="s">
        <v>54</v>
      </c>
      <c r="S221" s="1" t="s">
        <v>63</v>
      </c>
      <c r="T221" s="1" t="s">
        <v>103</v>
      </c>
      <c r="U221" s="1" t="s">
        <v>103</v>
      </c>
      <c r="V221" s="1" t="s">
        <v>57</v>
      </c>
      <c r="W221" s="1">
        <v>8</v>
      </c>
      <c r="X221" s="1" t="s">
        <v>47</v>
      </c>
      <c r="Y221" s="1">
        <v>5</v>
      </c>
      <c r="Z221" s="1" t="s">
        <v>58</v>
      </c>
    </row>
    <row r="222" spans="1:26" x14ac:dyDescent="0.3">
      <c r="A222" s="1" t="s">
        <v>502</v>
      </c>
      <c r="B222" s="2">
        <v>45983</v>
      </c>
      <c r="C222" s="1" t="s">
        <v>503</v>
      </c>
      <c r="D222" s="1" t="s">
        <v>73</v>
      </c>
      <c r="E222" s="1" t="s">
        <v>29</v>
      </c>
      <c r="F222" s="1">
        <v>53</v>
      </c>
      <c r="G222" s="1" t="s">
        <v>94</v>
      </c>
      <c r="H222" s="1" t="s">
        <v>31</v>
      </c>
      <c r="I222" s="1" t="s">
        <v>94</v>
      </c>
      <c r="J222" s="1" t="s">
        <v>69</v>
      </c>
      <c r="K222" s="1">
        <v>4</v>
      </c>
      <c r="L222" s="1">
        <v>31028</v>
      </c>
      <c r="M222" s="1">
        <v>15</v>
      </c>
      <c r="N222" s="1">
        <v>18616.8</v>
      </c>
      <c r="O222" s="1">
        <v>18989.14</v>
      </c>
      <c r="P222" s="1">
        <v>443</v>
      </c>
      <c r="Q222" s="1">
        <v>124927.34</v>
      </c>
      <c r="R222" s="1" t="s">
        <v>83</v>
      </c>
      <c r="S222" s="1" t="s">
        <v>63</v>
      </c>
      <c r="T222" s="1" t="s">
        <v>46</v>
      </c>
      <c r="U222" s="1" t="s">
        <v>36</v>
      </c>
      <c r="V222" s="1" t="s">
        <v>37</v>
      </c>
      <c r="W222" s="1">
        <v>1</v>
      </c>
      <c r="X222" s="1" t="s">
        <v>47</v>
      </c>
      <c r="Y222" s="1">
        <v>3</v>
      </c>
      <c r="Z222" s="1" t="s">
        <v>91</v>
      </c>
    </row>
    <row r="223" spans="1:26" x14ac:dyDescent="0.3">
      <c r="A223" s="1" t="s">
        <v>504</v>
      </c>
      <c r="B223" s="2">
        <v>45973</v>
      </c>
      <c r="C223" s="1" t="s">
        <v>505</v>
      </c>
      <c r="D223" s="1" t="s">
        <v>42</v>
      </c>
      <c r="E223" s="1" t="s">
        <v>43</v>
      </c>
      <c r="F223" s="1">
        <v>54</v>
      </c>
      <c r="G223" s="1" t="s">
        <v>134</v>
      </c>
      <c r="H223" s="1" t="s">
        <v>31</v>
      </c>
      <c r="I223" s="1" t="s">
        <v>134</v>
      </c>
      <c r="J223" s="1" t="s">
        <v>62</v>
      </c>
      <c r="K223" s="1">
        <v>4</v>
      </c>
      <c r="L223" s="1">
        <v>19158</v>
      </c>
      <c r="M223" s="1">
        <v>15</v>
      </c>
      <c r="N223" s="1">
        <v>11494.8</v>
      </c>
      <c r="O223" s="1">
        <v>11724.7</v>
      </c>
      <c r="P223" s="1">
        <v>319</v>
      </c>
      <c r="Q223" s="1">
        <v>77180.899999999994</v>
      </c>
      <c r="R223" s="1" t="s">
        <v>54</v>
      </c>
      <c r="S223" s="1" t="s">
        <v>34</v>
      </c>
      <c r="T223" s="1" t="s">
        <v>84</v>
      </c>
      <c r="U223" s="1" t="s">
        <v>85</v>
      </c>
      <c r="V223" s="1" t="s">
        <v>86</v>
      </c>
      <c r="W223" s="1">
        <v>4</v>
      </c>
      <c r="X223" s="1" t="s">
        <v>47</v>
      </c>
      <c r="Y223" s="1">
        <v>2</v>
      </c>
      <c r="Z223" s="1" t="s">
        <v>91</v>
      </c>
    </row>
    <row r="224" spans="1:26" x14ac:dyDescent="0.3">
      <c r="A224" s="1" t="s">
        <v>506</v>
      </c>
      <c r="B224" s="2">
        <v>45791</v>
      </c>
      <c r="C224" s="1" t="s">
        <v>507</v>
      </c>
      <c r="D224" s="1" t="s">
        <v>108</v>
      </c>
      <c r="E224" s="1" t="s">
        <v>43</v>
      </c>
      <c r="F224" s="1">
        <v>57</v>
      </c>
      <c r="G224" s="1" t="s">
        <v>94</v>
      </c>
      <c r="H224" s="1" t="s">
        <v>31</v>
      </c>
      <c r="I224" s="1" t="s">
        <v>94</v>
      </c>
      <c r="J224" s="1" t="s">
        <v>32</v>
      </c>
      <c r="K224" s="1">
        <v>1</v>
      </c>
      <c r="L224" s="1">
        <v>25847</v>
      </c>
      <c r="M224" s="1">
        <v>10</v>
      </c>
      <c r="N224" s="1">
        <v>2584.6999999999998</v>
      </c>
      <c r="O224" s="1">
        <v>4187.21</v>
      </c>
      <c r="P224" s="1">
        <v>496</v>
      </c>
      <c r="Q224" s="1">
        <v>27945.51</v>
      </c>
      <c r="R224" s="1" t="s">
        <v>54</v>
      </c>
      <c r="S224" s="1" t="s">
        <v>34</v>
      </c>
      <c r="T224" s="1" t="s">
        <v>84</v>
      </c>
      <c r="U224" s="1" t="s">
        <v>85</v>
      </c>
      <c r="V224" s="1" t="s">
        <v>86</v>
      </c>
      <c r="W224" s="1">
        <v>9</v>
      </c>
      <c r="X224" s="1" t="s">
        <v>47</v>
      </c>
      <c r="Y224" s="1">
        <v>1</v>
      </c>
      <c r="Z224" s="1" t="s">
        <v>58</v>
      </c>
    </row>
    <row r="225" spans="1:26" x14ac:dyDescent="0.3">
      <c r="A225" s="1" t="s">
        <v>508</v>
      </c>
      <c r="B225" s="2">
        <v>46003</v>
      </c>
      <c r="C225" s="1" t="s">
        <v>509</v>
      </c>
      <c r="D225" s="1" t="s">
        <v>80</v>
      </c>
      <c r="E225" s="1" t="s">
        <v>43</v>
      </c>
      <c r="F225" s="1">
        <v>44</v>
      </c>
      <c r="G225" s="1" t="s">
        <v>67</v>
      </c>
      <c r="H225" s="1" t="s">
        <v>68</v>
      </c>
      <c r="I225" s="1" t="s">
        <v>67</v>
      </c>
      <c r="J225" s="1" t="s">
        <v>201</v>
      </c>
      <c r="K225" s="1">
        <v>2</v>
      </c>
      <c r="L225" s="1">
        <v>27899</v>
      </c>
      <c r="M225" s="1">
        <v>5</v>
      </c>
      <c r="N225" s="1">
        <v>2789.9</v>
      </c>
      <c r="O225" s="1">
        <v>9541.4599999999991</v>
      </c>
      <c r="P225" s="1">
        <v>245</v>
      </c>
      <c r="Q225" s="1">
        <v>62794.559999999998</v>
      </c>
      <c r="R225" s="1" t="s">
        <v>54</v>
      </c>
      <c r="S225" s="1" t="s">
        <v>34</v>
      </c>
      <c r="T225" s="1" t="s">
        <v>55</v>
      </c>
      <c r="U225" s="1" t="s">
        <v>56</v>
      </c>
      <c r="V225" s="1" t="s">
        <v>57</v>
      </c>
      <c r="W225" s="1">
        <v>6</v>
      </c>
      <c r="X225" s="1" t="s">
        <v>47</v>
      </c>
      <c r="Y225" s="1">
        <v>2</v>
      </c>
      <c r="Z225" s="1" t="s">
        <v>39</v>
      </c>
    </row>
    <row r="226" spans="1:26" x14ac:dyDescent="0.3">
      <c r="A226" s="1" t="s">
        <v>510</v>
      </c>
      <c r="B226" s="2">
        <v>45975</v>
      </c>
      <c r="C226" s="1" t="s">
        <v>511</v>
      </c>
      <c r="D226" s="1" t="s">
        <v>61</v>
      </c>
      <c r="E226" s="1" t="s">
        <v>43</v>
      </c>
      <c r="F226" s="1">
        <v>32</v>
      </c>
      <c r="G226" s="1" t="s">
        <v>30</v>
      </c>
      <c r="H226" s="1" t="s">
        <v>31</v>
      </c>
      <c r="I226" s="1" t="s">
        <v>30</v>
      </c>
      <c r="J226" s="1" t="s">
        <v>150</v>
      </c>
      <c r="K226" s="1">
        <v>5</v>
      </c>
      <c r="L226" s="1">
        <v>4763</v>
      </c>
      <c r="M226" s="1">
        <v>20</v>
      </c>
      <c r="N226" s="1">
        <v>4763</v>
      </c>
      <c r="O226" s="1">
        <v>3429.36</v>
      </c>
      <c r="P226" s="1">
        <v>197</v>
      </c>
      <c r="Q226" s="1">
        <v>22678.36</v>
      </c>
      <c r="R226" s="1" t="s">
        <v>83</v>
      </c>
      <c r="S226" s="1" t="s">
        <v>34</v>
      </c>
      <c r="T226" s="1" t="s">
        <v>76</v>
      </c>
      <c r="U226" s="1" t="s">
        <v>77</v>
      </c>
      <c r="V226" s="1" t="s">
        <v>57</v>
      </c>
      <c r="W226" s="1">
        <v>6</v>
      </c>
      <c r="X226" s="1" t="s">
        <v>47</v>
      </c>
      <c r="Y226" s="1">
        <v>1</v>
      </c>
      <c r="Z226" s="1" t="s">
        <v>58</v>
      </c>
    </row>
    <row r="227" spans="1:26" x14ac:dyDescent="0.3">
      <c r="A227" s="1" t="s">
        <v>512</v>
      </c>
      <c r="B227" s="2">
        <v>45945</v>
      </c>
      <c r="C227" s="1" t="s">
        <v>513</v>
      </c>
      <c r="D227" s="1" t="s">
        <v>61</v>
      </c>
      <c r="E227" s="1" t="s">
        <v>43</v>
      </c>
      <c r="F227" s="1">
        <v>18</v>
      </c>
      <c r="G227" s="1" t="s">
        <v>30</v>
      </c>
      <c r="H227" s="1" t="s">
        <v>31</v>
      </c>
      <c r="I227" s="1" t="s">
        <v>30</v>
      </c>
      <c r="J227" s="1" t="s">
        <v>125</v>
      </c>
      <c r="K227" s="1">
        <v>2</v>
      </c>
      <c r="L227" s="1">
        <v>26643</v>
      </c>
      <c r="M227" s="1">
        <v>0</v>
      </c>
      <c r="N227" s="1">
        <v>0</v>
      </c>
      <c r="O227" s="1">
        <v>9591.48</v>
      </c>
      <c r="P227" s="1">
        <v>210</v>
      </c>
      <c r="Q227" s="1">
        <v>63087.48</v>
      </c>
      <c r="R227" s="1" t="s">
        <v>45</v>
      </c>
      <c r="S227" s="1" t="s">
        <v>34</v>
      </c>
      <c r="T227" s="1" t="s">
        <v>35</v>
      </c>
      <c r="U227" s="1" t="s">
        <v>36</v>
      </c>
      <c r="V227" s="1" t="s">
        <v>37</v>
      </c>
      <c r="W227" s="1">
        <v>3</v>
      </c>
      <c r="X227" s="1" t="s">
        <v>38</v>
      </c>
      <c r="Y227" s="1">
        <v>2</v>
      </c>
      <c r="Z227" s="1" t="s">
        <v>91</v>
      </c>
    </row>
    <row r="228" spans="1:26" x14ac:dyDescent="0.3">
      <c r="A228" s="1" t="s">
        <v>514</v>
      </c>
      <c r="B228" s="2">
        <v>45907</v>
      </c>
      <c r="C228" s="1" t="s">
        <v>515</v>
      </c>
      <c r="D228" s="1" t="s">
        <v>108</v>
      </c>
      <c r="E228" s="1" t="s">
        <v>43</v>
      </c>
      <c r="F228" s="1">
        <v>41</v>
      </c>
      <c r="G228" s="1" t="s">
        <v>94</v>
      </c>
      <c r="H228" s="1" t="s">
        <v>31</v>
      </c>
      <c r="I228" s="1" t="s">
        <v>94</v>
      </c>
      <c r="J228" s="1" t="s">
        <v>62</v>
      </c>
      <c r="K228" s="1">
        <v>2</v>
      </c>
      <c r="L228" s="1">
        <v>15860</v>
      </c>
      <c r="M228" s="1">
        <v>20</v>
      </c>
      <c r="N228" s="1">
        <v>6344</v>
      </c>
      <c r="O228" s="1">
        <v>4567.68</v>
      </c>
      <c r="P228" s="1">
        <v>237</v>
      </c>
      <c r="Q228" s="1">
        <v>30180.68</v>
      </c>
      <c r="R228" s="1" t="s">
        <v>33</v>
      </c>
      <c r="S228" s="1" t="s">
        <v>63</v>
      </c>
      <c r="T228" s="1" t="s">
        <v>46</v>
      </c>
      <c r="U228" s="1" t="s">
        <v>36</v>
      </c>
      <c r="V228" s="1" t="s">
        <v>37</v>
      </c>
      <c r="W228" s="1">
        <v>9</v>
      </c>
      <c r="X228" s="1" t="s">
        <v>47</v>
      </c>
      <c r="Y228" s="1">
        <v>4</v>
      </c>
      <c r="Z228" s="1" t="s">
        <v>39</v>
      </c>
    </row>
    <row r="229" spans="1:26" x14ac:dyDescent="0.3">
      <c r="A229" s="1" t="s">
        <v>516</v>
      </c>
      <c r="B229" s="2">
        <v>46058</v>
      </c>
      <c r="C229" s="1" t="s">
        <v>517</v>
      </c>
      <c r="D229" s="1" t="s">
        <v>28</v>
      </c>
      <c r="E229" s="1" t="s">
        <v>43</v>
      </c>
      <c r="F229" s="1">
        <v>56</v>
      </c>
      <c r="G229" s="1" t="s">
        <v>90</v>
      </c>
      <c r="H229" s="1" t="s">
        <v>31</v>
      </c>
      <c r="I229" s="1" t="s">
        <v>90</v>
      </c>
      <c r="J229" s="1" t="s">
        <v>112</v>
      </c>
      <c r="K229" s="1">
        <v>5</v>
      </c>
      <c r="L229" s="1">
        <v>7974</v>
      </c>
      <c r="M229" s="1">
        <v>5</v>
      </c>
      <c r="N229" s="1">
        <v>1993.5</v>
      </c>
      <c r="O229" s="1">
        <v>6817.77</v>
      </c>
      <c r="P229" s="1">
        <v>291</v>
      </c>
      <c r="Q229" s="1">
        <v>44985.27</v>
      </c>
      <c r="R229" s="1" t="s">
        <v>83</v>
      </c>
      <c r="S229" s="1" t="s">
        <v>63</v>
      </c>
      <c r="T229" s="1" t="s">
        <v>46</v>
      </c>
      <c r="U229" s="1" t="s">
        <v>36</v>
      </c>
      <c r="V229" s="1" t="s">
        <v>37</v>
      </c>
      <c r="W229" s="1">
        <v>4</v>
      </c>
      <c r="X229" s="1" t="s">
        <v>38</v>
      </c>
      <c r="Y229" s="1">
        <v>2</v>
      </c>
      <c r="Z229" s="1" t="s">
        <v>39</v>
      </c>
    </row>
    <row r="230" spans="1:26" x14ac:dyDescent="0.3">
      <c r="A230" s="1" t="s">
        <v>518</v>
      </c>
      <c r="B230" s="2">
        <v>46068</v>
      </c>
      <c r="C230" s="1" t="s">
        <v>519</v>
      </c>
      <c r="D230" s="1" t="s">
        <v>73</v>
      </c>
      <c r="E230" s="1" t="s">
        <v>29</v>
      </c>
      <c r="F230" s="1">
        <v>35</v>
      </c>
      <c r="G230" s="1" t="s">
        <v>67</v>
      </c>
      <c r="H230" s="1" t="s">
        <v>68</v>
      </c>
      <c r="I230" s="1" t="s">
        <v>67</v>
      </c>
      <c r="J230" s="1" t="s">
        <v>201</v>
      </c>
      <c r="K230" s="1">
        <v>3</v>
      </c>
      <c r="L230" s="1">
        <v>41035</v>
      </c>
      <c r="M230" s="1">
        <v>20</v>
      </c>
      <c r="N230" s="1">
        <v>24621</v>
      </c>
      <c r="O230" s="1">
        <v>17727.12</v>
      </c>
      <c r="P230" s="1">
        <v>486</v>
      </c>
      <c r="Q230" s="1">
        <v>116697.12</v>
      </c>
      <c r="R230" s="1" t="s">
        <v>33</v>
      </c>
      <c r="S230" s="1" t="s">
        <v>63</v>
      </c>
      <c r="T230" s="1" t="s">
        <v>103</v>
      </c>
      <c r="U230" s="1" t="s">
        <v>103</v>
      </c>
      <c r="V230" s="1" t="s">
        <v>57</v>
      </c>
      <c r="W230" s="1">
        <v>9</v>
      </c>
      <c r="X230" s="1" t="s">
        <v>47</v>
      </c>
      <c r="Y230" s="1">
        <v>1</v>
      </c>
      <c r="Z230" s="1" t="s">
        <v>91</v>
      </c>
    </row>
    <row r="231" spans="1:26" x14ac:dyDescent="0.3">
      <c r="A231" s="1" t="s">
        <v>520</v>
      </c>
      <c r="B231" s="2">
        <v>45802</v>
      </c>
      <c r="C231" s="1" t="s">
        <v>521</v>
      </c>
      <c r="D231" s="1" t="s">
        <v>28</v>
      </c>
      <c r="E231" s="1" t="s">
        <v>29</v>
      </c>
      <c r="F231" s="1">
        <v>23</v>
      </c>
      <c r="G231" s="1" t="s">
        <v>30</v>
      </c>
      <c r="H231" s="1" t="s">
        <v>31</v>
      </c>
      <c r="I231" s="1" t="s">
        <v>30</v>
      </c>
      <c r="J231" s="1" t="s">
        <v>201</v>
      </c>
      <c r="K231" s="1">
        <v>5</v>
      </c>
      <c r="L231" s="1">
        <v>13190</v>
      </c>
      <c r="M231" s="1">
        <v>0</v>
      </c>
      <c r="N231" s="1">
        <v>0</v>
      </c>
      <c r="O231" s="1">
        <v>11871</v>
      </c>
      <c r="P231" s="1">
        <v>493</v>
      </c>
      <c r="Q231" s="1">
        <v>78314</v>
      </c>
      <c r="R231" s="1" t="s">
        <v>45</v>
      </c>
      <c r="S231" s="1" t="s">
        <v>34</v>
      </c>
      <c r="T231" s="1" t="s">
        <v>46</v>
      </c>
      <c r="U231" s="1" t="s">
        <v>36</v>
      </c>
      <c r="V231" s="1" t="s">
        <v>37</v>
      </c>
      <c r="W231" s="1">
        <v>10</v>
      </c>
      <c r="X231" s="1" t="s">
        <v>47</v>
      </c>
      <c r="Y231" s="1">
        <v>3</v>
      </c>
      <c r="Z231" s="1" t="s">
        <v>91</v>
      </c>
    </row>
    <row r="232" spans="1:26" x14ac:dyDescent="0.3">
      <c r="A232" s="1" t="s">
        <v>522</v>
      </c>
      <c r="B232" s="2">
        <v>46117</v>
      </c>
      <c r="C232" s="1" t="s">
        <v>523</v>
      </c>
      <c r="D232" s="1" t="s">
        <v>50</v>
      </c>
      <c r="E232" s="1" t="s">
        <v>43</v>
      </c>
      <c r="F232" s="1">
        <v>19</v>
      </c>
      <c r="G232" s="1" t="s">
        <v>134</v>
      </c>
      <c r="H232" s="1" t="s">
        <v>31</v>
      </c>
      <c r="I232" s="1" t="s">
        <v>134</v>
      </c>
      <c r="J232" s="1" t="s">
        <v>53</v>
      </c>
      <c r="K232" s="1">
        <v>3</v>
      </c>
      <c r="L232" s="1">
        <v>35079</v>
      </c>
      <c r="M232" s="1">
        <v>20</v>
      </c>
      <c r="N232" s="1">
        <v>21047.4</v>
      </c>
      <c r="O232" s="1">
        <v>15154.13</v>
      </c>
      <c r="P232" s="1">
        <v>50</v>
      </c>
      <c r="Q232" s="1">
        <v>99393.73</v>
      </c>
      <c r="R232" s="1" t="s">
        <v>54</v>
      </c>
      <c r="S232" s="1" t="s">
        <v>63</v>
      </c>
      <c r="T232" s="1" t="s">
        <v>70</v>
      </c>
      <c r="U232" s="1" t="s">
        <v>56</v>
      </c>
      <c r="V232" s="1" t="s">
        <v>57</v>
      </c>
      <c r="W232" s="1">
        <v>8</v>
      </c>
      <c r="X232" s="1" t="s">
        <v>38</v>
      </c>
      <c r="Y232" s="1">
        <v>3</v>
      </c>
      <c r="Z232" s="1" t="s">
        <v>58</v>
      </c>
    </row>
    <row r="233" spans="1:26" x14ac:dyDescent="0.3">
      <c r="A233" s="1" t="s">
        <v>524</v>
      </c>
      <c r="B233" s="2">
        <v>45897</v>
      </c>
      <c r="C233" s="1" t="s">
        <v>435</v>
      </c>
      <c r="D233" s="1" t="s">
        <v>61</v>
      </c>
      <c r="E233" s="1" t="s">
        <v>29</v>
      </c>
      <c r="F233" s="1">
        <v>43</v>
      </c>
      <c r="G233" s="1" t="s">
        <v>74</v>
      </c>
      <c r="H233" s="1" t="s">
        <v>31</v>
      </c>
      <c r="I233" s="1" t="s">
        <v>74</v>
      </c>
      <c r="J233" s="1" t="s">
        <v>62</v>
      </c>
      <c r="K233" s="1">
        <v>4</v>
      </c>
      <c r="L233" s="1">
        <v>19650</v>
      </c>
      <c r="M233" s="1">
        <v>0</v>
      </c>
      <c r="N233" s="1">
        <v>0</v>
      </c>
      <c r="O233" s="1">
        <v>14148</v>
      </c>
      <c r="P233" s="1">
        <v>372</v>
      </c>
      <c r="Q233" s="1">
        <v>93120</v>
      </c>
      <c r="R233" s="1" t="s">
        <v>83</v>
      </c>
      <c r="S233" s="1" t="s">
        <v>63</v>
      </c>
      <c r="T233" s="1" t="s">
        <v>103</v>
      </c>
      <c r="U233" s="1" t="s">
        <v>103</v>
      </c>
      <c r="V233" s="1" t="s">
        <v>57</v>
      </c>
      <c r="W233" s="1">
        <v>3</v>
      </c>
      <c r="X233" s="1" t="s">
        <v>38</v>
      </c>
      <c r="Y233" s="1">
        <v>4</v>
      </c>
      <c r="Z233" s="1" t="s">
        <v>58</v>
      </c>
    </row>
    <row r="234" spans="1:26" x14ac:dyDescent="0.3">
      <c r="A234" s="1" t="s">
        <v>525</v>
      </c>
      <c r="B234" s="2">
        <v>46027</v>
      </c>
      <c r="C234" s="1" t="s">
        <v>526</v>
      </c>
      <c r="D234" s="1" t="s">
        <v>80</v>
      </c>
      <c r="E234" s="1" t="s">
        <v>43</v>
      </c>
      <c r="F234" s="1">
        <v>23</v>
      </c>
      <c r="G234" s="1" t="s">
        <v>67</v>
      </c>
      <c r="H234" s="1" t="s">
        <v>68</v>
      </c>
      <c r="I234" s="1" t="s">
        <v>67</v>
      </c>
      <c r="J234" s="1" t="s">
        <v>69</v>
      </c>
      <c r="K234" s="1">
        <v>3</v>
      </c>
      <c r="L234" s="1">
        <v>7283</v>
      </c>
      <c r="M234" s="1">
        <v>0</v>
      </c>
      <c r="N234" s="1">
        <v>0</v>
      </c>
      <c r="O234" s="1">
        <v>3932.82</v>
      </c>
      <c r="P234" s="1">
        <v>89</v>
      </c>
      <c r="Q234" s="1">
        <v>25870.82</v>
      </c>
      <c r="R234" s="1" t="s">
        <v>83</v>
      </c>
      <c r="S234" s="1" t="s">
        <v>34</v>
      </c>
      <c r="T234" s="1" t="s">
        <v>76</v>
      </c>
      <c r="U234" s="1" t="s">
        <v>77</v>
      </c>
      <c r="V234" s="1" t="s">
        <v>57</v>
      </c>
      <c r="W234" s="1">
        <v>5</v>
      </c>
      <c r="X234" s="1" t="s">
        <v>38</v>
      </c>
      <c r="Y234" s="1">
        <v>4</v>
      </c>
      <c r="Z234" s="1" t="s">
        <v>47</v>
      </c>
    </row>
    <row r="235" spans="1:26" x14ac:dyDescent="0.3">
      <c r="A235" s="1" t="s">
        <v>527</v>
      </c>
      <c r="B235" s="2">
        <v>45846</v>
      </c>
      <c r="C235" s="1" t="s">
        <v>528</v>
      </c>
      <c r="D235" s="1" t="s">
        <v>80</v>
      </c>
      <c r="E235" s="1" t="s">
        <v>29</v>
      </c>
      <c r="F235" s="1">
        <v>47</v>
      </c>
      <c r="G235" s="1" t="s">
        <v>134</v>
      </c>
      <c r="H235" s="1" t="s">
        <v>31</v>
      </c>
      <c r="I235" s="1" t="s">
        <v>134</v>
      </c>
      <c r="J235" s="1" t="s">
        <v>112</v>
      </c>
      <c r="K235" s="1">
        <v>2</v>
      </c>
      <c r="L235" s="1">
        <v>18597</v>
      </c>
      <c r="M235" s="1">
        <v>0</v>
      </c>
      <c r="N235" s="1">
        <v>0</v>
      </c>
      <c r="O235" s="1">
        <v>6694.92</v>
      </c>
      <c r="P235" s="1">
        <v>194</v>
      </c>
      <c r="Q235" s="1">
        <v>44082.92</v>
      </c>
      <c r="R235" s="1" t="s">
        <v>33</v>
      </c>
      <c r="S235" s="1" t="s">
        <v>34</v>
      </c>
      <c r="T235" s="1" t="s">
        <v>46</v>
      </c>
      <c r="U235" s="1" t="s">
        <v>36</v>
      </c>
      <c r="V235" s="1" t="s">
        <v>37</v>
      </c>
      <c r="W235" s="1">
        <v>6</v>
      </c>
      <c r="X235" s="1" t="s">
        <v>47</v>
      </c>
      <c r="Y235" s="1">
        <v>1</v>
      </c>
      <c r="Z235" s="1" t="s">
        <v>39</v>
      </c>
    </row>
    <row r="236" spans="1:26" x14ac:dyDescent="0.3">
      <c r="A236" s="1" t="s">
        <v>529</v>
      </c>
      <c r="B236" s="2">
        <v>45812</v>
      </c>
      <c r="C236" s="1" t="s">
        <v>321</v>
      </c>
      <c r="D236" s="1" t="s">
        <v>80</v>
      </c>
      <c r="E236" s="1" t="s">
        <v>43</v>
      </c>
      <c r="F236" s="1">
        <v>41</v>
      </c>
      <c r="G236" s="1" t="s">
        <v>99</v>
      </c>
      <c r="H236" s="1" t="s">
        <v>52</v>
      </c>
      <c r="I236" s="1" t="s">
        <v>99</v>
      </c>
      <c r="J236" s="1" t="s">
        <v>125</v>
      </c>
      <c r="K236" s="1">
        <v>1</v>
      </c>
      <c r="L236" s="1">
        <v>17820</v>
      </c>
      <c r="M236" s="1">
        <v>20</v>
      </c>
      <c r="N236" s="1">
        <v>3564</v>
      </c>
      <c r="O236" s="1">
        <v>2566.08</v>
      </c>
      <c r="P236" s="1">
        <v>383</v>
      </c>
      <c r="Q236" s="1">
        <v>17205.080000000002</v>
      </c>
      <c r="R236" s="1" t="s">
        <v>83</v>
      </c>
      <c r="S236" s="1" t="s">
        <v>63</v>
      </c>
      <c r="T236" s="1" t="s">
        <v>46</v>
      </c>
      <c r="U236" s="1" t="s">
        <v>36</v>
      </c>
      <c r="V236" s="1" t="s">
        <v>37</v>
      </c>
      <c r="W236" s="1">
        <v>8</v>
      </c>
      <c r="X236" s="1" t="s">
        <v>38</v>
      </c>
      <c r="Y236" s="1">
        <v>5</v>
      </c>
      <c r="Z236" s="1" t="s">
        <v>58</v>
      </c>
    </row>
    <row r="237" spans="1:26" x14ac:dyDescent="0.3">
      <c r="A237" s="1" t="s">
        <v>530</v>
      </c>
      <c r="B237" s="2">
        <v>45930</v>
      </c>
      <c r="C237" s="1" t="s">
        <v>531</v>
      </c>
      <c r="D237" s="1" t="s">
        <v>61</v>
      </c>
      <c r="E237" s="1" t="s">
        <v>29</v>
      </c>
      <c r="F237" s="1">
        <v>58</v>
      </c>
      <c r="G237" s="1" t="s">
        <v>99</v>
      </c>
      <c r="H237" s="1" t="s">
        <v>52</v>
      </c>
      <c r="I237" s="1" t="s">
        <v>99</v>
      </c>
      <c r="J237" s="1" t="s">
        <v>32</v>
      </c>
      <c r="K237" s="1">
        <v>5</v>
      </c>
      <c r="L237" s="1">
        <v>29380</v>
      </c>
      <c r="M237" s="1">
        <v>10</v>
      </c>
      <c r="N237" s="1">
        <v>14690</v>
      </c>
      <c r="O237" s="1">
        <v>23797.8</v>
      </c>
      <c r="P237" s="1">
        <v>177</v>
      </c>
      <c r="Q237" s="1">
        <v>156184.79999999999</v>
      </c>
      <c r="R237" s="1" t="s">
        <v>83</v>
      </c>
      <c r="S237" s="1" t="s">
        <v>63</v>
      </c>
      <c r="T237" s="1" t="s">
        <v>46</v>
      </c>
      <c r="U237" s="1" t="s">
        <v>36</v>
      </c>
      <c r="V237" s="1" t="s">
        <v>37</v>
      </c>
      <c r="W237" s="1">
        <v>10</v>
      </c>
      <c r="X237" s="1" t="s">
        <v>47</v>
      </c>
      <c r="Y237" s="1">
        <v>1</v>
      </c>
      <c r="Z237" s="1" t="s">
        <v>39</v>
      </c>
    </row>
    <row r="238" spans="1:26" x14ac:dyDescent="0.3">
      <c r="A238" s="1" t="s">
        <v>532</v>
      </c>
      <c r="B238" s="2">
        <v>45960</v>
      </c>
      <c r="C238" s="1" t="s">
        <v>533</v>
      </c>
      <c r="D238" s="1" t="s">
        <v>89</v>
      </c>
      <c r="E238" s="1" t="s">
        <v>43</v>
      </c>
      <c r="F238" s="1">
        <v>55</v>
      </c>
      <c r="G238" s="1" t="s">
        <v>30</v>
      </c>
      <c r="H238" s="1" t="s">
        <v>31</v>
      </c>
      <c r="I238" s="1" t="s">
        <v>30</v>
      </c>
      <c r="J238" s="1" t="s">
        <v>112</v>
      </c>
      <c r="K238" s="1">
        <v>5</v>
      </c>
      <c r="L238" s="1">
        <v>48636</v>
      </c>
      <c r="M238" s="1">
        <v>20</v>
      </c>
      <c r="N238" s="1">
        <v>48636</v>
      </c>
      <c r="O238" s="1">
        <v>35017.919999999998</v>
      </c>
      <c r="P238" s="1">
        <v>254</v>
      </c>
      <c r="Q238" s="1">
        <v>229815.92</v>
      </c>
      <c r="R238" s="1" t="s">
        <v>45</v>
      </c>
      <c r="S238" s="1" t="s">
        <v>34</v>
      </c>
      <c r="T238" s="1" t="s">
        <v>55</v>
      </c>
      <c r="U238" s="1" t="s">
        <v>56</v>
      </c>
      <c r="V238" s="1" t="s">
        <v>57</v>
      </c>
      <c r="W238" s="1">
        <v>3</v>
      </c>
      <c r="X238" s="1" t="s">
        <v>38</v>
      </c>
      <c r="Y238" s="1">
        <v>2</v>
      </c>
      <c r="Z238" s="1" t="s">
        <v>39</v>
      </c>
    </row>
    <row r="239" spans="1:26" x14ac:dyDescent="0.3">
      <c r="A239" s="1" t="s">
        <v>534</v>
      </c>
      <c r="B239" s="2">
        <v>46092</v>
      </c>
      <c r="C239" s="1" t="s">
        <v>327</v>
      </c>
      <c r="D239" s="1" t="s">
        <v>50</v>
      </c>
      <c r="E239" s="1" t="s">
        <v>29</v>
      </c>
      <c r="F239" s="1">
        <v>40</v>
      </c>
      <c r="G239" s="1" t="s">
        <v>30</v>
      </c>
      <c r="H239" s="1" t="s">
        <v>31</v>
      </c>
      <c r="I239" s="1" t="s">
        <v>30</v>
      </c>
      <c r="J239" s="1" t="s">
        <v>102</v>
      </c>
      <c r="K239" s="1">
        <v>3</v>
      </c>
      <c r="L239" s="1">
        <v>4058</v>
      </c>
      <c r="M239" s="1">
        <v>0</v>
      </c>
      <c r="N239" s="1">
        <v>0</v>
      </c>
      <c r="O239" s="1">
        <v>2191.3200000000002</v>
      </c>
      <c r="P239" s="1">
        <v>130</v>
      </c>
      <c r="Q239" s="1">
        <v>14495.32</v>
      </c>
      <c r="R239" s="1" t="s">
        <v>33</v>
      </c>
      <c r="S239" s="1" t="s">
        <v>63</v>
      </c>
      <c r="T239" s="1" t="s">
        <v>55</v>
      </c>
      <c r="U239" s="1" t="s">
        <v>56</v>
      </c>
      <c r="V239" s="1" t="s">
        <v>57</v>
      </c>
      <c r="W239" s="1">
        <v>4</v>
      </c>
      <c r="X239" s="1" t="s">
        <v>38</v>
      </c>
      <c r="Y239" s="1">
        <v>5</v>
      </c>
      <c r="Z239" s="1" t="s">
        <v>91</v>
      </c>
    </row>
    <row r="240" spans="1:26" x14ac:dyDescent="0.3">
      <c r="A240" s="1" t="s">
        <v>535</v>
      </c>
      <c r="B240" s="2">
        <v>46070</v>
      </c>
      <c r="C240" s="1" t="s">
        <v>414</v>
      </c>
      <c r="D240" s="1" t="s">
        <v>73</v>
      </c>
      <c r="E240" s="1" t="s">
        <v>43</v>
      </c>
      <c r="F240" s="1">
        <v>50</v>
      </c>
      <c r="G240" s="1" t="s">
        <v>90</v>
      </c>
      <c r="H240" s="1" t="s">
        <v>31</v>
      </c>
      <c r="I240" s="1" t="s">
        <v>90</v>
      </c>
      <c r="J240" s="1" t="s">
        <v>201</v>
      </c>
      <c r="K240" s="1">
        <v>2</v>
      </c>
      <c r="L240" s="1">
        <v>16518</v>
      </c>
      <c r="M240" s="1">
        <v>15</v>
      </c>
      <c r="N240" s="1">
        <v>4955.3999999999996</v>
      </c>
      <c r="O240" s="1">
        <v>5054.51</v>
      </c>
      <c r="P240" s="1">
        <v>326</v>
      </c>
      <c r="Q240" s="1">
        <v>33461.11</v>
      </c>
      <c r="R240" s="1" t="s">
        <v>33</v>
      </c>
      <c r="S240" s="1" t="s">
        <v>34</v>
      </c>
      <c r="T240" s="1" t="s">
        <v>46</v>
      </c>
      <c r="U240" s="1" t="s">
        <v>36</v>
      </c>
      <c r="V240" s="1" t="s">
        <v>37</v>
      </c>
      <c r="W240" s="1">
        <v>1</v>
      </c>
      <c r="X240" s="1" t="s">
        <v>47</v>
      </c>
      <c r="Y240" s="1">
        <v>1</v>
      </c>
      <c r="Z240" s="1" t="s">
        <v>47</v>
      </c>
    </row>
    <row r="241" spans="1:26" x14ac:dyDescent="0.3">
      <c r="A241" s="1" t="s">
        <v>536</v>
      </c>
      <c r="B241" s="2">
        <v>45807</v>
      </c>
      <c r="C241" s="1" t="s">
        <v>386</v>
      </c>
      <c r="D241" s="1" t="s">
        <v>73</v>
      </c>
      <c r="E241" s="1" t="s">
        <v>43</v>
      </c>
      <c r="F241" s="1">
        <v>42</v>
      </c>
      <c r="G241" s="1" t="s">
        <v>99</v>
      </c>
      <c r="H241" s="1" t="s">
        <v>52</v>
      </c>
      <c r="I241" s="1" t="s">
        <v>99</v>
      </c>
      <c r="J241" s="1" t="s">
        <v>69</v>
      </c>
      <c r="K241" s="1">
        <v>2</v>
      </c>
      <c r="L241" s="1">
        <v>42034</v>
      </c>
      <c r="M241" s="1">
        <v>20</v>
      </c>
      <c r="N241" s="1">
        <v>16813.599999999999</v>
      </c>
      <c r="O241" s="1">
        <v>12105.79</v>
      </c>
      <c r="P241" s="1">
        <v>55</v>
      </c>
      <c r="Q241" s="1">
        <v>79415.19</v>
      </c>
      <c r="R241" s="1" t="s">
        <v>33</v>
      </c>
      <c r="S241" s="1" t="s">
        <v>63</v>
      </c>
      <c r="T241" s="1" t="s">
        <v>76</v>
      </c>
      <c r="U241" s="1" t="s">
        <v>77</v>
      </c>
      <c r="V241" s="1" t="s">
        <v>57</v>
      </c>
      <c r="W241" s="1">
        <v>6</v>
      </c>
      <c r="X241" s="1" t="s">
        <v>47</v>
      </c>
      <c r="Y241" s="1">
        <v>1</v>
      </c>
      <c r="Z241" s="1" t="s">
        <v>58</v>
      </c>
    </row>
    <row r="242" spans="1:26" x14ac:dyDescent="0.3">
      <c r="A242" s="1" t="s">
        <v>537</v>
      </c>
      <c r="B242" s="2">
        <v>45973</v>
      </c>
      <c r="C242" s="1" t="s">
        <v>538</v>
      </c>
      <c r="D242" s="1" t="s">
        <v>80</v>
      </c>
      <c r="E242" s="1" t="s">
        <v>29</v>
      </c>
      <c r="F242" s="1">
        <v>43</v>
      </c>
      <c r="G242" s="1" t="s">
        <v>51</v>
      </c>
      <c r="H242" s="1" t="s">
        <v>52</v>
      </c>
      <c r="I242" s="1" t="s">
        <v>51</v>
      </c>
      <c r="J242" s="1" t="s">
        <v>112</v>
      </c>
      <c r="K242" s="1">
        <v>2</v>
      </c>
      <c r="L242" s="1">
        <v>40255</v>
      </c>
      <c r="M242" s="1">
        <v>0</v>
      </c>
      <c r="N242" s="1">
        <v>0</v>
      </c>
      <c r="O242" s="1">
        <v>14491.8</v>
      </c>
      <c r="P242" s="1">
        <v>415</v>
      </c>
      <c r="Q242" s="1">
        <v>95416.8</v>
      </c>
      <c r="R242" s="1" t="s">
        <v>83</v>
      </c>
      <c r="S242" s="1" t="s">
        <v>34</v>
      </c>
      <c r="T242" s="1" t="s">
        <v>70</v>
      </c>
      <c r="U242" s="1" t="s">
        <v>56</v>
      </c>
      <c r="V242" s="1" t="s">
        <v>57</v>
      </c>
      <c r="W242" s="1">
        <v>6</v>
      </c>
      <c r="X242" s="1" t="s">
        <v>38</v>
      </c>
      <c r="Y242" s="1">
        <v>3</v>
      </c>
      <c r="Z242" s="1" t="s">
        <v>91</v>
      </c>
    </row>
    <row r="243" spans="1:26" x14ac:dyDescent="0.3">
      <c r="A243" s="1" t="s">
        <v>539</v>
      </c>
      <c r="B243" s="2">
        <v>45802</v>
      </c>
      <c r="C243" s="1" t="s">
        <v>540</v>
      </c>
      <c r="D243" s="1" t="s">
        <v>61</v>
      </c>
      <c r="E243" s="1" t="s">
        <v>43</v>
      </c>
      <c r="F243" s="1">
        <v>41</v>
      </c>
      <c r="G243" s="1" t="s">
        <v>30</v>
      </c>
      <c r="H243" s="1" t="s">
        <v>31</v>
      </c>
      <c r="I243" s="1" t="s">
        <v>30</v>
      </c>
      <c r="J243" s="1" t="s">
        <v>150</v>
      </c>
      <c r="K243" s="1">
        <v>2</v>
      </c>
      <c r="L243" s="1">
        <v>16819</v>
      </c>
      <c r="M243" s="1">
        <v>10</v>
      </c>
      <c r="N243" s="1">
        <v>3363.8</v>
      </c>
      <c r="O243" s="1">
        <v>5449.36</v>
      </c>
      <c r="P243" s="1">
        <v>185</v>
      </c>
      <c r="Q243" s="1">
        <v>35908.559999999998</v>
      </c>
      <c r="R243" s="1" t="s">
        <v>33</v>
      </c>
      <c r="S243" s="1" t="s">
        <v>63</v>
      </c>
      <c r="T243" s="1" t="s">
        <v>46</v>
      </c>
      <c r="U243" s="1" t="s">
        <v>36</v>
      </c>
      <c r="V243" s="1" t="s">
        <v>37</v>
      </c>
      <c r="W243" s="1">
        <v>9</v>
      </c>
      <c r="X243" s="1" t="s">
        <v>47</v>
      </c>
      <c r="Y243" s="1">
        <v>1</v>
      </c>
      <c r="Z243" s="1" t="s">
        <v>91</v>
      </c>
    </row>
    <row r="244" spans="1:26" x14ac:dyDescent="0.3">
      <c r="A244" s="1" t="s">
        <v>541</v>
      </c>
      <c r="B244" s="2">
        <v>46034</v>
      </c>
      <c r="C244" s="1" t="s">
        <v>542</v>
      </c>
      <c r="D244" s="1" t="s">
        <v>50</v>
      </c>
      <c r="E244" s="1" t="s">
        <v>43</v>
      </c>
      <c r="F244" s="1">
        <v>36</v>
      </c>
      <c r="G244" s="1" t="s">
        <v>30</v>
      </c>
      <c r="H244" s="1" t="s">
        <v>31</v>
      </c>
      <c r="I244" s="1" t="s">
        <v>30</v>
      </c>
      <c r="J244" s="1" t="s">
        <v>102</v>
      </c>
      <c r="K244" s="1">
        <v>5</v>
      </c>
      <c r="L244" s="1">
        <v>17749</v>
      </c>
      <c r="M244" s="1">
        <v>0</v>
      </c>
      <c r="N244" s="1">
        <v>0</v>
      </c>
      <c r="O244" s="1">
        <v>15974.1</v>
      </c>
      <c r="P244" s="1">
        <v>215</v>
      </c>
      <c r="Q244" s="1">
        <v>104934.1</v>
      </c>
      <c r="R244" s="1" t="s">
        <v>45</v>
      </c>
      <c r="S244" s="1" t="s">
        <v>34</v>
      </c>
      <c r="T244" s="1" t="s">
        <v>76</v>
      </c>
      <c r="U244" s="1" t="s">
        <v>77</v>
      </c>
      <c r="V244" s="1" t="s">
        <v>57</v>
      </c>
      <c r="W244" s="1">
        <v>9</v>
      </c>
      <c r="X244" s="1" t="s">
        <v>38</v>
      </c>
      <c r="Y244" s="1">
        <v>1</v>
      </c>
      <c r="Z244" s="1" t="s">
        <v>58</v>
      </c>
    </row>
    <row r="245" spans="1:26" x14ac:dyDescent="0.3">
      <c r="A245" s="1" t="s">
        <v>543</v>
      </c>
      <c r="B245" s="2">
        <v>45850</v>
      </c>
      <c r="C245" s="1" t="s">
        <v>544</v>
      </c>
      <c r="D245" s="1" t="s">
        <v>73</v>
      </c>
      <c r="E245" s="1" t="s">
        <v>29</v>
      </c>
      <c r="F245" s="1">
        <v>59</v>
      </c>
      <c r="G245" s="1" t="s">
        <v>99</v>
      </c>
      <c r="H245" s="1" t="s">
        <v>52</v>
      </c>
      <c r="I245" s="1" t="s">
        <v>99</v>
      </c>
      <c r="J245" s="1" t="s">
        <v>53</v>
      </c>
      <c r="K245" s="1">
        <v>1</v>
      </c>
      <c r="L245" s="1">
        <v>17819</v>
      </c>
      <c r="M245" s="1">
        <v>15</v>
      </c>
      <c r="N245" s="1">
        <v>2672.85</v>
      </c>
      <c r="O245" s="1">
        <v>2726.31</v>
      </c>
      <c r="P245" s="1">
        <v>350</v>
      </c>
      <c r="Q245" s="1">
        <v>18222.46</v>
      </c>
      <c r="R245" s="1" t="s">
        <v>83</v>
      </c>
      <c r="S245" s="1" t="s">
        <v>63</v>
      </c>
      <c r="T245" s="1" t="s">
        <v>95</v>
      </c>
      <c r="U245" s="1" t="s">
        <v>96</v>
      </c>
      <c r="V245" s="1" t="s">
        <v>57</v>
      </c>
      <c r="W245" s="1">
        <v>4</v>
      </c>
      <c r="X245" s="1" t="s">
        <v>47</v>
      </c>
      <c r="Y245" s="1">
        <v>3</v>
      </c>
      <c r="Z245" s="1" t="s">
        <v>91</v>
      </c>
    </row>
    <row r="246" spans="1:26" x14ac:dyDescent="0.3">
      <c r="A246" s="1" t="s">
        <v>545</v>
      </c>
      <c r="B246" s="2">
        <v>45873</v>
      </c>
      <c r="C246" s="1" t="s">
        <v>211</v>
      </c>
      <c r="D246" s="1" t="s">
        <v>66</v>
      </c>
      <c r="E246" s="1" t="s">
        <v>43</v>
      </c>
      <c r="F246" s="1">
        <v>30</v>
      </c>
      <c r="G246" s="1" t="s">
        <v>44</v>
      </c>
      <c r="H246" s="1" t="s">
        <v>31</v>
      </c>
      <c r="I246" s="1" t="s">
        <v>44</v>
      </c>
      <c r="J246" s="1" t="s">
        <v>201</v>
      </c>
      <c r="K246" s="1">
        <v>3</v>
      </c>
      <c r="L246" s="1">
        <v>34354</v>
      </c>
      <c r="M246" s="1">
        <v>5</v>
      </c>
      <c r="N246" s="1">
        <v>5153.1000000000004</v>
      </c>
      <c r="O246" s="1">
        <v>17623.599999999999</v>
      </c>
      <c r="P246" s="1">
        <v>57</v>
      </c>
      <c r="Q246" s="1">
        <v>115589.5</v>
      </c>
      <c r="R246" s="1" t="s">
        <v>83</v>
      </c>
      <c r="S246" s="1" t="s">
        <v>63</v>
      </c>
      <c r="T246" s="1" t="s">
        <v>103</v>
      </c>
      <c r="U246" s="1" t="s">
        <v>103</v>
      </c>
      <c r="V246" s="1" t="s">
        <v>57</v>
      </c>
      <c r="W246" s="1">
        <v>3</v>
      </c>
      <c r="X246" s="1" t="s">
        <v>47</v>
      </c>
      <c r="Y246" s="1">
        <v>3</v>
      </c>
      <c r="Z246" s="1" t="s">
        <v>58</v>
      </c>
    </row>
    <row r="247" spans="1:26" x14ac:dyDescent="0.3">
      <c r="A247" s="1" t="s">
        <v>546</v>
      </c>
      <c r="B247" s="2">
        <v>46084</v>
      </c>
      <c r="C247" s="1" t="s">
        <v>547</v>
      </c>
      <c r="D247" s="1" t="s">
        <v>73</v>
      </c>
      <c r="E247" s="1" t="s">
        <v>29</v>
      </c>
      <c r="F247" s="1">
        <v>52</v>
      </c>
      <c r="G247" s="1" t="s">
        <v>30</v>
      </c>
      <c r="H247" s="1" t="s">
        <v>31</v>
      </c>
      <c r="I247" s="1" t="s">
        <v>30</v>
      </c>
      <c r="J247" s="1" t="s">
        <v>201</v>
      </c>
      <c r="K247" s="1">
        <v>3</v>
      </c>
      <c r="L247" s="1">
        <v>20946</v>
      </c>
      <c r="M247" s="1">
        <v>20</v>
      </c>
      <c r="N247" s="1">
        <v>12567.6</v>
      </c>
      <c r="O247" s="1">
        <v>9048.67</v>
      </c>
      <c r="P247" s="1">
        <v>113</v>
      </c>
      <c r="Q247" s="1">
        <v>59432.07</v>
      </c>
      <c r="R247" s="1" t="s">
        <v>33</v>
      </c>
      <c r="S247" s="1" t="s">
        <v>34</v>
      </c>
      <c r="T247" s="1" t="s">
        <v>55</v>
      </c>
      <c r="U247" s="1" t="s">
        <v>56</v>
      </c>
      <c r="V247" s="1" t="s">
        <v>57</v>
      </c>
      <c r="W247" s="1">
        <v>10</v>
      </c>
      <c r="X247" s="1" t="s">
        <v>47</v>
      </c>
      <c r="Y247" s="1">
        <v>3</v>
      </c>
      <c r="Z247" s="1" t="s">
        <v>91</v>
      </c>
    </row>
    <row r="248" spans="1:26" x14ac:dyDescent="0.3">
      <c r="A248" s="1" t="s">
        <v>548</v>
      </c>
      <c r="B248" s="2">
        <v>45819</v>
      </c>
      <c r="C248" s="1" t="s">
        <v>549</v>
      </c>
      <c r="D248" s="1" t="s">
        <v>111</v>
      </c>
      <c r="E248" s="1" t="s">
        <v>43</v>
      </c>
      <c r="F248" s="1">
        <v>22</v>
      </c>
      <c r="G248" s="1" t="s">
        <v>74</v>
      </c>
      <c r="H248" s="1" t="s">
        <v>31</v>
      </c>
      <c r="I248" s="1" t="s">
        <v>74</v>
      </c>
      <c r="J248" s="1" t="s">
        <v>69</v>
      </c>
      <c r="K248" s="1">
        <v>5</v>
      </c>
      <c r="L248" s="1">
        <v>46655</v>
      </c>
      <c r="M248" s="1">
        <v>20</v>
      </c>
      <c r="N248" s="1">
        <v>46655</v>
      </c>
      <c r="O248" s="1">
        <v>33591.599999999999</v>
      </c>
      <c r="P248" s="1">
        <v>138</v>
      </c>
      <c r="Q248" s="1">
        <v>220349.6</v>
      </c>
      <c r="R248" s="1" t="s">
        <v>54</v>
      </c>
      <c r="S248" s="1" t="s">
        <v>34</v>
      </c>
      <c r="T248" s="1" t="s">
        <v>55</v>
      </c>
      <c r="U248" s="1" t="s">
        <v>56</v>
      </c>
      <c r="V248" s="1" t="s">
        <v>57</v>
      </c>
      <c r="W248" s="1">
        <v>9</v>
      </c>
      <c r="X248" s="1" t="s">
        <v>38</v>
      </c>
      <c r="Y248" s="1">
        <v>3</v>
      </c>
      <c r="Z248" s="1" t="s">
        <v>91</v>
      </c>
    </row>
    <row r="249" spans="1:26" x14ac:dyDescent="0.3">
      <c r="A249" s="1" t="s">
        <v>550</v>
      </c>
      <c r="B249" s="2">
        <v>46003</v>
      </c>
      <c r="C249" s="1" t="s">
        <v>551</v>
      </c>
      <c r="D249" s="1" t="s">
        <v>111</v>
      </c>
      <c r="E249" s="1" t="s">
        <v>43</v>
      </c>
      <c r="F249" s="1">
        <v>36</v>
      </c>
      <c r="G249" s="1" t="s">
        <v>99</v>
      </c>
      <c r="H249" s="1" t="s">
        <v>52</v>
      </c>
      <c r="I249" s="1" t="s">
        <v>99</v>
      </c>
      <c r="J249" s="1" t="s">
        <v>125</v>
      </c>
      <c r="K249" s="1">
        <v>4</v>
      </c>
      <c r="L249" s="1">
        <v>3168</v>
      </c>
      <c r="M249" s="1">
        <v>20</v>
      </c>
      <c r="N249" s="1">
        <v>2534.4</v>
      </c>
      <c r="O249" s="1">
        <v>1824.77</v>
      </c>
      <c r="P249" s="1">
        <v>447</v>
      </c>
      <c r="Q249" s="1">
        <v>12409.37</v>
      </c>
      <c r="R249" s="1" t="s">
        <v>54</v>
      </c>
      <c r="S249" s="1" t="s">
        <v>63</v>
      </c>
      <c r="T249" s="1" t="s">
        <v>46</v>
      </c>
      <c r="U249" s="1" t="s">
        <v>36</v>
      </c>
      <c r="V249" s="1" t="s">
        <v>37</v>
      </c>
      <c r="W249" s="1">
        <v>9</v>
      </c>
      <c r="X249" s="1" t="s">
        <v>47</v>
      </c>
      <c r="Y249" s="1">
        <v>3</v>
      </c>
      <c r="Z249" s="1" t="s">
        <v>91</v>
      </c>
    </row>
    <row r="250" spans="1:26" x14ac:dyDescent="0.3">
      <c r="A250" s="1" t="s">
        <v>552</v>
      </c>
      <c r="B250" s="2">
        <v>45869</v>
      </c>
      <c r="C250" s="1" t="s">
        <v>553</v>
      </c>
      <c r="D250" s="1" t="s">
        <v>73</v>
      </c>
      <c r="E250" s="1" t="s">
        <v>29</v>
      </c>
      <c r="F250" s="1">
        <v>38</v>
      </c>
      <c r="G250" s="1" t="s">
        <v>94</v>
      </c>
      <c r="H250" s="1" t="s">
        <v>31</v>
      </c>
      <c r="I250" s="1" t="s">
        <v>94</v>
      </c>
      <c r="J250" s="1" t="s">
        <v>125</v>
      </c>
      <c r="K250" s="1">
        <v>3</v>
      </c>
      <c r="L250" s="1">
        <v>13647</v>
      </c>
      <c r="M250" s="1">
        <v>20</v>
      </c>
      <c r="N250" s="1">
        <v>8188.2</v>
      </c>
      <c r="O250" s="1">
        <v>5895.5</v>
      </c>
      <c r="P250" s="1">
        <v>193</v>
      </c>
      <c r="Q250" s="1">
        <v>38841.300000000003</v>
      </c>
      <c r="R250" s="1" t="s">
        <v>45</v>
      </c>
      <c r="S250" s="1" t="s">
        <v>63</v>
      </c>
      <c r="T250" s="1" t="s">
        <v>46</v>
      </c>
      <c r="U250" s="1" t="s">
        <v>36</v>
      </c>
      <c r="V250" s="1" t="s">
        <v>37</v>
      </c>
      <c r="W250" s="1">
        <v>9</v>
      </c>
      <c r="X250" s="1" t="s">
        <v>38</v>
      </c>
      <c r="Y250" s="1">
        <v>5</v>
      </c>
      <c r="Z250" s="1" t="s">
        <v>91</v>
      </c>
    </row>
    <row r="251" spans="1:26" x14ac:dyDescent="0.3">
      <c r="A251" s="1" t="s">
        <v>554</v>
      </c>
      <c r="B251" s="2">
        <v>45931</v>
      </c>
      <c r="C251" s="1" t="s">
        <v>555</v>
      </c>
      <c r="D251" s="1" t="s">
        <v>50</v>
      </c>
      <c r="E251" s="1" t="s">
        <v>29</v>
      </c>
      <c r="F251" s="1">
        <v>49</v>
      </c>
      <c r="G251" s="1" t="s">
        <v>94</v>
      </c>
      <c r="H251" s="1" t="s">
        <v>31</v>
      </c>
      <c r="I251" s="1" t="s">
        <v>94</v>
      </c>
      <c r="J251" s="1" t="s">
        <v>75</v>
      </c>
      <c r="K251" s="1">
        <v>3</v>
      </c>
      <c r="L251" s="1">
        <v>10903</v>
      </c>
      <c r="M251" s="1">
        <v>0</v>
      </c>
      <c r="N251" s="1">
        <v>0</v>
      </c>
      <c r="O251" s="1">
        <v>5887.62</v>
      </c>
      <c r="P251" s="1">
        <v>412</v>
      </c>
      <c r="Q251" s="1">
        <v>39008.620000000003</v>
      </c>
      <c r="R251" s="1" t="s">
        <v>83</v>
      </c>
      <c r="S251" s="1" t="s">
        <v>34</v>
      </c>
      <c r="T251" s="1" t="s">
        <v>95</v>
      </c>
      <c r="U251" s="1" t="s">
        <v>96</v>
      </c>
      <c r="V251" s="1" t="s">
        <v>57</v>
      </c>
      <c r="W251" s="1">
        <v>8</v>
      </c>
      <c r="X251" s="1" t="s">
        <v>38</v>
      </c>
      <c r="Y251" s="1">
        <v>5</v>
      </c>
      <c r="Z251" s="1" t="s">
        <v>91</v>
      </c>
    </row>
    <row r="252" spans="1:26" x14ac:dyDescent="0.3">
      <c r="A252" s="1" t="s">
        <v>556</v>
      </c>
      <c r="B252" s="2">
        <v>45905</v>
      </c>
      <c r="C252" s="1" t="s">
        <v>557</v>
      </c>
      <c r="D252" s="1" t="s">
        <v>89</v>
      </c>
      <c r="E252" s="1" t="s">
        <v>43</v>
      </c>
      <c r="F252" s="1">
        <v>21</v>
      </c>
      <c r="G252" s="1" t="s">
        <v>94</v>
      </c>
      <c r="H252" s="1" t="s">
        <v>31</v>
      </c>
      <c r="I252" s="1" t="s">
        <v>94</v>
      </c>
      <c r="J252" s="1" t="s">
        <v>150</v>
      </c>
      <c r="K252" s="1">
        <v>4</v>
      </c>
      <c r="L252" s="1">
        <v>12320</v>
      </c>
      <c r="M252" s="1">
        <v>15</v>
      </c>
      <c r="N252" s="1">
        <v>7392</v>
      </c>
      <c r="O252" s="1">
        <v>7539.84</v>
      </c>
      <c r="P252" s="1">
        <v>154</v>
      </c>
      <c r="Q252" s="1">
        <v>49581.84</v>
      </c>
      <c r="R252" s="1" t="s">
        <v>33</v>
      </c>
      <c r="S252" s="1" t="s">
        <v>63</v>
      </c>
      <c r="T252" s="1" t="s">
        <v>95</v>
      </c>
      <c r="U252" s="1" t="s">
        <v>96</v>
      </c>
      <c r="V252" s="1" t="s">
        <v>57</v>
      </c>
      <c r="W252" s="1">
        <v>5</v>
      </c>
      <c r="X252" s="1" t="s">
        <v>47</v>
      </c>
      <c r="Y252" s="1">
        <v>5</v>
      </c>
      <c r="Z252" s="1" t="s">
        <v>91</v>
      </c>
    </row>
    <row r="253" spans="1:26" x14ac:dyDescent="0.3">
      <c r="A253" s="1" t="s">
        <v>558</v>
      </c>
      <c r="B253" s="2">
        <v>45885</v>
      </c>
      <c r="C253" s="1" t="s">
        <v>559</v>
      </c>
      <c r="D253" s="1" t="s">
        <v>28</v>
      </c>
      <c r="E253" s="1" t="s">
        <v>43</v>
      </c>
      <c r="F253" s="1">
        <v>37</v>
      </c>
      <c r="G253" s="1" t="s">
        <v>99</v>
      </c>
      <c r="H253" s="1" t="s">
        <v>52</v>
      </c>
      <c r="I253" s="1" t="s">
        <v>99</v>
      </c>
      <c r="J253" s="1" t="s">
        <v>150</v>
      </c>
      <c r="K253" s="1">
        <v>1</v>
      </c>
      <c r="L253" s="1">
        <v>14063</v>
      </c>
      <c r="M253" s="1">
        <v>10</v>
      </c>
      <c r="N253" s="1">
        <v>1406.3</v>
      </c>
      <c r="O253" s="1">
        <v>2278.21</v>
      </c>
      <c r="P253" s="1">
        <v>103</v>
      </c>
      <c r="Q253" s="1">
        <v>15037.91</v>
      </c>
      <c r="R253" s="1" t="s">
        <v>45</v>
      </c>
      <c r="S253" s="1" t="s">
        <v>63</v>
      </c>
      <c r="T253" s="1" t="s">
        <v>76</v>
      </c>
      <c r="U253" s="1" t="s">
        <v>77</v>
      </c>
      <c r="V253" s="1" t="s">
        <v>57</v>
      </c>
      <c r="W253" s="1">
        <v>2</v>
      </c>
      <c r="X253" s="1" t="s">
        <v>47</v>
      </c>
      <c r="Y253" s="1">
        <v>1</v>
      </c>
      <c r="Z253" s="1" t="s">
        <v>91</v>
      </c>
    </row>
    <row r="254" spans="1:26" x14ac:dyDescent="0.3">
      <c r="A254" s="1" t="s">
        <v>560</v>
      </c>
      <c r="B254" s="2">
        <v>46065</v>
      </c>
      <c r="C254" s="1" t="s">
        <v>336</v>
      </c>
      <c r="D254" s="1" t="s">
        <v>108</v>
      </c>
      <c r="E254" s="1" t="s">
        <v>43</v>
      </c>
      <c r="F254" s="1">
        <v>45</v>
      </c>
      <c r="G254" s="1" t="s">
        <v>134</v>
      </c>
      <c r="H254" s="1" t="s">
        <v>31</v>
      </c>
      <c r="I254" s="1" t="s">
        <v>134</v>
      </c>
      <c r="J254" s="1" t="s">
        <v>125</v>
      </c>
      <c r="K254" s="1">
        <v>3</v>
      </c>
      <c r="L254" s="1">
        <v>38458</v>
      </c>
      <c r="M254" s="1">
        <v>0</v>
      </c>
      <c r="N254" s="1">
        <v>0</v>
      </c>
      <c r="O254" s="1">
        <v>20767.32</v>
      </c>
      <c r="P254" s="1">
        <v>484</v>
      </c>
      <c r="Q254" s="1">
        <v>136625.32</v>
      </c>
      <c r="R254" s="1" t="s">
        <v>83</v>
      </c>
      <c r="S254" s="1" t="s">
        <v>63</v>
      </c>
      <c r="T254" s="1" t="s">
        <v>46</v>
      </c>
      <c r="U254" s="1" t="s">
        <v>36</v>
      </c>
      <c r="V254" s="1" t="s">
        <v>37</v>
      </c>
      <c r="W254" s="1">
        <v>4</v>
      </c>
      <c r="X254" s="1" t="s">
        <v>38</v>
      </c>
      <c r="Y254" s="1">
        <v>1</v>
      </c>
      <c r="Z254" s="1" t="s">
        <v>91</v>
      </c>
    </row>
    <row r="255" spans="1:26" x14ac:dyDescent="0.3">
      <c r="A255" s="1" t="s">
        <v>561</v>
      </c>
      <c r="B255" s="2">
        <v>45790</v>
      </c>
      <c r="C255" s="1" t="s">
        <v>562</v>
      </c>
      <c r="D255" s="1" t="s">
        <v>80</v>
      </c>
      <c r="E255" s="1" t="s">
        <v>43</v>
      </c>
      <c r="F255" s="1">
        <v>40</v>
      </c>
      <c r="G255" s="1" t="s">
        <v>139</v>
      </c>
      <c r="H255" s="1" t="s">
        <v>31</v>
      </c>
      <c r="I255" s="1" t="s">
        <v>139</v>
      </c>
      <c r="J255" s="1" t="s">
        <v>75</v>
      </c>
      <c r="K255" s="1">
        <v>3</v>
      </c>
      <c r="L255" s="1">
        <v>2136</v>
      </c>
      <c r="M255" s="1">
        <v>0</v>
      </c>
      <c r="N255" s="1">
        <v>0</v>
      </c>
      <c r="O255" s="1">
        <v>1153.44</v>
      </c>
      <c r="P255" s="1">
        <v>388</v>
      </c>
      <c r="Q255" s="1">
        <v>7949.44</v>
      </c>
      <c r="R255" s="1" t="s">
        <v>54</v>
      </c>
      <c r="S255" s="1" t="s">
        <v>63</v>
      </c>
      <c r="T255" s="1" t="s">
        <v>84</v>
      </c>
      <c r="U255" s="1" t="s">
        <v>85</v>
      </c>
      <c r="V255" s="1" t="s">
        <v>86</v>
      </c>
      <c r="W255" s="1">
        <v>9</v>
      </c>
      <c r="X255" s="1" t="s">
        <v>38</v>
      </c>
      <c r="Y255" s="1">
        <v>5</v>
      </c>
      <c r="Z255" s="1" t="s">
        <v>47</v>
      </c>
    </row>
    <row r="256" spans="1:26" x14ac:dyDescent="0.3">
      <c r="A256" s="1" t="s">
        <v>563</v>
      </c>
      <c r="B256" s="2">
        <v>45879</v>
      </c>
      <c r="C256" s="1" t="s">
        <v>564</v>
      </c>
      <c r="D256" s="1" t="s">
        <v>73</v>
      </c>
      <c r="E256" s="1" t="s">
        <v>43</v>
      </c>
      <c r="F256" s="1">
        <v>50</v>
      </c>
      <c r="G256" s="1" t="s">
        <v>51</v>
      </c>
      <c r="H256" s="1" t="s">
        <v>52</v>
      </c>
      <c r="I256" s="1" t="s">
        <v>51</v>
      </c>
      <c r="J256" s="1" t="s">
        <v>32</v>
      </c>
      <c r="K256" s="1">
        <v>4</v>
      </c>
      <c r="L256" s="1">
        <v>6313</v>
      </c>
      <c r="M256" s="1">
        <v>20</v>
      </c>
      <c r="N256" s="1">
        <v>5050.3999999999996</v>
      </c>
      <c r="O256" s="1">
        <v>3636.29</v>
      </c>
      <c r="P256" s="1">
        <v>1</v>
      </c>
      <c r="Q256" s="1">
        <v>23838.89</v>
      </c>
      <c r="R256" s="1" t="s">
        <v>54</v>
      </c>
      <c r="S256" s="1" t="s">
        <v>34</v>
      </c>
      <c r="T256" s="1" t="s">
        <v>95</v>
      </c>
      <c r="U256" s="1" t="s">
        <v>96</v>
      </c>
      <c r="V256" s="1" t="s">
        <v>57</v>
      </c>
      <c r="W256" s="1">
        <v>2</v>
      </c>
      <c r="X256" s="1" t="s">
        <v>38</v>
      </c>
      <c r="Y256" s="1">
        <v>1</v>
      </c>
      <c r="Z256" s="1" t="s">
        <v>58</v>
      </c>
    </row>
    <row r="257" spans="1:26" x14ac:dyDescent="0.3">
      <c r="A257" s="1" t="s">
        <v>565</v>
      </c>
      <c r="B257" s="2">
        <v>46121</v>
      </c>
      <c r="C257" s="1" t="s">
        <v>566</v>
      </c>
      <c r="D257" s="1" t="s">
        <v>61</v>
      </c>
      <c r="E257" s="1" t="s">
        <v>43</v>
      </c>
      <c r="F257" s="1">
        <v>46</v>
      </c>
      <c r="G257" s="1" t="s">
        <v>134</v>
      </c>
      <c r="H257" s="1" t="s">
        <v>31</v>
      </c>
      <c r="I257" s="1" t="s">
        <v>134</v>
      </c>
      <c r="J257" s="1" t="s">
        <v>75</v>
      </c>
      <c r="K257" s="1">
        <v>4</v>
      </c>
      <c r="L257" s="1">
        <v>26827</v>
      </c>
      <c r="M257" s="1">
        <v>5</v>
      </c>
      <c r="N257" s="1">
        <v>5365.4</v>
      </c>
      <c r="O257" s="1">
        <v>18349.669999999998</v>
      </c>
      <c r="P257" s="1">
        <v>70</v>
      </c>
      <c r="Q257" s="1">
        <v>120362.27</v>
      </c>
      <c r="R257" s="1" t="s">
        <v>54</v>
      </c>
      <c r="S257" s="1" t="s">
        <v>34</v>
      </c>
      <c r="T257" s="1" t="s">
        <v>84</v>
      </c>
      <c r="U257" s="1" t="s">
        <v>85</v>
      </c>
      <c r="V257" s="1" t="s">
        <v>86</v>
      </c>
      <c r="W257" s="1">
        <v>5</v>
      </c>
      <c r="X257" s="1" t="s">
        <v>38</v>
      </c>
      <c r="Y257" s="1">
        <v>2</v>
      </c>
      <c r="Z257" s="1" t="s">
        <v>91</v>
      </c>
    </row>
    <row r="258" spans="1:26" x14ac:dyDescent="0.3">
      <c r="A258" s="1" t="s">
        <v>567</v>
      </c>
      <c r="B258" s="2">
        <v>45876</v>
      </c>
      <c r="C258" s="1" t="s">
        <v>568</v>
      </c>
      <c r="D258" s="1" t="s">
        <v>89</v>
      </c>
      <c r="E258" s="1" t="s">
        <v>29</v>
      </c>
      <c r="F258" s="1">
        <v>44</v>
      </c>
      <c r="G258" s="1" t="s">
        <v>99</v>
      </c>
      <c r="H258" s="1" t="s">
        <v>52</v>
      </c>
      <c r="I258" s="1" t="s">
        <v>99</v>
      </c>
      <c r="J258" s="1" t="s">
        <v>75</v>
      </c>
      <c r="K258" s="1">
        <v>4</v>
      </c>
      <c r="L258" s="1">
        <v>20044</v>
      </c>
      <c r="M258" s="1">
        <v>10</v>
      </c>
      <c r="N258" s="1">
        <v>8017.6</v>
      </c>
      <c r="O258" s="1">
        <v>12988.51</v>
      </c>
      <c r="P258" s="1">
        <v>449</v>
      </c>
      <c r="Q258" s="1">
        <v>85595.91</v>
      </c>
      <c r="R258" s="1" t="s">
        <v>45</v>
      </c>
      <c r="S258" s="1" t="s">
        <v>63</v>
      </c>
      <c r="T258" s="1" t="s">
        <v>103</v>
      </c>
      <c r="U258" s="1" t="s">
        <v>103</v>
      </c>
      <c r="V258" s="1" t="s">
        <v>57</v>
      </c>
      <c r="W258" s="1">
        <v>4</v>
      </c>
      <c r="X258" s="1" t="s">
        <v>47</v>
      </c>
      <c r="Y258" s="1">
        <v>5</v>
      </c>
      <c r="Z258" s="1" t="s">
        <v>58</v>
      </c>
    </row>
    <row r="259" spans="1:26" x14ac:dyDescent="0.3">
      <c r="A259" s="1" t="s">
        <v>569</v>
      </c>
      <c r="B259" s="2">
        <v>45934</v>
      </c>
      <c r="C259" s="1" t="s">
        <v>570</v>
      </c>
      <c r="D259" s="1" t="s">
        <v>108</v>
      </c>
      <c r="E259" s="1" t="s">
        <v>29</v>
      </c>
      <c r="F259" s="1">
        <v>60</v>
      </c>
      <c r="G259" s="1" t="s">
        <v>139</v>
      </c>
      <c r="H259" s="1" t="s">
        <v>31</v>
      </c>
      <c r="I259" s="1" t="s">
        <v>139</v>
      </c>
      <c r="J259" s="1" t="s">
        <v>201</v>
      </c>
      <c r="K259" s="1">
        <v>5</v>
      </c>
      <c r="L259" s="1">
        <v>2751</v>
      </c>
      <c r="M259" s="1">
        <v>20</v>
      </c>
      <c r="N259" s="1">
        <v>2751</v>
      </c>
      <c r="O259" s="1">
        <v>1980.72</v>
      </c>
      <c r="P259" s="1">
        <v>347</v>
      </c>
      <c r="Q259" s="1">
        <v>13331.72</v>
      </c>
      <c r="R259" s="1" t="s">
        <v>33</v>
      </c>
      <c r="S259" s="1" t="s">
        <v>34</v>
      </c>
      <c r="T259" s="1" t="s">
        <v>84</v>
      </c>
      <c r="U259" s="1" t="s">
        <v>85</v>
      </c>
      <c r="V259" s="1" t="s">
        <v>86</v>
      </c>
      <c r="W259" s="1">
        <v>5</v>
      </c>
      <c r="X259" s="1" t="s">
        <v>38</v>
      </c>
      <c r="Y259" s="1">
        <v>5</v>
      </c>
      <c r="Z259" s="1" t="s">
        <v>39</v>
      </c>
    </row>
    <row r="260" spans="1:26" x14ac:dyDescent="0.3">
      <c r="A260" s="1" t="s">
        <v>571</v>
      </c>
      <c r="B260" s="2">
        <v>46001</v>
      </c>
      <c r="C260" s="1" t="s">
        <v>572</v>
      </c>
      <c r="D260" s="1" t="s">
        <v>50</v>
      </c>
      <c r="E260" s="1" t="s">
        <v>29</v>
      </c>
      <c r="F260" s="1">
        <v>28</v>
      </c>
      <c r="G260" s="1" t="s">
        <v>30</v>
      </c>
      <c r="H260" s="1" t="s">
        <v>31</v>
      </c>
      <c r="I260" s="1" t="s">
        <v>30</v>
      </c>
      <c r="J260" s="1" t="s">
        <v>150</v>
      </c>
      <c r="K260" s="1">
        <v>4</v>
      </c>
      <c r="L260" s="1">
        <v>5599</v>
      </c>
      <c r="M260" s="1">
        <v>20</v>
      </c>
      <c r="N260" s="1">
        <v>4479.2</v>
      </c>
      <c r="O260" s="1">
        <v>3225.02</v>
      </c>
      <c r="P260" s="1">
        <v>479</v>
      </c>
      <c r="Q260" s="1">
        <v>21620.82</v>
      </c>
      <c r="R260" s="1" t="s">
        <v>33</v>
      </c>
      <c r="S260" s="1" t="s">
        <v>34</v>
      </c>
      <c r="T260" s="1" t="s">
        <v>84</v>
      </c>
      <c r="U260" s="1" t="s">
        <v>85</v>
      </c>
      <c r="V260" s="1" t="s">
        <v>86</v>
      </c>
      <c r="W260" s="1">
        <v>4</v>
      </c>
      <c r="X260" s="1" t="s">
        <v>47</v>
      </c>
      <c r="Y260" s="1">
        <v>5</v>
      </c>
      <c r="Z260" s="1" t="s">
        <v>91</v>
      </c>
    </row>
    <row r="261" spans="1:26" x14ac:dyDescent="0.3">
      <c r="A261" s="1" t="s">
        <v>573</v>
      </c>
      <c r="B261" s="2">
        <v>45937</v>
      </c>
      <c r="C261" s="1" t="s">
        <v>574</v>
      </c>
      <c r="D261" s="1" t="s">
        <v>61</v>
      </c>
      <c r="E261" s="1" t="s">
        <v>43</v>
      </c>
      <c r="F261" s="1">
        <v>42</v>
      </c>
      <c r="G261" s="1" t="s">
        <v>51</v>
      </c>
      <c r="H261" s="1" t="s">
        <v>52</v>
      </c>
      <c r="I261" s="1" t="s">
        <v>51</v>
      </c>
      <c r="J261" s="1" t="s">
        <v>201</v>
      </c>
      <c r="K261" s="1">
        <v>1</v>
      </c>
      <c r="L261" s="1">
        <v>13659</v>
      </c>
      <c r="M261" s="1">
        <v>20</v>
      </c>
      <c r="N261" s="1">
        <v>2731.8</v>
      </c>
      <c r="O261" s="1">
        <v>1966.9</v>
      </c>
      <c r="P261" s="1">
        <v>370</v>
      </c>
      <c r="Q261" s="1">
        <v>13264.1</v>
      </c>
      <c r="R261" s="1" t="s">
        <v>54</v>
      </c>
      <c r="S261" s="1" t="s">
        <v>63</v>
      </c>
      <c r="T261" s="1" t="s">
        <v>46</v>
      </c>
      <c r="U261" s="1" t="s">
        <v>36</v>
      </c>
      <c r="V261" s="1" t="s">
        <v>37</v>
      </c>
      <c r="W261" s="1">
        <v>2</v>
      </c>
      <c r="X261" s="1" t="s">
        <v>38</v>
      </c>
      <c r="Y261" s="1">
        <v>1</v>
      </c>
      <c r="Z261" s="1" t="s">
        <v>91</v>
      </c>
    </row>
    <row r="262" spans="1:26" x14ac:dyDescent="0.3">
      <c r="A262" s="1" t="s">
        <v>575</v>
      </c>
      <c r="B262" s="2">
        <v>46034</v>
      </c>
      <c r="C262" s="1" t="s">
        <v>576</v>
      </c>
      <c r="D262" s="1" t="s">
        <v>108</v>
      </c>
      <c r="E262" s="1" t="s">
        <v>29</v>
      </c>
      <c r="F262" s="1">
        <v>41</v>
      </c>
      <c r="G262" s="1" t="s">
        <v>94</v>
      </c>
      <c r="H262" s="1" t="s">
        <v>31</v>
      </c>
      <c r="I262" s="1" t="s">
        <v>94</v>
      </c>
      <c r="J262" s="1" t="s">
        <v>125</v>
      </c>
      <c r="K262" s="1">
        <v>3</v>
      </c>
      <c r="L262" s="1">
        <v>35927</v>
      </c>
      <c r="M262" s="1">
        <v>15</v>
      </c>
      <c r="N262" s="1">
        <v>16167.15</v>
      </c>
      <c r="O262" s="1">
        <v>16490.490000000002</v>
      </c>
      <c r="P262" s="1">
        <v>110</v>
      </c>
      <c r="Q262" s="1">
        <v>108214.34</v>
      </c>
      <c r="R262" s="1" t="s">
        <v>45</v>
      </c>
      <c r="S262" s="1" t="s">
        <v>34</v>
      </c>
      <c r="T262" s="1" t="s">
        <v>55</v>
      </c>
      <c r="U262" s="1" t="s">
        <v>56</v>
      </c>
      <c r="V262" s="1" t="s">
        <v>57</v>
      </c>
      <c r="W262" s="1">
        <v>1</v>
      </c>
      <c r="X262" s="1" t="s">
        <v>38</v>
      </c>
      <c r="Y262" s="1">
        <v>2</v>
      </c>
      <c r="Z262" s="1" t="s">
        <v>39</v>
      </c>
    </row>
    <row r="263" spans="1:26" x14ac:dyDescent="0.3">
      <c r="A263" s="1" t="s">
        <v>577</v>
      </c>
      <c r="B263" s="2">
        <v>45870</v>
      </c>
      <c r="C263" s="1" t="s">
        <v>578</v>
      </c>
      <c r="D263" s="1" t="s">
        <v>28</v>
      </c>
      <c r="E263" s="1" t="s">
        <v>29</v>
      </c>
      <c r="F263" s="1">
        <v>51</v>
      </c>
      <c r="G263" s="1" t="s">
        <v>51</v>
      </c>
      <c r="H263" s="1" t="s">
        <v>52</v>
      </c>
      <c r="I263" s="1" t="s">
        <v>51</v>
      </c>
      <c r="J263" s="1" t="s">
        <v>125</v>
      </c>
      <c r="K263" s="1">
        <v>2</v>
      </c>
      <c r="L263" s="1">
        <v>8718</v>
      </c>
      <c r="M263" s="1">
        <v>5</v>
      </c>
      <c r="N263" s="1">
        <v>871.8</v>
      </c>
      <c r="O263" s="1">
        <v>2981.56</v>
      </c>
      <c r="P263" s="1">
        <v>320</v>
      </c>
      <c r="Q263" s="1">
        <v>19865.759999999998</v>
      </c>
      <c r="R263" s="1" t="s">
        <v>54</v>
      </c>
      <c r="S263" s="1" t="s">
        <v>34</v>
      </c>
      <c r="T263" s="1" t="s">
        <v>55</v>
      </c>
      <c r="U263" s="1" t="s">
        <v>56</v>
      </c>
      <c r="V263" s="1" t="s">
        <v>57</v>
      </c>
      <c r="W263" s="1">
        <v>9</v>
      </c>
      <c r="X263" s="1" t="s">
        <v>38</v>
      </c>
      <c r="Y263" s="1">
        <v>3</v>
      </c>
      <c r="Z263" s="1" t="s">
        <v>58</v>
      </c>
    </row>
    <row r="264" spans="1:26" x14ac:dyDescent="0.3">
      <c r="A264" s="1" t="s">
        <v>579</v>
      </c>
      <c r="B264" s="2">
        <v>45943</v>
      </c>
      <c r="C264" s="1" t="s">
        <v>580</v>
      </c>
      <c r="D264" s="1" t="s">
        <v>89</v>
      </c>
      <c r="E264" s="1" t="s">
        <v>29</v>
      </c>
      <c r="F264" s="1">
        <v>50</v>
      </c>
      <c r="G264" s="1" t="s">
        <v>94</v>
      </c>
      <c r="H264" s="1" t="s">
        <v>31</v>
      </c>
      <c r="I264" s="1" t="s">
        <v>94</v>
      </c>
      <c r="J264" s="1" t="s">
        <v>150</v>
      </c>
      <c r="K264" s="1">
        <v>4</v>
      </c>
      <c r="L264" s="1">
        <v>10032</v>
      </c>
      <c r="M264" s="1">
        <v>5</v>
      </c>
      <c r="N264" s="1">
        <v>2006.4</v>
      </c>
      <c r="O264" s="1">
        <v>6861.89</v>
      </c>
      <c r="P264" s="1">
        <v>42</v>
      </c>
      <c r="Q264" s="1">
        <v>45025.49</v>
      </c>
      <c r="R264" s="1" t="s">
        <v>33</v>
      </c>
      <c r="S264" s="1" t="s">
        <v>34</v>
      </c>
      <c r="T264" s="1" t="s">
        <v>70</v>
      </c>
      <c r="U264" s="1" t="s">
        <v>56</v>
      </c>
      <c r="V264" s="1" t="s">
        <v>57</v>
      </c>
      <c r="W264" s="1">
        <v>3</v>
      </c>
      <c r="X264" s="1" t="s">
        <v>38</v>
      </c>
      <c r="Y264" s="1">
        <v>3</v>
      </c>
      <c r="Z264" s="1" t="s">
        <v>47</v>
      </c>
    </row>
    <row r="265" spans="1:26" x14ac:dyDescent="0.3">
      <c r="A265" s="1" t="s">
        <v>581</v>
      </c>
      <c r="B265" s="2">
        <v>46033</v>
      </c>
      <c r="C265" s="1" t="s">
        <v>582</v>
      </c>
      <c r="D265" s="1" t="s">
        <v>42</v>
      </c>
      <c r="E265" s="1" t="s">
        <v>43</v>
      </c>
      <c r="F265" s="1">
        <v>59</v>
      </c>
      <c r="G265" s="1" t="s">
        <v>90</v>
      </c>
      <c r="H265" s="1" t="s">
        <v>31</v>
      </c>
      <c r="I265" s="1" t="s">
        <v>90</v>
      </c>
      <c r="J265" s="1" t="s">
        <v>32</v>
      </c>
      <c r="K265" s="1">
        <v>4</v>
      </c>
      <c r="L265" s="1">
        <v>9542</v>
      </c>
      <c r="M265" s="1">
        <v>20</v>
      </c>
      <c r="N265" s="1">
        <v>7633.6</v>
      </c>
      <c r="O265" s="1">
        <v>5496.19</v>
      </c>
      <c r="P265" s="1">
        <v>372</v>
      </c>
      <c r="Q265" s="1">
        <v>36402.589999999997</v>
      </c>
      <c r="R265" s="1" t="s">
        <v>45</v>
      </c>
      <c r="S265" s="1" t="s">
        <v>63</v>
      </c>
      <c r="T265" s="1" t="s">
        <v>95</v>
      </c>
      <c r="U265" s="1" t="s">
        <v>96</v>
      </c>
      <c r="V265" s="1" t="s">
        <v>57</v>
      </c>
      <c r="W265" s="1">
        <v>10</v>
      </c>
      <c r="X265" s="1" t="s">
        <v>47</v>
      </c>
      <c r="Y265" s="1">
        <v>3</v>
      </c>
      <c r="Z265" s="1" t="s">
        <v>91</v>
      </c>
    </row>
    <row r="266" spans="1:26" x14ac:dyDescent="0.3">
      <c r="A266" s="1" t="s">
        <v>583</v>
      </c>
      <c r="B266" s="2">
        <v>46009</v>
      </c>
      <c r="C266" s="1" t="s">
        <v>332</v>
      </c>
      <c r="D266" s="1" t="s">
        <v>111</v>
      </c>
      <c r="E266" s="1" t="s">
        <v>29</v>
      </c>
      <c r="F266" s="1">
        <v>41</v>
      </c>
      <c r="G266" s="1" t="s">
        <v>74</v>
      </c>
      <c r="H266" s="1" t="s">
        <v>31</v>
      </c>
      <c r="I266" s="1" t="s">
        <v>74</v>
      </c>
      <c r="J266" s="1" t="s">
        <v>150</v>
      </c>
      <c r="K266" s="1">
        <v>1</v>
      </c>
      <c r="L266" s="1">
        <v>9992</v>
      </c>
      <c r="M266" s="1">
        <v>10</v>
      </c>
      <c r="N266" s="1">
        <v>999.2</v>
      </c>
      <c r="O266" s="1">
        <v>1618.7</v>
      </c>
      <c r="P266" s="1">
        <v>323</v>
      </c>
      <c r="Q266" s="1">
        <v>10934.5</v>
      </c>
      <c r="R266" s="1" t="s">
        <v>33</v>
      </c>
      <c r="S266" s="1" t="s">
        <v>63</v>
      </c>
      <c r="T266" s="1" t="s">
        <v>103</v>
      </c>
      <c r="U266" s="1" t="s">
        <v>103</v>
      </c>
      <c r="V266" s="1" t="s">
        <v>57</v>
      </c>
      <c r="W266" s="1">
        <v>10</v>
      </c>
      <c r="X266" s="1" t="s">
        <v>47</v>
      </c>
      <c r="Y266" s="1">
        <v>4</v>
      </c>
      <c r="Z266" s="1" t="s">
        <v>58</v>
      </c>
    </row>
    <row r="267" spans="1:26" x14ac:dyDescent="0.3">
      <c r="A267" s="1" t="s">
        <v>584</v>
      </c>
      <c r="B267" s="2">
        <v>45940</v>
      </c>
      <c r="C267" s="1" t="s">
        <v>585</v>
      </c>
      <c r="D267" s="1" t="s">
        <v>108</v>
      </c>
      <c r="E267" s="1" t="s">
        <v>43</v>
      </c>
      <c r="F267" s="1">
        <v>25</v>
      </c>
      <c r="G267" s="1" t="s">
        <v>67</v>
      </c>
      <c r="H267" s="1" t="s">
        <v>68</v>
      </c>
      <c r="I267" s="1" t="s">
        <v>67</v>
      </c>
      <c r="J267" s="1" t="s">
        <v>112</v>
      </c>
      <c r="K267" s="1">
        <v>2</v>
      </c>
      <c r="L267" s="1">
        <v>2594</v>
      </c>
      <c r="M267" s="1">
        <v>5</v>
      </c>
      <c r="N267" s="1">
        <v>259.39999999999998</v>
      </c>
      <c r="O267" s="1">
        <v>887.15</v>
      </c>
      <c r="P267" s="1">
        <v>259</v>
      </c>
      <c r="Q267" s="1">
        <v>6074.75</v>
      </c>
      <c r="R267" s="1" t="s">
        <v>83</v>
      </c>
      <c r="S267" s="1" t="s">
        <v>34</v>
      </c>
      <c r="T267" s="1" t="s">
        <v>76</v>
      </c>
      <c r="U267" s="1" t="s">
        <v>77</v>
      </c>
      <c r="V267" s="1" t="s">
        <v>57</v>
      </c>
      <c r="W267" s="1">
        <v>10</v>
      </c>
      <c r="X267" s="1" t="s">
        <v>47</v>
      </c>
      <c r="Y267" s="1">
        <v>5</v>
      </c>
      <c r="Z267" s="1" t="s">
        <v>47</v>
      </c>
    </row>
    <row r="268" spans="1:26" x14ac:dyDescent="0.3">
      <c r="A268" s="1" t="s">
        <v>586</v>
      </c>
      <c r="B268" s="2">
        <v>46121</v>
      </c>
      <c r="C268" s="1" t="s">
        <v>587</v>
      </c>
      <c r="D268" s="1" t="s">
        <v>80</v>
      </c>
      <c r="E268" s="1" t="s">
        <v>43</v>
      </c>
      <c r="F268" s="1">
        <v>27</v>
      </c>
      <c r="G268" s="1" t="s">
        <v>51</v>
      </c>
      <c r="H268" s="1" t="s">
        <v>52</v>
      </c>
      <c r="I268" s="1" t="s">
        <v>51</v>
      </c>
      <c r="J268" s="1" t="s">
        <v>75</v>
      </c>
      <c r="K268" s="1">
        <v>3</v>
      </c>
      <c r="L268" s="1">
        <v>33711</v>
      </c>
      <c r="M268" s="1">
        <v>15</v>
      </c>
      <c r="N268" s="1">
        <v>15169.95</v>
      </c>
      <c r="O268" s="1">
        <v>15473.35</v>
      </c>
      <c r="P268" s="1">
        <v>84</v>
      </c>
      <c r="Q268" s="1">
        <v>101520.4</v>
      </c>
      <c r="R268" s="1" t="s">
        <v>33</v>
      </c>
      <c r="S268" s="1" t="s">
        <v>34</v>
      </c>
      <c r="T268" s="1" t="s">
        <v>84</v>
      </c>
      <c r="U268" s="1" t="s">
        <v>85</v>
      </c>
      <c r="V268" s="1" t="s">
        <v>86</v>
      </c>
      <c r="W268" s="1">
        <v>6</v>
      </c>
      <c r="X268" s="1" t="s">
        <v>47</v>
      </c>
      <c r="Y268" s="1">
        <v>5</v>
      </c>
      <c r="Z268" s="1" t="s">
        <v>39</v>
      </c>
    </row>
    <row r="269" spans="1:26" x14ac:dyDescent="0.3">
      <c r="A269" s="1" t="s">
        <v>588</v>
      </c>
      <c r="B269" s="2">
        <v>45821</v>
      </c>
      <c r="C269" s="1" t="s">
        <v>145</v>
      </c>
      <c r="D269" s="1" t="s">
        <v>66</v>
      </c>
      <c r="E269" s="1" t="s">
        <v>29</v>
      </c>
      <c r="F269" s="1">
        <v>41</v>
      </c>
      <c r="G269" s="1" t="s">
        <v>94</v>
      </c>
      <c r="H269" s="1" t="s">
        <v>31</v>
      </c>
      <c r="I269" s="1" t="s">
        <v>94</v>
      </c>
      <c r="J269" s="1" t="s">
        <v>62</v>
      </c>
      <c r="K269" s="1">
        <v>5</v>
      </c>
      <c r="L269" s="1">
        <v>28384</v>
      </c>
      <c r="M269" s="1">
        <v>20</v>
      </c>
      <c r="N269" s="1">
        <v>28384</v>
      </c>
      <c r="O269" s="1">
        <v>20436.48</v>
      </c>
      <c r="P269" s="1">
        <v>302</v>
      </c>
      <c r="Q269" s="1">
        <v>134274.48000000001</v>
      </c>
      <c r="R269" s="1" t="s">
        <v>33</v>
      </c>
      <c r="S269" s="1" t="s">
        <v>63</v>
      </c>
      <c r="T269" s="1" t="s">
        <v>76</v>
      </c>
      <c r="U269" s="1" t="s">
        <v>77</v>
      </c>
      <c r="V269" s="1" t="s">
        <v>57</v>
      </c>
      <c r="W269" s="1">
        <v>7</v>
      </c>
      <c r="X269" s="1" t="s">
        <v>38</v>
      </c>
      <c r="Y269" s="1">
        <v>3</v>
      </c>
      <c r="Z269" s="1" t="s">
        <v>47</v>
      </c>
    </row>
    <row r="270" spans="1:26" x14ac:dyDescent="0.3">
      <c r="A270" s="1" t="s">
        <v>589</v>
      </c>
      <c r="B270" s="2">
        <v>46092</v>
      </c>
      <c r="C270" s="1" t="s">
        <v>590</v>
      </c>
      <c r="D270" s="1" t="s">
        <v>89</v>
      </c>
      <c r="E270" s="1" t="s">
        <v>43</v>
      </c>
      <c r="F270" s="1">
        <v>29</v>
      </c>
      <c r="G270" s="1" t="s">
        <v>51</v>
      </c>
      <c r="H270" s="1" t="s">
        <v>52</v>
      </c>
      <c r="I270" s="1" t="s">
        <v>51</v>
      </c>
      <c r="J270" s="1" t="s">
        <v>69</v>
      </c>
      <c r="K270" s="1">
        <v>3</v>
      </c>
      <c r="L270" s="1">
        <v>35019</v>
      </c>
      <c r="M270" s="1">
        <v>15</v>
      </c>
      <c r="N270" s="1">
        <v>15758.55</v>
      </c>
      <c r="O270" s="1">
        <v>16073.72</v>
      </c>
      <c r="P270" s="1">
        <v>151</v>
      </c>
      <c r="Q270" s="1">
        <v>105523.17</v>
      </c>
      <c r="R270" s="1" t="s">
        <v>83</v>
      </c>
      <c r="S270" s="1" t="s">
        <v>63</v>
      </c>
      <c r="T270" s="1" t="s">
        <v>103</v>
      </c>
      <c r="U270" s="1" t="s">
        <v>103</v>
      </c>
      <c r="V270" s="1" t="s">
        <v>57</v>
      </c>
      <c r="W270" s="1">
        <v>3</v>
      </c>
      <c r="X270" s="1" t="s">
        <v>38</v>
      </c>
      <c r="Y270" s="1">
        <v>5</v>
      </c>
      <c r="Z270" s="1" t="s">
        <v>58</v>
      </c>
    </row>
    <row r="271" spans="1:26" x14ac:dyDescent="0.3">
      <c r="A271" s="1" t="s">
        <v>591</v>
      </c>
      <c r="B271" s="2">
        <v>45800</v>
      </c>
      <c r="C271" s="1" t="s">
        <v>592</v>
      </c>
      <c r="D271" s="1" t="s">
        <v>108</v>
      </c>
      <c r="E271" s="1" t="s">
        <v>43</v>
      </c>
      <c r="F271" s="1">
        <v>59</v>
      </c>
      <c r="G271" s="1" t="s">
        <v>30</v>
      </c>
      <c r="H271" s="1" t="s">
        <v>31</v>
      </c>
      <c r="I271" s="1" t="s">
        <v>30</v>
      </c>
      <c r="J271" s="1" t="s">
        <v>32</v>
      </c>
      <c r="K271" s="1">
        <v>3</v>
      </c>
      <c r="L271" s="1">
        <v>19289</v>
      </c>
      <c r="M271" s="1">
        <v>10</v>
      </c>
      <c r="N271" s="1">
        <v>5786.7</v>
      </c>
      <c r="O271" s="1">
        <v>9374.4500000000007</v>
      </c>
      <c r="P271" s="1">
        <v>261</v>
      </c>
      <c r="Q271" s="1">
        <v>61715.75</v>
      </c>
      <c r="R271" s="1" t="s">
        <v>33</v>
      </c>
      <c r="S271" s="1" t="s">
        <v>34</v>
      </c>
      <c r="T271" s="1" t="s">
        <v>46</v>
      </c>
      <c r="U271" s="1" t="s">
        <v>36</v>
      </c>
      <c r="V271" s="1" t="s">
        <v>37</v>
      </c>
      <c r="W271" s="1">
        <v>4</v>
      </c>
      <c r="X271" s="1" t="s">
        <v>38</v>
      </c>
      <c r="Y271" s="1">
        <v>3</v>
      </c>
      <c r="Z271" s="1" t="s">
        <v>39</v>
      </c>
    </row>
    <row r="272" spans="1:26" x14ac:dyDescent="0.3">
      <c r="A272" s="1" t="s">
        <v>593</v>
      </c>
      <c r="B272" s="2">
        <v>46015</v>
      </c>
      <c r="C272" s="1" t="s">
        <v>423</v>
      </c>
      <c r="D272" s="1" t="s">
        <v>66</v>
      </c>
      <c r="E272" s="1" t="s">
        <v>29</v>
      </c>
      <c r="F272" s="1">
        <v>44</v>
      </c>
      <c r="G272" s="1" t="s">
        <v>99</v>
      </c>
      <c r="H272" s="1" t="s">
        <v>52</v>
      </c>
      <c r="I272" s="1" t="s">
        <v>99</v>
      </c>
      <c r="J272" s="1" t="s">
        <v>62</v>
      </c>
      <c r="K272" s="1">
        <v>4</v>
      </c>
      <c r="L272" s="1">
        <v>47723</v>
      </c>
      <c r="M272" s="1">
        <v>10</v>
      </c>
      <c r="N272" s="1">
        <v>19089.2</v>
      </c>
      <c r="O272" s="1">
        <v>30924.5</v>
      </c>
      <c r="P272" s="1">
        <v>497</v>
      </c>
      <c r="Q272" s="1">
        <v>203224.3</v>
      </c>
      <c r="R272" s="1" t="s">
        <v>83</v>
      </c>
      <c r="S272" s="1" t="s">
        <v>63</v>
      </c>
      <c r="T272" s="1" t="s">
        <v>35</v>
      </c>
      <c r="U272" s="1" t="s">
        <v>36</v>
      </c>
      <c r="V272" s="1" t="s">
        <v>37</v>
      </c>
      <c r="W272" s="1">
        <v>8</v>
      </c>
      <c r="X272" s="1" t="s">
        <v>38</v>
      </c>
      <c r="Y272" s="1">
        <v>1</v>
      </c>
      <c r="Z272" s="1" t="s">
        <v>39</v>
      </c>
    </row>
    <row r="273" spans="1:26" x14ac:dyDescent="0.3">
      <c r="A273" s="1" t="s">
        <v>594</v>
      </c>
      <c r="B273" s="2">
        <v>46001</v>
      </c>
      <c r="C273" s="1" t="s">
        <v>417</v>
      </c>
      <c r="D273" s="1" t="s">
        <v>50</v>
      </c>
      <c r="E273" s="1" t="s">
        <v>29</v>
      </c>
      <c r="F273" s="1">
        <v>44</v>
      </c>
      <c r="G273" s="1" t="s">
        <v>44</v>
      </c>
      <c r="H273" s="1" t="s">
        <v>31</v>
      </c>
      <c r="I273" s="1" t="s">
        <v>44</v>
      </c>
      <c r="J273" s="1" t="s">
        <v>53</v>
      </c>
      <c r="K273" s="1">
        <v>5</v>
      </c>
      <c r="L273" s="1">
        <v>36579</v>
      </c>
      <c r="M273" s="1">
        <v>5</v>
      </c>
      <c r="N273" s="1">
        <v>9144.75</v>
      </c>
      <c r="O273" s="1">
        <v>31275.040000000001</v>
      </c>
      <c r="P273" s="1">
        <v>326</v>
      </c>
      <c r="Q273" s="1">
        <v>205351.29</v>
      </c>
      <c r="R273" s="1" t="s">
        <v>83</v>
      </c>
      <c r="S273" s="1" t="s">
        <v>63</v>
      </c>
      <c r="T273" s="1" t="s">
        <v>95</v>
      </c>
      <c r="U273" s="1" t="s">
        <v>96</v>
      </c>
      <c r="V273" s="1" t="s">
        <v>57</v>
      </c>
      <c r="W273" s="1">
        <v>4</v>
      </c>
      <c r="X273" s="1" t="s">
        <v>38</v>
      </c>
      <c r="Y273" s="1">
        <v>4</v>
      </c>
      <c r="Z273" s="1" t="s">
        <v>58</v>
      </c>
    </row>
    <row r="274" spans="1:26" x14ac:dyDescent="0.3">
      <c r="A274" s="1" t="s">
        <v>595</v>
      </c>
      <c r="B274" s="2">
        <v>46085</v>
      </c>
      <c r="C274" s="1" t="s">
        <v>596</v>
      </c>
      <c r="D274" s="1" t="s">
        <v>61</v>
      </c>
      <c r="E274" s="1" t="s">
        <v>43</v>
      </c>
      <c r="F274" s="1">
        <v>28</v>
      </c>
      <c r="G274" s="1" t="s">
        <v>30</v>
      </c>
      <c r="H274" s="1" t="s">
        <v>31</v>
      </c>
      <c r="I274" s="1" t="s">
        <v>30</v>
      </c>
      <c r="J274" s="1" t="s">
        <v>150</v>
      </c>
      <c r="K274" s="1">
        <v>2</v>
      </c>
      <c r="L274" s="1">
        <v>30501</v>
      </c>
      <c r="M274" s="1">
        <v>10</v>
      </c>
      <c r="N274" s="1">
        <v>6100.2</v>
      </c>
      <c r="O274" s="1">
        <v>9882.32</v>
      </c>
      <c r="P274" s="1">
        <v>215</v>
      </c>
      <c r="Q274" s="1">
        <v>64999.12</v>
      </c>
      <c r="R274" s="1" t="s">
        <v>54</v>
      </c>
      <c r="S274" s="1" t="s">
        <v>63</v>
      </c>
      <c r="T274" s="1" t="s">
        <v>95</v>
      </c>
      <c r="U274" s="1" t="s">
        <v>96</v>
      </c>
      <c r="V274" s="1" t="s">
        <v>57</v>
      </c>
      <c r="W274" s="1">
        <v>8</v>
      </c>
      <c r="X274" s="1" t="s">
        <v>38</v>
      </c>
      <c r="Y274" s="1">
        <v>2</v>
      </c>
      <c r="Z274" s="1" t="s">
        <v>47</v>
      </c>
    </row>
    <row r="275" spans="1:26" x14ac:dyDescent="0.3">
      <c r="A275" s="1" t="s">
        <v>597</v>
      </c>
      <c r="B275" s="2">
        <v>45908</v>
      </c>
      <c r="C275" s="1" t="s">
        <v>598</v>
      </c>
      <c r="D275" s="1" t="s">
        <v>42</v>
      </c>
      <c r="E275" s="1" t="s">
        <v>29</v>
      </c>
      <c r="F275" s="1">
        <v>19</v>
      </c>
      <c r="G275" s="1" t="s">
        <v>44</v>
      </c>
      <c r="H275" s="1" t="s">
        <v>31</v>
      </c>
      <c r="I275" s="1" t="s">
        <v>44</v>
      </c>
      <c r="J275" s="1" t="s">
        <v>75</v>
      </c>
      <c r="K275" s="1">
        <v>3</v>
      </c>
      <c r="L275" s="1">
        <v>35905</v>
      </c>
      <c r="M275" s="1">
        <v>20</v>
      </c>
      <c r="N275" s="1">
        <v>21543</v>
      </c>
      <c r="O275" s="1">
        <v>15510.96</v>
      </c>
      <c r="P275" s="1">
        <v>69</v>
      </c>
      <c r="Q275" s="1">
        <v>101751.96</v>
      </c>
      <c r="R275" s="1" t="s">
        <v>83</v>
      </c>
      <c r="S275" s="1" t="s">
        <v>63</v>
      </c>
      <c r="T275" s="1" t="s">
        <v>84</v>
      </c>
      <c r="U275" s="1" t="s">
        <v>85</v>
      </c>
      <c r="V275" s="1" t="s">
        <v>86</v>
      </c>
      <c r="W275" s="1">
        <v>6</v>
      </c>
      <c r="X275" s="1" t="s">
        <v>38</v>
      </c>
      <c r="Y275" s="1">
        <v>4</v>
      </c>
      <c r="Z275" s="1" t="s">
        <v>47</v>
      </c>
    </row>
    <row r="276" spans="1:26" x14ac:dyDescent="0.3">
      <c r="A276" s="1" t="s">
        <v>599</v>
      </c>
      <c r="B276" s="2">
        <v>45871</v>
      </c>
      <c r="C276" s="1" t="s">
        <v>120</v>
      </c>
      <c r="D276" s="1" t="s">
        <v>111</v>
      </c>
      <c r="E276" s="1" t="s">
        <v>43</v>
      </c>
      <c r="F276" s="1">
        <v>38</v>
      </c>
      <c r="G276" s="1" t="s">
        <v>139</v>
      </c>
      <c r="H276" s="1" t="s">
        <v>31</v>
      </c>
      <c r="I276" s="1" t="s">
        <v>139</v>
      </c>
      <c r="J276" s="1" t="s">
        <v>53</v>
      </c>
      <c r="K276" s="1">
        <v>3</v>
      </c>
      <c r="L276" s="1">
        <v>16019</v>
      </c>
      <c r="M276" s="1">
        <v>10</v>
      </c>
      <c r="N276" s="1">
        <v>4805.7</v>
      </c>
      <c r="O276" s="1">
        <v>7785.23</v>
      </c>
      <c r="P276" s="1">
        <v>9</v>
      </c>
      <c r="Q276" s="1">
        <v>51045.53</v>
      </c>
      <c r="R276" s="1" t="s">
        <v>83</v>
      </c>
      <c r="S276" s="1" t="s">
        <v>63</v>
      </c>
      <c r="T276" s="1" t="s">
        <v>84</v>
      </c>
      <c r="U276" s="1" t="s">
        <v>85</v>
      </c>
      <c r="V276" s="1" t="s">
        <v>86</v>
      </c>
      <c r="W276" s="1">
        <v>4</v>
      </c>
      <c r="X276" s="1" t="s">
        <v>38</v>
      </c>
      <c r="Y276" s="1">
        <v>4</v>
      </c>
      <c r="Z276" s="1" t="s">
        <v>58</v>
      </c>
    </row>
    <row r="277" spans="1:26" x14ac:dyDescent="0.3">
      <c r="A277" s="1" t="s">
        <v>600</v>
      </c>
      <c r="B277" s="2">
        <v>45877</v>
      </c>
      <c r="C277" s="1" t="s">
        <v>601</v>
      </c>
      <c r="D277" s="1" t="s">
        <v>89</v>
      </c>
      <c r="E277" s="1" t="s">
        <v>29</v>
      </c>
      <c r="F277" s="1">
        <v>22</v>
      </c>
      <c r="G277" s="1" t="s">
        <v>94</v>
      </c>
      <c r="H277" s="1" t="s">
        <v>31</v>
      </c>
      <c r="I277" s="1" t="s">
        <v>94</v>
      </c>
      <c r="J277" s="1" t="s">
        <v>53</v>
      </c>
      <c r="K277" s="1">
        <v>4</v>
      </c>
      <c r="L277" s="1">
        <v>19232</v>
      </c>
      <c r="M277" s="1">
        <v>10</v>
      </c>
      <c r="N277" s="1">
        <v>7692.8</v>
      </c>
      <c r="O277" s="1">
        <v>12462.34</v>
      </c>
      <c r="P277" s="1">
        <v>295</v>
      </c>
      <c r="Q277" s="1">
        <v>81992.539999999994</v>
      </c>
      <c r="R277" s="1" t="s">
        <v>54</v>
      </c>
      <c r="S277" s="1" t="s">
        <v>63</v>
      </c>
      <c r="T277" s="1" t="s">
        <v>35</v>
      </c>
      <c r="U277" s="1" t="s">
        <v>36</v>
      </c>
      <c r="V277" s="1" t="s">
        <v>37</v>
      </c>
      <c r="W277" s="1">
        <v>6</v>
      </c>
      <c r="X277" s="1" t="s">
        <v>38</v>
      </c>
      <c r="Y277" s="1">
        <v>5</v>
      </c>
      <c r="Z277" s="1" t="s">
        <v>58</v>
      </c>
    </row>
    <row r="278" spans="1:26" x14ac:dyDescent="0.3">
      <c r="A278" s="1" t="s">
        <v>602</v>
      </c>
      <c r="B278" s="2">
        <v>45978</v>
      </c>
      <c r="C278" s="1" t="s">
        <v>603</v>
      </c>
      <c r="D278" s="1" t="s">
        <v>50</v>
      </c>
      <c r="E278" s="1" t="s">
        <v>29</v>
      </c>
      <c r="F278" s="1">
        <v>57</v>
      </c>
      <c r="G278" s="1" t="s">
        <v>74</v>
      </c>
      <c r="H278" s="1" t="s">
        <v>31</v>
      </c>
      <c r="I278" s="1" t="s">
        <v>74</v>
      </c>
      <c r="J278" s="1" t="s">
        <v>102</v>
      </c>
      <c r="K278" s="1">
        <v>3</v>
      </c>
      <c r="L278" s="1">
        <v>26220</v>
      </c>
      <c r="M278" s="1">
        <v>5</v>
      </c>
      <c r="N278" s="1">
        <v>3933</v>
      </c>
      <c r="O278" s="1">
        <v>13450.86</v>
      </c>
      <c r="P278" s="1">
        <v>337</v>
      </c>
      <c r="Q278" s="1">
        <v>88514.86</v>
      </c>
      <c r="R278" s="1" t="s">
        <v>83</v>
      </c>
      <c r="S278" s="1" t="s">
        <v>34</v>
      </c>
      <c r="T278" s="1" t="s">
        <v>46</v>
      </c>
      <c r="U278" s="1" t="s">
        <v>36</v>
      </c>
      <c r="V278" s="1" t="s">
        <v>37</v>
      </c>
      <c r="W278" s="1">
        <v>9</v>
      </c>
      <c r="X278" s="1" t="s">
        <v>47</v>
      </c>
      <c r="Y278" s="1">
        <v>5</v>
      </c>
      <c r="Z278" s="1" t="s">
        <v>47</v>
      </c>
    </row>
    <row r="279" spans="1:26" x14ac:dyDescent="0.3">
      <c r="A279" s="1" t="s">
        <v>604</v>
      </c>
      <c r="B279" s="2">
        <v>45872</v>
      </c>
      <c r="C279" s="1" t="s">
        <v>118</v>
      </c>
      <c r="D279" s="1" t="s">
        <v>73</v>
      </c>
      <c r="E279" s="1" t="s">
        <v>43</v>
      </c>
      <c r="F279" s="1">
        <v>60</v>
      </c>
      <c r="G279" s="1" t="s">
        <v>30</v>
      </c>
      <c r="H279" s="1" t="s">
        <v>31</v>
      </c>
      <c r="I279" s="1" t="s">
        <v>30</v>
      </c>
      <c r="J279" s="1" t="s">
        <v>150</v>
      </c>
      <c r="K279" s="1">
        <v>2</v>
      </c>
      <c r="L279" s="1">
        <v>8816</v>
      </c>
      <c r="M279" s="1">
        <v>20</v>
      </c>
      <c r="N279" s="1">
        <v>3526.4</v>
      </c>
      <c r="O279" s="1">
        <v>2539.0100000000002</v>
      </c>
      <c r="P279" s="1">
        <v>394</v>
      </c>
      <c r="Q279" s="1">
        <v>17038.61</v>
      </c>
      <c r="R279" s="1" t="s">
        <v>45</v>
      </c>
      <c r="S279" s="1" t="s">
        <v>34</v>
      </c>
      <c r="T279" s="1" t="s">
        <v>46</v>
      </c>
      <c r="U279" s="1" t="s">
        <v>36</v>
      </c>
      <c r="V279" s="1" t="s">
        <v>37</v>
      </c>
      <c r="W279" s="1">
        <v>5</v>
      </c>
      <c r="X279" s="1" t="s">
        <v>38</v>
      </c>
      <c r="Y279" s="1">
        <v>4</v>
      </c>
      <c r="Z279" s="1" t="s">
        <v>47</v>
      </c>
    </row>
    <row r="280" spans="1:26" x14ac:dyDescent="0.3">
      <c r="A280" s="1" t="s">
        <v>605</v>
      </c>
      <c r="B280" s="2">
        <v>45773</v>
      </c>
      <c r="C280" s="1" t="s">
        <v>606</v>
      </c>
      <c r="D280" s="1" t="s">
        <v>80</v>
      </c>
      <c r="E280" s="1" t="s">
        <v>43</v>
      </c>
      <c r="F280" s="1">
        <v>32</v>
      </c>
      <c r="G280" s="1" t="s">
        <v>139</v>
      </c>
      <c r="H280" s="1" t="s">
        <v>31</v>
      </c>
      <c r="I280" s="1" t="s">
        <v>139</v>
      </c>
      <c r="J280" s="1" t="s">
        <v>69</v>
      </c>
      <c r="K280" s="1">
        <v>1</v>
      </c>
      <c r="L280" s="1">
        <v>21091</v>
      </c>
      <c r="M280" s="1">
        <v>10</v>
      </c>
      <c r="N280" s="1">
        <v>2109.1</v>
      </c>
      <c r="O280" s="1">
        <v>3416.74</v>
      </c>
      <c r="P280" s="1">
        <v>177</v>
      </c>
      <c r="Q280" s="1">
        <v>22575.64</v>
      </c>
      <c r="R280" s="1" t="s">
        <v>54</v>
      </c>
      <c r="S280" s="1" t="s">
        <v>63</v>
      </c>
      <c r="T280" s="1" t="s">
        <v>95</v>
      </c>
      <c r="U280" s="1" t="s">
        <v>96</v>
      </c>
      <c r="V280" s="1" t="s">
        <v>57</v>
      </c>
      <c r="W280" s="1">
        <v>1</v>
      </c>
      <c r="X280" s="1" t="s">
        <v>47</v>
      </c>
      <c r="Y280" s="1">
        <v>1</v>
      </c>
      <c r="Z280" s="1" t="s">
        <v>39</v>
      </c>
    </row>
    <row r="281" spans="1:26" x14ac:dyDescent="0.3">
      <c r="A281" s="1" t="s">
        <v>607</v>
      </c>
      <c r="B281" s="2">
        <v>46032</v>
      </c>
      <c r="C281" s="1" t="s">
        <v>538</v>
      </c>
      <c r="D281" s="1" t="s">
        <v>50</v>
      </c>
      <c r="E281" s="1" t="s">
        <v>29</v>
      </c>
      <c r="F281" s="1">
        <v>19</v>
      </c>
      <c r="G281" s="1" t="s">
        <v>94</v>
      </c>
      <c r="H281" s="1" t="s">
        <v>31</v>
      </c>
      <c r="I281" s="1" t="s">
        <v>94</v>
      </c>
      <c r="J281" s="1" t="s">
        <v>69</v>
      </c>
      <c r="K281" s="1">
        <v>2</v>
      </c>
      <c r="L281" s="1">
        <v>46647</v>
      </c>
      <c r="M281" s="1">
        <v>0</v>
      </c>
      <c r="N281" s="1">
        <v>0</v>
      </c>
      <c r="O281" s="1">
        <v>16792.919999999998</v>
      </c>
      <c r="P281" s="1">
        <v>477</v>
      </c>
      <c r="Q281" s="1">
        <v>110563.92</v>
      </c>
      <c r="R281" s="1" t="s">
        <v>33</v>
      </c>
      <c r="S281" s="1" t="s">
        <v>34</v>
      </c>
      <c r="T281" s="1" t="s">
        <v>103</v>
      </c>
      <c r="U281" s="1" t="s">
        <v>103</v>
      </c>
      <c r="V281" s="1" t="s">
        <v>57</v>
      </c>
      <c r="W281" s="1">
        <v>6</v>
      </c>
      <c r="X281" s="1" t="s">
        <v>38</v>
      </c>
      <c r="Y281" s="1">
        <v>2</v>
      </c>
      <c r="Z281" s="1" t="s">
        <v>58</v>
      </c>
    </row>
    <row r="282" spans="1:26" x14ac:dyDescent="0.3">
      <c r="A282" s="1" t="s">
        <v>608</v>
      </c>
      <c r="B282" s="2">
        <v>46042</v>
      </c>
      <c r="C282" s="1" t="s">
        <v>609</v>
      </c>
      <c r="D282" s="1" t="s">
        <v>80</v>
      </c>
      <c r="E282" s="1" t="s">
        <v>43</v>
      </c>
      <c r="F282" s="1">
        <v>57</v>
      </c>
      <c r="G282" s="1" t="s">
        <v>30</v>
      </c>
      <c r="H282" s="1" t="s">
        <v>31</v>
      </c>
      <c r="I282" s="1" t="s">
        <v>30</v>
      </c>
      <c r="J282" s="1" t="s">
        <v>53</v>
      </c>
      <c r="K282" s="1">
        <v>1</v>
      </c>
      <c r="L282" s="1">
        <v>46084</v>
      </c>
      <c r="M282" s="1">
        <v>10</v>
      </c>
      <c r="N282" s="1">
        <v>4608.3999999999996</v>
      </c>
      <c r="O282" s="1">
        <v>7465.61</v>
      </c>
      <c r="P282" s="1">
        <v>166</v>
      </c>
      <c r="Q282" s="1">
        <v>49107.21</v>
      </c>
      <c r="R282" s="1" t="s">
        <v>33</v>
      </c>
      <c r="S282" s="1" t="s">
        <v>63</v>
      </c>
      <c r="T282" s="1" t="s">
        <v>95</v>
      </c>
      <c r="U282" s="1" t="s">
        <v>96</v>
      </c>
      <c r="V282" s="1" t="s">
        <v>57</v>
      </c>
      <c r="W282" s="1">
        <v>4</v>
      </c>
      <c r="X282" s="1" t="s">
        <v>47</v>
      </c>
      <c r="Y282" s="1">
        <v>3</v>
      </c>
      <c r="Z282" s="1" t="s">
        <v>58</v>
      </c>
    </row>
    <row r="283" spans="1:26" x14ac:dyDescent="0.3">
      <c r="A283" s="1" t="s">
        <v>610</v>
      </c>
      <c r="B283" s="2">
        <v>46115</v>
      </c>
      <c r="C283" s="1" t="s">
        <v>611</v>
      </c>
      <c r="D283" s="1" t="s">
        <v>111</v>
      </c>
      <c r="E283" s="1" t="s">
        <v>29</v>
      </c>
      <c r="F283" s="1">
        <v>27</v>
      </c>
      <c r="G283" s="1" t="s">
        <v>90</v>
      </c>
      <c r="H283" s="1" t="s">
        <v>31</v>
      </c>
      <c r="I283" s="1" t="s">
        <v>90</v>
      </c>
      <c r="J283" s="1" t="s">
        <v>53</v>
      </c>
      <c r="K283" s="1">
        <v>2</v>
      </c>
      <c r="L283" s="1">
        <v>13526</v>
      </c>
      <c r="M283" s="1">
        <v>0</v>
      </c>
      <c r="N283" s="1">
        <v>0</v>
      </c>
      <c r="O283" s="1">
        <v>4869.3599999999997</v>
      </c>
      <c r="P283" s="1">
        <v>286</v>
      </c>
      <c r="Q283" s="1">
        <v>32207.360000000001</v>
      </c>
      <c r="R283" s="1" t="s">
        <v>45</v>
      </c>
      <c r="S283" s="1" t="s">
        <v>63</v>
      </c>
      <c r="T283" s="1" t="s">
        <v>95</v>
      </c>
      <c r="U283" s="1" t="s">
        <v>96</v>
      </c>
      <c r="V283" s="1" t="s">
        <v>57</v>
      </c>
      <c r="W283" s="1">
        <v>8</v>
      </c>
      <c r="X283" s="1" t="s">
        <v>38</v>
      </c>
      <c r="Y283" s="1">
        <v>5</v>
      </c>
      <c r="Z283" s="1" t="s">
        <v>39</v>
      </c>
    </row>
    <row r="284" spans="1:26" x14ac:dyDescent="0.3">
      <c r="A284" s="1" t="s">
        <v>612</v>
      </c>
      <c r="B284" s="2">
        <v>45908</v>
      </c>
      <c r="C284" s="1" t="s">
        <v>203</v>
      </c>
      <c r="D284" s="1" t="s">
        <v>73</v>
      </c>
      <c r="E284" s="1" t="s">
        <v>29</v>
      </c>
      <c r="F284" s="1">
        <v>23</v>
      </c>
      <c r="G284" s="1" t="s">
        <v>94</v>
      </c>
      <c r="H284" s="1" t="s">
        <v>31</v>
      </c>
      <c r="I284" s="1" t="s">
        <v>94</v>
      </c>
      <c r="J284" s="1" t="s">
        <v>150</v>
      </c>
      <c r="K284" s="1">
        <v>2</v>
      </c>
      <c r="L284" s="1">
        <v>24594</v>
      </c>
      <c r="M284" s="1">
        <v>15</v>
      </c>
      <c r="N284" s="1">
        <v>7378.2</v>
      </c>
      <c r="O284" s="1">
        <v>7525.76</v>
      </c>
      <c r="P284" s="1">
        <v>423</v>
      </c>
      <c r="Q284" s="1">
        <v>49758.559999999998</v>
      </c>
      <c r="R284" s="1" t="s">
        <v>33</v>
      </c>
      <c r="S284" s="1" t="s">
        <v>34</v>
      </c>
      <c r="T284" s="1" t="s">
        <v>95</v>
      </c>
      <c r="U284" s="1" t="s">
        <v>96</v>
      </c>
      <c r="V284" s="1" t="s">
        <v>57</v>
      </c>
      <c r="W284" s="1">
        <v>5</v>
      </c>
      <c r="X284" s="1" t="s">
        <v>47</v>
      </c>
      <c r="Y284" s="1">
        <v>3</v>
      </c>
      <c r="Z284" s="1" t="s">
        <v>58</v>
      </c>
    </row>
    <row r="285" spans="1:26" x14ac:dyDescent="0.3">
      <c r="A285" s="1" t="s">
        <v>613</v>
      </c>
      <c r="B285" s="2">
        <v>46093</v>
      </c>
      <c r="C285" s="1" t="s">
        <v>614</v>
      </c>
      <c r="D285" s="1" t="s">
        <v>66</v>
      </c>
      <c r="E285" s="1" t="s">
        <v>43</v>
      </c>
      <c r="F285" s="1">
        <v>48</v>
      </c>
      <c r="G285" s="1" t="s">
        <v>74</v>
      </c>
      <c r="H285" s="1" t="s">
        <v>31</v>
      </c>
      <c r="I285" s="1" t="s">
        <v>74</v>
      </c>
      <c r="J285" s="1" t="s">
        <v>53</v>
      </c>
      <c r="K285" s="1">
        <v>1</v>
      </c>
      <c r="L285" s="1">
        <v>8792</v>
      </c>
      <c r="M285" s="1">
        <v>20</v>
      </c>
      <c r="N285" s="1">
        <v>1758.4</v>
      </c>
      <c r="O285" s="1">
        <v>1266.05</v>
      </c>
      <c r="P285" s="1">
        <v>83</v>
      </c>
      <c r="Q285" s="1">
        <v>8382.65</v>
      </c>
      <c r="R285" s="1" t="s">
        <v>33</v>
      </c>
      <c r="S285" s="1" t="s">
        <v>34</v>
      </c>
      <c r="T285" s="1" t="s">
        <v>46</v>
      </c>
      <c r="U285" s="1" t="s">
        <v>36</v>
      </c>
      <c r="V285" s="1" t="s">
        <v>37</v>
      </c>
      <c r="W285" s="1">
        <v>3</v>
      </c>
      <c r="X285" s="1" t="s">
        <v>47</v>
      </c>
      <c r="Y285" s="1">
        <v>2</v>
      </c>
      <c r="Z285" s="1" t="s">
        <v>58</v>
      </c>
    </row>
    <row r="286" spans="1:26" x14ac:dyDescent="0.3">
      <c r="A286" s="1" t="s">
        <v>615</v>
      </c>
      <c r="B286" s="2">
        <v>45830</v>
      </c>
      <c r="C286" s="1" t="s">
        <v>342</v>
      </c>
      <c r="D286" s="1" t="s">
        <v>80</v>
      </c>
      <c r="E286" s="1" t="s">
        <v>29</v>
      </c>
      <c r="F286" s="1">
        <v>44</v>
      </c>
      <c r="G286" s="1" t="s">
        <v>94</v>
      </c>
      <c r="H286" s="1" t="s">
        <v>31</v>
      </c>
      <c r="I286" s="1" t="s">
        <v>94</v>
      </c>
      <c r="J286" s="1" t="s">
        <v>75</v>
      </c>
      <c r="K286" s="1">
        <v>2</v>
      </c>
      <c r="L286" s="1">
        <v>39070</v>
      </c>
      <c r="M286" s="1">
        <v>0</v>
      </c>
      <c r="N286" s="1">
        <v>0</v>
      </c>
      <c r="O286" s="1">
        <v>14065.2</v>
      </c>
      <c r="P286" s="1">
        <v>255</v>
      </c>
      <c r="Q286" s="1">
        <v>92460.2</v>
      </c>
      <c r="R286" s="1" t="s">
        <v>33</v>
      </c>
      <c r="S286" s="1" t="s">
        <v>63</v>
      </c>
      <c r="T286" s="1" t="s">
        <v>35</v>
      </c>
      <c r="U286" s="1" t="s">
        <v>36</v>
      </c>
      <c r="V286" s="1" t="s">
        <v>37</v>
      </c>
      <c r="W286" s="1">
        <v>9</v>
      </c>
      <c r="X286" s="1" t="s">
        <v>47</v>
      </c>
      <c r="Y286" s="1">
        <v>5</v>
      </c>
      <c r="Z286" s="1" t="s">
        <v>58</v>
      </c>
    </row>
    <row r="287" spans="1:26" x14ac:dyDescent="0.3">
      <c r="A287" s="1" t="s">
        <v>616</v>
      </c>
      <c r="B287" s="2">
        <v>46091</v>
      </c>
      <c r="C287" s="1" t="s">
        <v>617</v>
      </c>
      <c r="D287" s="1" t="s">
        <v>42</v>
      </c>
      <c r="E287" s="1" t="s">
        <v>43</v>
      </c>
      <c r="F287" s="1">
        <v>29</v>
      </c>
      <c r="G287" s="1" t="s">
        <v>74</v>
      </c>
      <c r="H287" s="1" t="s">
        <v>31</v>
      </c>
      <c r="I287" s="1" t="s">
        <v>74</v>
      </c>
      <c r="J287" s="1" t="s">
        <v>32</v>
      </c>
      <c r="K287" s="1">
        <v>2</v>
      </c>
      <c r="L287" s="1">
        <v>4186</v>
      </c>
      <c r="M287" s="1">
        <v>15</v>
      </c>
      <c r="N287" s="1">
        <v>1255.8</v>
      </c>
      <c r="O287" s="1">
        <v>1280.92</v>
      </c>
      <c r="P287" s="1">
        <v>320</v>
      </c>
      <c r="Q287" s="1">
        <v>8717.1200000000008</v>
      </c>
      <c r="R287" s="1" t="s">
        <v>83</v>
      </c>
      <c r="S287" s="1" t="s">
        <v>63</v>
      </c>
      <c r="T287" s="1" t="s">
        <v>103</v>
      </c>
      <c r="U287" s="1" t="s">
        <v>103</v>
      </c>
      <c r="V287" s="1" t="s">
        <v>57</v>
      </c>
      <c r="W287" s="1">
        <v>2</v>
      </c>
      <c r="X287" s="1" t="s">
        <v>47</v>
      </c>
      <c r="Y287" s="1">
        <v>4</v>
      </c>
      <c r="Z287" s="1" t="s">
        <v>39</v>
      </c>
    </row>
    <row r="288" spans="1:26" x14ac:dyDescent="0.3">
      <c r="A288" s="1" t="s">
        <v>618</v>
      </c>
      <c r="B288" s="2">
        <v>45852</v>
      </c>
      <c r="C288" s="1" t="s">
        <v>619</v>
      </c>
      <c r="D288" s="1" t="s">
        <v>80</v>
      </c>
      <c r="E288" s="1" t="s">
        <v>43</v>
      </c>
      <c r="F288" s="1">
        <v>39</v>
      </c>
      <c r="G288" s="1" t="s">
        <v>134</v>
      </c>
      <c r="H288" s="1" t="s">
        <v>31</v>
      </c>
      <c r="I288" s="1" t="s">
        <v>134</v>
      </c>
      <c r="J288" s="1" t="s">
        <v>125</v>
      </c>
      <c r="K288" s="1">
        <v>3</v>
      </c>
      <c r="L288" s="1">
        <v>27724</v>
      </c>
      <c r="M288" s="1">
        <v>0</v>
      </c>
      <c r="N288" s="1">
        <v>0</v>
      </c>
      <c r="O288" s="1">
        <v>14970.96</v>
      </c>
      <c r="P288" s="1">
        <v>412</v>
      </c>
      <c r="Q288" s="1">
        <v>98554.96</v>
      </c>
      <c r="R288" s="1" t="s">
        <v>45</v>
      </c>
      <c r="S288" s="1" t="s">
        <v>63</v>
      </c>
      <c r="T288" s="1" t="s">
        <v>103</v>
      </c>
      <c r="U288" s="1" t="s">
        <v>103</v>
      </c>
      <c r="V288" s="1" t="s">
        <v>57</v>
      </c>
      <c r="W288" s="1">
        <v>7</v>
      </c>
      <c r="X288" s="1" t="s">
        <v>38</v>
      </c>
      <c r="Y288" s="1">
        <v>4</v>
      </c>
      <c r="Z288" s="1" t="s">
        <v>58</v>
      </c>
    </row>
    <row r="289" spans="1:26" x14ac:dyDescent="0.3">
      <c r="A289" s="1" t="s">
        <v>620</v>
      </c>
      <c r="B289" s="2">
        <v>45816</v>
      </c>
      <c r="C289" s="1" t="s">
        <v>621</v>
      </c>
      <c r="D289" s="1" t="s">
        <v>50</v>
      </c>
      <c r="E289" s="1" t="s">
        <v>43</v>
      </c>
      <c r="F289" s="1">
        <v>22</v>
      </c>
      <c r="G289" s="1" t="s">
        <v>51</v>
      </c>
      <c r="H289" s="1" t="s">
        <v>52</v>
      </c>
      <c r="I289" s="1" t="s">
        <v>51</v>
      </c>
      <c r="J289" s="1" t="s">
        <v>62</v>
      </c>
      <c r="K289" s="1">
        <v>2</v>
      </c>
      <c r="L289" s="1">
        <v>25863</v>
      </c>
      <c r="M289" s="1">
        <v>15</v>
      </c>
      <c r="N289" s="1">
        <v>7758.9</v>
      </c>
      <c r="O289" s="1">
        <v>7914.08</v>
      </c>
      <c r="P289" s="1">
        <v>282</v>
      </c>
      <c r="Q289" s="1">
        <v>52163.18</v>
      </c>
      <c r="R289" s="1" t="s">
        <v>45</v>
      </c>
      <c r="S289" s="1" t="s">
        <v>34</v>
      </c>
      <c r="T289" s="1" t="s">
        <v>70</v>
      </c>
      <c r="U289" s="1" t="s">
        <v>56</v>
      </c>
      <c r="V289" s="1" t="s">
        <v>57</v>
      </c>
      <c r="W289" s="1">
        <v>7</v>
      </c>
      <c r="X289" s="1" t="s">
        <v>38</v>
      </c>
      <c r="Y289" s="1">
        <v>4</v>
      </c>
      <c r="Z289" s="1" t="s">
        <v>47</v>
      </c>
    </row>
    <row r="290" spans="1:26" x14ac:dyDescent="0.3">
      <c r="A290" s="1" t="s">
        <v>622</v>
      </c>
      <c r="B290" s="2">
        <v>46103</v>
      </c>
      <c r="C290" s="1" t="s">
        <v>623</v>
      </c>
      <c r="D290" s="1" t="s">
        <v>50</v>
      </c>
      <c r="E290" s="1" t="s">
        <v>43</v>
      </c>
      <c r="F290" s="1">
        <v>45</v>
      </c>
      <c r="G290" s="1" t="s">
        <v>74</v>
      </c>
      <c r="H290" s="1" t="s">
        <v>31</v>
      </c>
      <c r="I290" s="1" t="s">
        <v>74</v>
      </c>
      <c r="J290" s="1" t="s">
        <v>75</v>
      </c>
      <c r="K290" s="1">
        <v>3</v>
      </c>
      <c r="L290" s="1">
        <v>5942</v>
      </c>
      <c r="M290" s="1">
        <v>5</v>
      </c>
      <c r="N290" s="1">
        <v>891.3</v>
      </c>
      <c r="O290" s="1">
        <v>3048.25</v>
      </c>
      <c r="P290" s="1">
        <v>248</v>
      </c>
      <c r="Q290" s="1">
        <v>20230.95</v>
      </c>
      <c r="R290" s="1" t="s">
        <v>83</v>
      </c>
      <c r="S290" s="1" t="s">
        <v>34</v>
      </c>
      <c r="T290" s="1" t="s">
        <v>70</v>
      </c>
      <c r="U290" s="1" t="s">
        <v>56</v>
      </c>
      <c r="V290" s="1" t="s">
        <v>57</v>
      </c>
      <c r="W290" s="1">
        <v>8</v>
      </c>
      <c r="X290" s="1" t="s">
        <v>47</v>
      </c>
      <c r="Y290" s="1">
        <v>2</v>
      </c>
      <c r="Z290" s="1" t="s">
        <v>58</v>
      </c>
    </row>
    <row r="291" spans="1:26" x14ac:dyDescent="0.3">
      <c r="A291" s="1" t="s">
        <v>624</v>
      </c>
      <c r="B291" s="2">
        <v>45787</v>
      </c>
      <c r="C291" s="1" t="s">
        <v>625</v>
      </c>
      <c r="D291" s="1" t="s">
        <v>108</v>
      </c>
      <c r="E291" s="1" t="s">
        <v>43</v>
      </c>
      <c r="F291" s="1">
        <v>54</v>
      </c>
      <c r="G291" s="1" t="s">
        <v>44</v>
      </c>
      <c r="H291" s="1" t="s">
        <v>31</v>
      </c>
      <c r="I291" s="1" t="s">
        <v>44</v>
      </c>
      <c r="J291" s="1" t="s">
        <v>53</v>
      </c>
      <c r="K291" s="1">
        <v>2</v>
      </c>
      <c r="L291" s="1">
        <v>5637</v>
      </c>
      <c r="M291" s="1">
        <v>20</v>
      </c>
      <c r="N291" s="1">
        <v>2254.8000000000002</v>
      </c>
      <c r="O291" s="1">
        <v>1623.46</v>
      </c>
      <c r="P291" s="1">
        <v>105</v>
      </c>
      <c r="Q291" s="1">
        <v>10747.66</v>
      </c>
      <c r="R291" s="1" t="s">
        <v>45</v>
      </c>
      <c r="S291" s="1" t="s">
        <v>34</v>
      </c>
      <c r="T291" s="1" t="s">
        <v>103</v>
      </c>
      <c r="U291" s="1" t="s">
        <v>103</v>
      </c>
      <c r="V291" s="1" t="s">
        <v>57</v>
      </c>
      <c r="W291" s="1">
        <v>7</v>
      </c>
      <c r="X291" s="1" t="s">
        <v>38</v>
      </c>
      <c r="Y291" s="1">
        <v>5</v>
      </c>
      <c r="Z291" s="1" t="s">
        <v>91</v>
      </c>
    </row>
    <row r="292" spans="1:26" x14ac:dyDescent="0.3">
      <c r="A292" s="1" t="s">
        <v>626</v>
      </c>
      <c r="B292" s="2">
        <v>45759</v>
      </c>
      <c r="C292" s="1" t="s">
        <v>627</v>
      </c>
      <c r="D292" s="1" t="s">
        <v>42</v>
      </c>
      <c r="E292" s="1" t="s">
        <v>43</v>
      </c>
      <c r="F292" s="1">
        <v>48</v>
      </c>
      <c r="G292" s="1" t="s">
        <v>90</v>
      </c>
      <c r="H292" s="1" t="s">
        <v>31</v>
      </c>
      <c r="I292" s="1" t="s">
        <v>90</v>
      </c>
      <c r="J292" s="1" t="s">
        <v>125</v>
      </c>
      <c r="K292" s="1">
        <v>3</v>
      </c>
      <c r="L292" s="1">
        <v>11265</v>
      </c>
      <c r="M292" s="1">
        <v>15</v>
      </c>
      <c r="N292" s="1">
        <v>5069.25</v>
      </c>
      <c r="O292" s="1">
        <v>5170.6400000000003</v>
      </c>
      <c r="P292" s="1">
        <v>234</v>
      </c>
      <c r="Q292" s="1">
        <v>34130.39</v>
      </c>
      <c r="R292" s="1" t="s">
        <v>54</v>
      </c>
      <c r="S292" s="1" t="s">
        <v>63</v>
      </c>
      <c r="T292" s="1" t="s">
        <v>46</v>
      </c>
      <c r="U292" s="1" t="s">
        <v>36</v>
      </c>
      <c r="V292" s="1" t="s">
        <v>37</v>
      </c>
      <c r="W292" s="1">
        <v>6</v>
      </c>
      <c r="X292" s="1" t="s">
        <v>38</v>
      </c>
      <c r="Y292" s="1">
        <v>1</v>
      </c>
      <c r="Z292" s="1" t="s">
        <v>91</v>
      </c>
    </row>
    <row r="293" spans="1:26" x14ac:dyDescent="0.3">
      <c r="A293" s="1" t="s">
        <v>628</v>
      </c>
      <c r="B293" s="2">
        <v>45849</v>
      </c>
      <c r="C293" s="1" t="s">
        <v>629</v>
      </c>
      <c r="D293" s="1" t="s">
        <v>61</v>
      </c>
      <c r="E293" s="1" t="s">
        <v>43</v>
      </c>
      <c r="F293" s="1">
        <v>31</v>
      </c>
      <c r="G293" s="1" t="s">
        <v>44</v>
      </c>
      <c r="H293" s="1" t="s">
        <v>31</v>
      </c>
      <c r="I293" s="1" t="s">
        <v>44</v>
      </c>
      <c r="J293" s="1" t="s">
        <v>102</v>
      </c>
      <c r="K293" s="1">
        <v>3</v>
      </c>
      <c r="L293" s="1">
        <v>1419</v>
      </c>
      <c r="M293" s="1">
        <v>10</v>
      </c>
      <c r="N293" s="1">
        <v>425.7</v>
      </c>
      <c r="O293" s="1">
        <v>689.63</v>
      </c>
      <c r="P293" s="1">
        <v>407</v>
      </c>
      <c r="Q293" s="1">
        <v>4927.93</v>
      </c>
      <c r="R293" s="1" t="s">
        <v>54</v>
      </c>
      <c r="S293" s="1" t="s">
        <v>63</v>
      </c>
      <c r="T293" s="1" t="s">
        <v>76</v>
      </c>
      <c r="U293" s="1" t="s">
        <v>77</v>
      </c>
      <c r="V293" s="1" t="s">
        <v>57</v>
      </c>
      <c r="W293" s="1">
        <v>8</v>
      </c>
      <c r="X293" s="1" t="s">
        <v>38</v>
      </c>
      <c r="Y293" s="1">
        <v>5</v>
      </c>
      <c r="Z293" s="1" t="s">
        <v>58</v>
      </c>
    </row>
    <row r="294" spans="1:26" x14ac:dyDescent="0.3">
      <c r="A294" s="1" t="s">
        <v>630</v>
      </c>
      <c r="B294" s="2">
        <v>46036</v>
      </c>
      <c r="C294" s="1" t="s">
        <v>631</v>
      </c>
      <c r="D294" s="1" t="s">
        <v>50</v>
      </c>
      <c r="E294" s="1" t="s">
        <v>43</v>
      </c>
      <c r="F294" s="1">
        <v>48</v>
      </c>
      <c r="G294" s="1" t="s">
        <v>51</v>
      </c>
      <c r="H294" s="1" t="s">
        <v>52</v>
      </c>
      <c r="I294" s="1" t="s">
        <v>51</v>
      </c>
      <c r="J294" s="1" t="s">
        <v>32</v>
      </c>
      <c r="K294" s="1">
        <v>4</v>
      </c>
      <c r="L294" s="1">
        <v>14676</v>
      </c>
      <c r="M294" s="1">
        <v>5</v>
      </c>
      <c r="N294" s="1">
        <v>2935.2</v>
      </c>
      <c r="O294" s="1">
        <v>10038.379999999999</v>
      </c>
      <c r="P294" s="1">
        <v>318</v>
      </c>
      <c r="Q294" s="1">
        <v>66125.179999999993</v>
      </c>
      <c r="R294" s="1" t="s">
        <v>54</v>
      </c>
      <c r="S294" s="1" t="s">
        <v>63</v>
      </c>
      <c r="T294" s="1" t="s">
        <v>95</v>
      </c>
      <c r="U294" s="1" t="s">
        <v>96</v>
      </c>
      <c r="V294" s="1" t="s">
        <v>57</v>
      </c>
      <c r="W294" s="1">
        <v>10</v>
      </c>
      <c r="X294" s="1" t="s">
        <v>38</v>
      </c>
      <c r="Y294" s="1">
        <v>4</v>
      </c>
      <c r="Z294" s="1" t="s">
        <v>39</v>
      </c>
    </row>
    <row r="295" spans="1:26" x14ac:dyDescent="0.3">
      <c r="A295" s="1" t="s">
        <v>632</v>
      </c>
      <c r="B295" s="2">
        <v>46007</v>
      </c>
      <c r="C295" s="1" t="s">
        <v>633</v>
      </c>
      <c r="D295" s="1" t="s">
        <v>50</v>
      </c>
      <c r="E295" s="1" t="s">
        <v>29</v>
      </c>
      <c r="F295" s="1">
        <v>48</v>
      </c>
      <c r="G295" s="1" t="s">
        <v>51</v>
      </c>
      <c r="H295" s="1" t="s">
        <v>52</v>
      </c>
      <c r="I295" s="1" t="s">
        <v>51</v>
      </c>
      <c r="J295" s="1" t="s">
        <v>201</v>
      </c>
      <c r="K295" s="1">
        <v>1</v>
      </c>
      <c r="L295" s="1">
        <v>31678</v>
      </c>
      <c r="M295" s="1">
        <v>10</v>
      </c>
      <c r="N295" s="1">
        <v>3167.8</v>
      </c>
      <c r="O295" s="1">
        <v>5131.84</v>
      </c>
      <c r="P295" s="1">
        <v>175</v>
      </c>
      <c r="Q295" s="1">
        <v>33817.040000000001</v>
      </c>
      <c r="R295" s="1" t="s">
        <v>54</v>
      </c>
      <c r="S295" s="1" t="s">
        <v>34</v>
      </c>
      <c r="T295" s="1" t="s">
        <v>70</v>
      </c>
      <c r="U295" s="1" t="s">
        <v>56</v>
      </c>
      <c r="V295" s="1" t="s">
        <v>57</v>
      </c>
      <c r="W295" s="1">
        <v>2</v>
      </c>
      <c r="X295" s="1" t="s">
        <v>47</v>
      </c>
      <c r="Y295" s="1">
        <v>5</v>
      </c>
      <c r="Z295" s="1" t="s">
        <v>91</v>
      </c>
    </row>
    <row r="296" spans="1:26" x14ac:dyDescent="0.3">
      <c r="A296" s="1" t="s">
        <v>634</v>
      </c>
      <c r="B296" s="2">
        <v>46022</v>
      </c>
      <c r="C296" s="1" t="s">
        <v>635</v>
      </c>
      <c r="D296" s="1" t="s">
        <v>89</v>
      </c>
      <c r="E296" s="1" t="s">
        <v>43</v>
      </c>
      <c r="F296" s="1">
        <v>32</v>
      </c>
      <c r="G296" s="1" t="s">
        <v>51</v>
      </c>
      <c r="H296" s="1" t="s">
        <v>52</v>
      </c>
      <c r="I296" s="1" t="s">
        <v>51</v>
      </c>
      <c r="J296" s="1" t="s">
        <v>150</v>
      </c>
      <c r="K296" s="1">
        <v>4</v>
      </c>
      <c r="L296" s="1">
        <v>11363</v>
      </c>
      <c r="M296" s="1">
        <v>10</v>
      </c>
      <c r="N296" s="1">
        <v>4545.2</v>
      </c>
      <c r="O296" s="1">
        <v>7363.22</v>
      </c>
      <c r="P296" s="1">
        <v>249</v>
      </c>
      <c r="Q296" s="1">
        <v>48519.02</v>
      </c>
      <c r="R296" s="1" t="s">
        <v>33</v>
      </c>
      <c r="S296" s="1" t="s">
        <v>63</v>
      </c>
      <c r="T296" s="1" t="s">
        <v>95</v>
      </c>
      <c r="U296" s="1" t="s">
        <v>96</v>
      </c>
      <c r="V296" s="1" t="s">
        <v>57</v>
      </c>
      <c r="W296" s="1">
        <v>9</v>
      </c>
      <c r="X296" s="1" t="s">
        <v>38</v>
      </c>
      <c r="Y296" s="1">
        <v>2</v>
      </c>
      <c r="Z296" s="1" t="s">
        <v>47</v>
      </c>
    </row>
    <row r="297" spans="1:26" x14ac:dyDescent="0.3">
      <c r="A297" s="1" t="s">
        <v>636</v>
      </c>
      <c r="B297" s="2">
        <v>45899</v>
      </c>
      <c r="C297" s="1" t="s">
        <v>637</v>
      </c>
      <c r="D297" s="1" t="s">
        <v>66</v>
      </c>
      <c r="E297" s="1" t="s">
        <v>43</v>
      </c>
      <c r="F297" s="1">
        <v>40</v>
      </c>
      <c r="G297" s="1" t="s">
        <v>51</v>
      </c>
      <c r="H297" s="1" t="s">
        <v>52</v>
      </c>
      <c r="I297" s="1" t="s">
        <v>51</v>
      </c>
      <c r="J297" s="1" t="s">
        <v>150</v>
      </c>
      <c r="K297" s="1">
        <v>5</v>
      </c>
      <c r="L297" s="1">
        <v>27019</v>
      </c>
      <c r="M297" s="1">
        <v>0</v>
      </c>
      <c r="N297" s="1">
        <v>0</v>
      </c>
      <c r="O297" s="1">
        <v>24317.1</v>
      </c>
      <c r="P297" s="1">
        <v>462</v>
      </c>
      <c r="Q297" s="1">
        <v>159874.1</v>
      </c>
      <c r="R297" s="1" t="s">
        <v>45</v>
      </c>
      <c r="S297" s="1" t="s">
        <v>34</v>
      </c>
      <c r="T297" s="1" t="s">
        <v>103</v>
      </c>
      <c r="U297" s="1" t="s">
        <v>103</v>
      </c>
      <c r="V297" s="1" t="s">
        <v>57</v>
      </c>
      <c r="W297" s="1">
        <v>6</v>
      </c>
      <c r="X297" s="1" t="s">
        <v>47</v>
      </c>
      <c r="Y297" s="1">
        <v>4</v>
      </c>
      <c r="Z297" s="1" t="s">
        <v>47</v>
      </c>
    </row>
    <row r="298" spans="1:26" x14ac:dyDescent="0.3">
      <c r="A298" s="1" t="s">
        <v>638</v>
      </c>
      <c r="B298" s="2">
        <v>46024</v>
      </c>
      <c r="C298" s="1" t="s">
        <v>247</v>
      </c>
      <c r="D298" s="1" t="s">
        <v>66</v>
      </c>
      <c r="E298" s="1" t="s">
        <v>43</v>
      </c>
      <c r="F298" s="1">
        <v>22</v>
      </c>
      <c r="G298" s="1" t="s">
        <v>44</v>
      </c>
      <c r="H298" s="1" t="s">
        <v>31</v>
      </c>
      <c r="I298" s="1" t="s">
        <v>44</v>
      </c>
      <c r="J298" s="1" t="s">
        <v>62</v>
      </c>
      <c r="K298" s="1">
        <v>3</v>
      </c>
      <c r="L298" s="1">
        <v>20219</v>
      </c>
      <c r="M298" s="1">
        <v>15</v>
      </c>
      <c r="N298" s="1">
        <v>9098.5499999999993</v>
      </c>
      <c r="O298" s="1">
        <v>9280.52</v>
      </c>
      <c r="P298" s="1">
        <v>212</v>
      </c>
      <c r="Q298" s="1">
        <v>61050.97</v>
      </c>
      <c r="R298" s="1" t="s">
        <v>83</v>
      </c>
      <c r="S298" s="1" t="s">
        <v>63</v>
      </c>
      <c r="T298" s="1" t="s">
        <v>84</v>
      </c>
      <c r="U298" s="1" t="s">
        <v>85</v>
      </c>
      <c r="V298" s="1" t="s">
        <v>86</v>
      </c>
      <c r="W298" s="1">
        <v>6</v>
      </c>
      <c r="X298" s="1" t="s">
        <v>38</v>
      </c>
      <c r="Y298" s="1">
        <v>4</v>
      </c>
      <c r="Z298" s="1" t="s">
        <v>91</v>
      </c>
    </row>
    <row r="299" spans="1:26" x14ac:dyDescent="0.3">
      <c r="A299" s="1" t="s">
        <v>639</v>
      </c>
      <c r="B299" s="2">
        <v>45771</v>
      </c>
      <c r="C299" s="1" t="s">
        <v>640</v>
      </c>
      <c r="D299" s="1" t="s">
        <v>108</v>
      </c>
      <c r="E299" s="1" t="s">
        <v>43</v>
      </c>
      <c r="F299" s="1">
        <v>49</v>
      </c>
      <c r="G299" s="1" t="s">
        <v>139</v>
      </c>
      <c r="H299" s="1" t="s">
        <v>31</v>
      </c>
      <c r="I299" s="1" t="s">
        <v>139</v>
      </c>
      <c r="J299" s="1" t="s">
        <v>75</v>
      </c>
      <c r="K299" s="1">
        <v>4</v>
      </c>
      <c r="L299" s="1">
        <v>17648</v>
      </c>
      <c r="M299" s="1">
        <v>20</v>
      </c>
      <c r="N299" s="1">
        <v>14118.4</v>
      </c>
      <c r="O299" s="1">
        <v>10165.25</v>
      </c>
      <c r="P299" s="1">
        <v>6</v>
      </c>
      <c r="Q299" s="1">
        <v>66644.850000000006</v>
      </c>
      <c r="R299" s="1" t="s">
        <v>54</v>
      </c>
      <c r="S299" s="1" t="s">
        <v>63</v>
      </c>
      <c r="T299" s="1" t="s">
        <v>76</v>
      </c>
      <c r="U299" s="1" t="s">
        <v>77</v>
      </c>
      <c r="V299" s="1" t="s">
        <v>57</v>
      </c>
      <c r="W299" s="1">
        <v>3</v>
      </c>
      <c r="X299" s="1" t="s">
        <v>47</v>
      </c>
      <c r="Y299" s="1">
        <v>3</v>
      </c>
      <c r="Z299" s="1" t="s">
        <v>91</v>
      </c>
    </row>
    <row r="300" spans="1:26" x14ac:dyDescent="0.3">
      <c r="A300" s="1" t="s">
        <v>641</v>
      </c>
      <c r="B300" s="2">
        <v>46026</v>
      </c>
      <c r="C300" s="1" t="s">
        <v>421</v>
      </c>
      <c r="D300" s="1" t="s">
        <v>80</v>
      </c>
      <c r="E300" s="1" t="s">
        <v>29</v>
      </c>
      <c r="F300" s="1">
        <v>54</v>
      </c>
      <c r="G300" s="1" t="s">
        <v>134</v>
      </c>
      <c r="H300" s="1" t="s">
        <v>31</v>
      </c>
      <c r="I300" s="1" t="s">
        <v>134</v>
      </c>
      <c r="J300" s="1" t="s">
        <v>125</v>
      </c>
      <c r="K300" s="1">
        <v>5</v>
      </c>
      <c r="L300" s="1">
        <v>2574</v>
      </c>
      <c r="M300" s="1">
        <v>10</v>
      </c>
      <c r="N300" s="1">
        <v>1287</v>
      </c>
      <c r="O300" s="1">
        <v>2084.94</v>
      </c>
      <c r="P300" s="1">
        <v>263</v>
      </c>
      <c r="Q300" s="1">
        <v>13930.94</v>
      </c>
      <c r="R300" s="1" t="s">
        <v>83</v>
      </c>
      <c r="S300" s="1" t="s">
        <v>63</v>
      </c>
      <c r="T300" s="1" t="s">
        <v>76</v>
      </c>
      <c r="U300" s="1" t="s">
        <v>77</v>
      </c>
      <c r="V300" s="1" t="s">
        <v>57</v>
      </c>
      <c r="W300" s="1">
        <v>9</v>
      </c>
      <c r="X300" s="1" t="s">
        <v>38</v>
      </c>
      <c r="Y300" s="1">
        <v>5</v>
      </c>
      <c r="Z300" s="1" t="s">
        <v>91</v>
      </c>
    </row>
    <row r="301" spans="1:26" x14ac:dyDescent="0.3">
      <c r="A301" s="1" t="s">
        <v>642</v>
      </c>
      <c r="B301" s="2">
        <v>45824</v>
      </c>
      <c r="C301" s="1" t="s">
        <v>643</v>
      </c>
      <c r="D301" s="1" t="s">
        <v>111</v>
      </c>
      <c r="E301" s="1" t="s">
        <v>43</v>
      </c>
      <c r="F301" s="1">
        <v>51</v>
      </c>
      <c r="G301" s="1" t="s">
        <v>99</v>
      </c>
      <c r="H301" s="1" t="s">
        <v>52</v>
      </c>
      <c r="I301" s="1" t="s">
        <v>99</v>
      </c>
      <c r="J301" s="1" t="s">
        <v>150</v>
      </c>
      <c r="K301" s="1">
        <v>1</v>
      </c>
      <c r="L301" s="1">
        <v>41491</v>
      </c>
      <c r="M301" s="1">
        <v>5</v>
      </c>
      <c r="N301" s="1">
        <v>2074.5500000000002</v>
      </c>
      <c r="O301" s="1">
        <v>7094.96</v>
      </c>
      <c r="P301" s="1">
        <v>267</v>
      </c>
      <c r="Q301" s="1">
        <v>46778.41</v>
      </c>
      <c r="R301" s="1" t="s">
        <v>83</v>
      </c>
      <c r="S301" s="1" t="s">
        <v>34</v>
      </c>
      <c r="T301" s="1" t="s">
        <v>84</v>
      </c>
      <c r="U301" s="1" t="s">
        <v>85</v>
      </c>
      <c r="V301" s="1" t="s">
        <v>86</v>
      </c>
      <c r="W301" s="1">
        <v>9</v>
      </c>
      <c r="X301" s="1" t="s">
        <v>47</v>
      </c>
      <c r="Y301" s="1">
        <v>1</v>
      </c>
      <c r="Z301" s="1" t="s">
        <v>91</v>
      </c>
    </row>
    <row r="302" spans="1:26" x14ac:dyDescent="0.3">
      <c r="A302" s="1" t="s">
        <v>644</v>
      </c>
      <c r="B302" s="2">
        <v>46049</v>
      </c>
      <c r="C302" s="1" t="s">
        <v>645</v>
      </c>
      <c r="D302" s="1" t="s">
        <v>66</v>
      </c>
      <c r="E302" s="1" t="s">
        <v>29</v>
      </c>
      <c r="F302" s="1">
        <v>50</v>
      </c>
      <c r="G302" s="1" t="s">
        <v>44</v>
      </c>
      <c r="H302" s="1" t="s">
        <v>31</v>
      </c>
      <c r="I302" s="1" t="s">
        <v>44</v>
      </c>
      <c r="J302" s="1" t="s">
        <v>32</v>
      </c>
      <c r="K302" s="1">
        <v>1</v>
      </c>
      <c r="L302" s="1">
        <v>34811</v>
      </c>
      <c r="M302" s="1">
        <v>0</v>
      </c>
      <c r="N302" s="1">
        <v>0</v>
      </c>
      <c r="O302" s="1">
        <v>6265.98</v>
      </c>
      <c r="P302" s="1">
        <v>256</v>
      </c>
      <c r="Q302" s="1">
        <v>41332.980000000003</v>
      </c>
      <c r="R302" s="1" t="s">
        <v>45</v>
      </c>
      <c r="S302" s="1" t="s">
        <v>34</v>
      </c>
      <c r="T302" s="1" t="s">
        <v>70</v>
      </c>
      <c r="U302" s="1" t="s">
        <v>56</v>
      </c>
      <c r="V302" s="1" t="s">
        <v>57</v>
      </c>
      <c r="W302" s="1">
        <v>2</v>
      </c>
      <c r="X302" s="1" t="s">
        <v>47</v>
      </c>
      <c r="Y302" s="1">
        <v>2</v>
      </c>
      <c r="Z302" s="1" t="s">
        <v>47</v>
      </c>
    </row>
    <row r="303" spans="1:26" x14ac:dyDescent="0.3">
      <c r="A303" s="1" t="s">
        <v>646</v>
      </c>
      <c r="B303" s="2">
        <v>46104</v>
      </c>
      <c r="C303" s="1" t="s">
        <v>647</v>
      </c>
      <c r="D303" s="1" t="s">
        <v>50</v>
      </c>
      <c r="E303" s="1" t="s">
        <v>43</v>
      </c>
      <c r="F303" s="1">
        <v>46</v>
      </c>
      <c r="G303" s="1" t="s">
        <v>30</v>
      </c>
      <c r="H303" s="1" t="s">
        <v>31</v>
      </c>
      <c r="I303" s="1" t="s">
        <v>30</v>
      </c>
      <c r="J303" s="1" t="s">
        <v>102</v>
      </c>
      <c r="K303" s="1">
        <v>2</v>
      </c>
      <c r="L303" s="1">
        <v>42244</v>
      </c>
      <c r="M303" s="1">
        <v>10</v>
      </c>
      <c r="N303" s="1">
        <v>8448.7999999999993</v>
      </c>
      <c r="O303" s="1">
        <v>13687.06</v>
      </c>
      <c r="P303" s="1">
        <v>25</v>
      </c>
      <c r="Q303" s="1">
        <v>89751.26</v>
      </c>
      <c r="R303" s="1" t="s">
        <v>54</v>
      </c>
      <c r="S303" s="1" t="s">
        <v>34</v>
      </c>
      <c r="T303" s="1" t="s">
        <v>103</v>
      </c>
      <c r="U303" s="1" t="s">
        <v>103</v>
      </c>
      <c r="V303" s="1" t="s">
        <v>57</v>
      </c>
      <c r="W303" s="1">
        <v>8</v>
      </c>
      <c r="X303" s="1" t="s">
        <v>47</v>
      </c>
      <c r="Y303" s="1">
        <v>1</v>
      </c>
      <c r="Z303" s="1" t="s">
        <v>47</v>
      </c>
    </row>
    <row r="304" spans="1:26" x14ac:dyDescent="0.3">
      <c r="A304" s="1" t="s">
        <v>648</v>
      </c>
      <c r="B304" s="2">
        <v>45872</v>
      </c>
      <c r="C304" s="1" t="s">
        <v>410</v>
      </c>
      <c r="D304" s="1" t="s">
        <v>108</v>
      </c>
      <c r="E304" s="1" t="s">
        <v>43</v>
      </c>
      <c r="F304" s="1">
        <v>34</v>
      </c>
      <c r="G304" s="1" t="s">
        <v>74</v>
      </c>
      <c r="H304" s="1" t="s">
        <v>31</v>
      </c>
      <c r="I304" s="1" t="s">
        <v>74</v>
      </c>
      <c r="J304" s="1" t="s">
        <v>102</v>
      </c>
      <c r="K304" s="1">
        <v>3</v>
      </c>
      <c r="L304" s="1">
        <v>27252</v>
      </c>
      <c r="M304" s="1">
        <v>20</v>
      </c>
      <c r="N304" s="1">
        <v>16351.2</v>
      </c>
      <c r="O304" s="1">
        <v>11772.86</v>
      </c>
      <c r="P304" s="1">
        <v>470</v>
      </c>
      <c r="Q304" s="1">
        <v>77647.66</v>
      </c>
      <c r="R304" s="1" t="s">
        <v>45</v>
      </c>
      <c r="S304" s="1" t="s">
        <v>34</v>
      </c>
      <c r="T304" s="1" t="s">
        <v>35</v>
      </c>
      <c r="U304" s="1" t="s">
        <v>36</v>
      </c>
      <c r="V304" s="1" t="s">
        <v>37</v>
      </c>
      <c r="W304" s="1">
        <v>4</v>
      </c>
      <c r="X304" s="1" t="s">
        <v>47</v>
      </c>
      <c r="Y304" s="1">
        <v>4</v>
      </c>
      <c r="Z304" s="1" t="s">
        <v>58</v>
      </c>
    </row>
    <row r="305" spans="1:26" x14ac:dyDescent="0.3">
      <c r="A305" s="1" t="s">
        <v>649</v>
      </c>
      <c r="B305" s="2">
        <v>45874</v>
      </c>
      <c r="C305" s="1" t="s">
        <v>650</v>
      </c>
      <c r="D305" s="1" t="s">
        <v>66</v>
      </c>
      <c r="E305" s="1" t="s">
        <v>43</v>
      </c>
      <c r="F305" s="1">
        <v>42</v>
      </c>
      <c r="G305" s="1" t="s">
        <v>94</v>
      </c>
      <c r="H305" s="1" t="s">
        <v>31</v>
      </c>
      <c r="I305" s="1" t="s">
        <v>94</v>
      </c>
      <c r="J305" s="1" t="s">
        <v>102</v>
      </c>
      <c r="K305" s="1">
        <v>5</v>
      </c>
      <c r="L305" s="1">
        <v>33762</v>
      </c>
      <c r="M305" s="1">
        <v>0</v>
      </c>
      <c r="N305" s="1">
        <v>0</v>
      </c>
      <c r="O305" s="1">
        <v>30385.8</v>
      </c>
      <c r="P305" s="1">
        <v>363</v>
      </c>
      <c r="Q305" s="1">
        <v>199558.8</v>
      </c>
      <c r="R305" s="1" t="s">
        <v>33</v>
      </c>
      <c r="S305" s="1" t="s">
        <v>63</v>
      </c>
      <c r="T305" s="1" t="s">
        <v>35</v>
      </c>
      <c r="U305" s="1" t="s">
        <v>36</v>
      </c>
      <c r="V305" s="1" t="s">
        <v>37</v>
      </c>
      <c r="W305" s="1">
        <v>9</v>
      </c>
      <c r="X305" s="1" t="s">
        <v>38</v>
      </c>
      <c r="Y305" s="1">
        <v>1</v>
      </c>
      <c r="Z305" s="1" t="s">
        <v>58</v>
      </c>
    </row>
    <row r="306" spans="1:26" x14ac:dyDescent="0.3">
      <c r="A306" s="1" t="s">
        <v>651</v>
      </c>
      <c r="B306" s="2">
        <v>45811</v>
      </c>
      <c r="C306" s="1" t="s">
        <v>652</v>
      </c>
      <c r="D306" s="1" t="s">
        <v>108</v>
      </c>
      <c r="E306" s="1" t="s">
        <v>43</v>
      </c>
      <c r="F306" s="1">
        <v>42</v>
      </c>
      <c r="G306" s="1" t="s">
        <v>90</v>
      </c>
      <c r="H306" s="1" t="s">
        <v>31</v>
      </c>
      <c r="I306" s="1" t="s">
        <v>90</v>
      </c>
      <c r="J306" s="1" t="s">
        <v>125</v>
      </c>
      <c r="K306" s="1">
        <v>2</v>
      </c>
      <c r="L306" s="1">
        <v>22031</v>
      </c>
      <c r="M306" s="1">
        <v>0</v>
      </c>
      <c r="N306" s="1">
        <v>0</v>
      </c>
      <c r="O306" s="1">
        <v>7931.16</v>
      </c>
      <c r="P306" s="1">
        <v>84</v>
      </c>
      <c r="Q306" s="1">
        <v>52077.16</v>
      </c>
      <c r="R306" s="1" t="s">
        <v>33</v>
      </c>
      <c r="S306" s="1" t="s">
        <v>34</v>
      </c>
      <c r="T306" s="1" t="s">
        <v>84</v>
      </c>
      <c r="U306" s="1" t="s">
        <v>85</v>
      </c>
      <c r="V306" s="1" t="s">
        <v>86</v>
      </c>
      <c r="W306" s="1">
        <v>1</v>
      </c>
      <c r="X306" s="1" t="s">
        <v>38</v>
      </c>
      <c r="Y306" s="1">
        <v>4</v>
      </c>
      <c r="Z306" s="1" t="s">
        <v>47</v>
      </c>
    </row>
    <row r="307" spans="1:26" x14ac:dyDescent="0.3">
      <c r="A307" s="1" t="s">
        <v>653</v>
      </c>
      <c r="B307" s="2">
        <v>45835</v>
      </c>
      <c r="C307" s="1" t="s">
        <v>654</v>
      </c>
      <c r="D307" s="1" t="s">
        <v>50</v>
      </c>
      <c r="E307" s="1" t="s">
        <v>43</v>
      </c>
      <c r="F307" s="1">
        <v>50</v>
      </c>
      <c r="G307" s="1" t="s">
        <v>51</v>
      </c>
      <c r="H307" s="1" t="s">
        <v>52</v>
      </c>
      <c r="I307" s="1" t="s">
        <v>51</v>
      </c>
      <c r="J307" s="1" t="s">
        <v>125</v>
      </c>
      <c r="K307" s="1">
        <v>2</v>
      </c>
      <c r="L307" s="1">
        <v>19288</v>
      </c>
      <c r="M307" s="1">
        <v>5</v>
      </c>
      <c r="N307" s="1">
        <v>1928.8</v>
      </c>
      <c r="O307" s="1">
        <v>6596.5</v>
      </c>
      <c r="P307" s="1">
        <v>389</v>
      </c>
      <c r="Q307" s="1">
        <v>43632.7</v>
      </c>
      <c r="R307" s="1" t="s">
        <v>45</v>
      </c>
      <c r="S307" s="1" t="s">
        <v>63</v>
      </c>
      <c r="T307" s="1" t="s">
        <v>95</v>
      </c>
      <c r="U307" s="1" t="s">
        <v>96</v>
      </c>
      <c r="V307" s="1" t="s">
        <v>57</v>
      </c>
      <c r="W307" s="1">
        <v>1</v>
      </c>
      <c r="X307" s="1" t="s">
        <v>38</v>
      </c>
      <c r="Y307" s="1">
        <v>2</v>
      </c>
      <c r="Z307" s="1" t="s">
        <v>58</v>
      </c>
    </row>
    <row r="308" spans="1:26" x14ac:dyDescent="0.3">
      <c r="A308" s="1" t="s">
        <v>655</v>
      </c>
      <c r="B308" s="2">
        <v>45896</v>
      </c>
      <c r="C308" s="1" t="s">
        <v>656</v>
      </c>
      <c r="D308" s="1" t="s">
        <v>108</v>
      </c>
      <c r="E308" s="1" t="s">
        <v>43</v>
      </c>
      <c r="F308" s="1">
        <v>41</v>
      </c>
      <c r="G308" s="1" t="s">
        <v>74</v>
      </c>
      <c r="H308" s="1" t="s">
        <v>31</v>
      </c>
      <c r="I308" s="1" t="s">
        <v>74</v>
      </c>
      <c r="J308" s="1" t="s">
        <v>53</v>
      </c>
      <c r="K308" s="1">
        <v>3</v>
      </c>
      <c r="L308" s="1">
        <v>4554</v>
      </c>
      <c r="M308" s="1">
        <v>0</v>
      </c>
      <c r="N308" s="1">
        <v>0</v>
      </c>
      <c r="O308" s="1">
        <v>2459.16</v>
      </c>
      <c r="P308" s="1">
        <v>402</v>
      </c>
      <c r="Q308" s="1">
        <v>16523.16</v>
      </c>
      <c r="R308" s="1" t="s">
        <v>54</v>
      </c>
      <c r="S308" s="1" t="s">
        <v>34</v>
      </c>
      <c r="T308" s="1" t="s">
        <v>76</v>
      </c>
      <c r="U308" s="1" t="s">
        <v>77</v>
      </c>
      <c r="V308" s="1" t="s">
        <v>57</v>
      </c>
      <c r="W308" s="1">
        <v>3</v>
      </c>
      <c r="X308" s="1" t="s">
        <v>38</v>
      </c>
      <c r="Y308" s="1">
        <v>3</v>
      </c>
      <c r="Z308" s="1" t="s">
        <v>91</v>
      </c>
    </row>
    <row r="309" spans="1:26" x14ac:dyDescent="0.3">
      <c r="A309" s="1" t="s">
        <v>657</v>
      </c>
      <c r="B309" s="2">
        <v>46084</v>
      </c>
      <c r="C309" s="1" t="s">
        <v>658</v>
      </c>
      <c r="D309" s="1" t="s">
        <v>73</v>
      </c>
      <c r="E309" s="1" t="s">
        <v>29</v>
      </c>
      <c r="F309" s="1">
        <v>40</v>
      </c>
      <c r="G309" s="1" t="s">
        <v>139</v>
      </c>
      <c r="H309" s="1" t="s">
        <v>31</v>
      </c>
      <c r="I309" s="1" t="s">
        <v>139</v>
      </c>
      <c r="J309" s="1" t="s">
        <v>201</v>
      </c>
      <c r="K309" s="1">
        <v>1</v>
      </c>
      <c r="L309" s="1">
        <v>15911</v>
      </c>
      <c r="M309" s="1">
        <v>0</v>
      </c>
      <c r="N309" s="1">
        <v>0</v>
      </c>
      <c r="O309" s="1">
        <v>2863.98</v>
      </c>
      <c r="P309" s="1">
        <v>246</v>
      </c>
      <c r="Q309" s="1">
        <v>19020.98</v>
      </c>
      <c r="R309" s="1" t="s">
        <v>83</v>
      </c>
      <c r="S309" s="1" t="s">
        <v>34</v>
      </c>
      <c r="T309" s="1" t="s">
        <v>103</v>
      </c>
      <c r="U309" s="1" t="s">
        <v>103</v>
      </c>
      <c r="V309" s="1" t="s">
        <v>57</v>
      </c>
      <c r="W309" s="1">
        <v>7</v>
      </c>
      <c r="X309" s="1" t="s">
        <v>47</v>
      </c>
      <c r="Y309" s="1">
        <v>3</v>
      </c>
      <c r="Z309" s="1" t="s">
        <v>39</v>
      </c>
    </row>
    <row r="310" spans="1:26" x14ac:dyDescent="0.3">
      <c r="A310" s="1" t="s">
        <v>659</v>
      </c>
      <c r="B310" s="2">
        <v>46107</v>
      </c>
      <c r="C310" s="1" t="s">
        <v>660</v>
      </c>
      <c r="D310" s="1" t="s">
        <v>42</v>
      </c>
      <c r="E310" s="1" t="s">
        <v>29</v>
      </c>
      <c r="F310" s="1">
        <v>48</v>
      </c>
      <c r="G310" s="1" t="s">
        <v>30</v>
      </c>
      <c r="H310" s="1" t="s">
        <v>31</v>
      </c>
      <c r="I310" s="1" t="s">
        <v>30</v>
      </c>
      <c r="J310" s="1" t="s">
        <v>62</v>
      </c>
      <c r="K310" s="1">
        <v>4</v>
      </c>
      <c r="L310" s="1">
        <v>43550</v>
      </c>
      <c r="M310" s="1">
        <v>10</v>
      </c>
      <c r="N310" s="1">
        <v>17420</v>
      </c>
      <c r="O310" s="1">
        <v>28220.400000000001</v>
      </c>
      <c r="P310" s="1">
        <v>291</v>
      </c>
      <c r="Q310" s="1">
        <v>185291.4</v>
      </c>
      <c r="R310" s="1" t="s">
        <v>54</v>
      </c>
      <c r="S310" s="1" t="s">
        <v>63</v>
      </c>
      <c r="T310" s="1" t="s">
        <v>103</v>
      </c>
      <c r="U310" s="1" t="s">
        <v>103</v>
      </c>
      <c r="V310" s="1" t="s">
        <v>57</v>
      </c>
      <c r="W310" s="1">
        <v>5</v>
      </c>
      <c r="X310" s="1" t="s">
        <v>38</v>
      </c>
      <c r="Y310" s="1">
        <v>2</v>
      </c>
      <c r="Z310" s="1" t="s">
        <v>39</v>
      </c>
    </row>
    <row r="311" spans="1:26" x14ac:dyDescent="0.3">
      <c r="A311" s="1" t="s">
        <v>661</v>
      </c>
      <c r="B311" s="2">
        <v>45954</v>
      </c>
      <c r="C311" s="1" t="s">
        <v>231</v>
      </c>
      <c r="D311" s="1" t="s">
        <v>61</v>
      </c>
      <c r="E311" s="1" t="s">
        <v>43</v>
      </c>
      <c r="F311" s="1">
        <v>60</v>
      </c>
      <c r="G311" s="1" t="s">
        <v>134</v>
      </c>
      <c r="H311" s="1" t="s">
        <v>31</v>
      </c>
      <c r="I311" s="1" t="s">
        <v>134</v>
      </c>
      <c r="J311" s="1" t="s">
        <v>75</v>
      </c>
      <c r="K311" s="1">
        <v>3</v>
      </c>
      <c r="L311" s="1">
        <v>22416</v>
      </c>
      <c r="M311" s="1">
        <v>0</v>
      </c>
      <c r="N311" s="1">
        <v>0</v>
      </c>
      <c r="O311" s="1">
        <v>12104.64</v>
      </c>
      <c r="P311" s="1">
        <v>410</v>
      </c>
      <c r="Q311" s="1">
        <v>79762.64</v>
      </c>
      <c r="R311" s="1" t="s">
        <v>54</v>
      </c>
      <c r="S311" s="1" t="s">
        <v>34</v>
      </c>
      <c r="T311" s="1" t="s">
        <v>55</v>
      </c>
      <c r="U311" s="1" t="s">
        <v>56</v>
      </c>
      <c r="V311" s="1" t="s">
        <v>57</v>
      </c>
      <c r="W311" s="1">
        <v>9</v>
      </c>
      <c r="X311" s="1" t="s">
        <v>47</v>
      </c>
      <c r="Y311" s="1">
        <v>3</v>
      </c>
      <c r="Z311" s="1" t="s">
        <v>47</v>
      </c>
    </row>
    <row r="312" spans="1:26" x14ac:dyDescent="0.3">
      <c r="A312" s="1" t="s">
        <v>662</v>
      </c>
      <c r="B312" s="2">
        <v>45781</v>
      </c>
      <c r="C312" s="1" t="s">
        <v>377</v>
      </c>
      <c r="D312" s="1" t="s">
        <v>28</v>
      </c>
      <c r="E312" s="1" t="s">
        <v>29</v>
      </c>
      <c r="F312" s="1">
        <v>23</v>
      </c>
      <c r="G312" s="1" t="s">
        <v>51</v>
      </c>
      <c r="H312" s="1" t="s">
        <v>52</v>
      </c>
      <c r="I312" s="1" t="s">
        <v>51</v>
      </c>
      <c r="J312" s="1" t="s">
        <v>201</v>
      </c>
      <c r="K312" s="1">
        <v>4</v>
      </c>
      <c r="L312" s="1">
        <v>29172</v>
      </c>
      <c r="M312" s="1">
        <v>15</v>
      </c>
      <c r="N312" s="1">
        <v>17503.2</v>
      </c>
      <c r="O312" s="1">
        <v>17853.259999999998</v>
      </c>
      <c r="P312" s="1">
        <v>97</v>
      </c>
      <c r="Q312" s="1">
        <v>117135.06</v>
      </c>
      <c r="R312" s="1" t="s">
        <v>54</v>
      </c>
      <c r="S312" s="1" t="s">
        <v>63</v>
      </c>
      <c r="T312" s="1" t="s">
        <v>46</v>
      </c>
      <c r="U312" s="1" t="s">
        <v>36</v>
      </c>
      <c r="V312" s="1" t="s">
        <v>37</v>
      </c>
      <c r="W312" s="1">
        <v>4</v>
      </c>
      <c r="X312" s="1" t="s">
        <v>47</v>
      </c>
      <c r="Y312" s="1">
        <v>2</v>
      </c>
      <c r="Z312" s="1" t="s">
        <v>91</v>
      </c>
    </row>
    <row r="313" spans="1:26" x14ac:dyDescent="0.3">
      <c r="A313" s="1" t="s">
        <v>663</v>
      </c>
      <c r="B313" s="2">
        <v>45863</v>
      </c>
      <c r="C313" s="1" t="s">
        <v>625</v>
      </c>
      <c r="D313" s="1" t="s">
        <v>80</v>
      </c>
      <c r="E313" s="1" t="s">
        <v>29</v>
      </c>
      <c r="F313" s="1">
        <v>35</v>
      </c>
      <c r="G313" s="1" t="s">
        <v>134</v>
      </c>
      <c r="H313" s="1" t="s">
        <v>31</v>
      </c>
      <c r="I313" s="1" t="s">
        <v>134</v>
      </c>
      <c r="J313" s="1" t="s">
        <v>32</v>
      </c>
      <c r="K313" s="1">
        <v>5</v>
      </c>
      <c r="L313" s="1">
        <v>44748</v>
      </c>
      <c r="M313" s="1">
        <v>15</v>
      </c>
      <c r="N313" s="1">
        <v>33561</v>
      </c>
      <c r="O313" s="1">
        <v>34232.22</v>
      </c>
      <c r="P313" s="1">
        <v>34</v>
      </c>
      <c r="Q313" s="1">
        <v>224445.22</v>
      </c>
      <c r="R313" s="1" t="s">
        <v>45</v>
      </c>
      <c r="S313" s="1" t="s">
        <v>63</v>
      </c>
      <c r="T313" s="1" t="s">
        <v>35</v>
      </c>
      <c r="U313" s="1" t="s">
        <v>36</v>
      </c>
      <c r="V313" s="1" t="s">
        <v>37</v>
      </c>
      <c r="W313" s="1">
        <v>1</v>
      </c>
      <c r="X313" s="1" t="s">
        <v>38</v>
      </c>
      <c r="Y313" s="1">
        <v>2</v>
      </c>
      <c r="Z313" s="1" t="s">
        <v>91</v>
      </c>
    </row>
    <row r="314" spans="1:26" x14ac:dyDescent="0.3">
      <c r="A314" s="1" t="s">
        <v>664</v>
      </c>
      <c r="B314" s="2">
        <v>45963</v>
      </c>
      <c r="C314" s="1" t="s">
        <v>665</v>
      </c>
      <c r="D314" s="1" t="s">
        <v>108</v>
      </c>
      <c r="E314" s="1" t="s">
        <v>43</v>
      </c>
      <c r="F314" s="1">
        <v>42</v>
      </c>
      <c r="G314" s="1" t="s">
        <v>99</v>
      </c>
      <c r="H314" s="1" t="s">
        <v>52</v>
      </c>
      <c r="I314" s="1" t="s">
        <v>99</v>
      </c>
      <c r="J314" s="1" t="s">
        <v>62</v>
      </c>
      <c r="K314" s="1">
        <v>5</v>
      </c>
      <c r="L314" s="1">
        <v>23381</v>
      </c>
      <c r="M314" s="1">
        <v>5</v>
      </c>
      <c r="N314" s="1">
        <v>5845.25</v>
      </c>
      <c r="O314" s="1">
        <v>19990.759999999998</v>
      </c>
      <c r="P314" s="1">
        <v>214</v>
      </c>
      <c r="Q314" s="1">
        <v>131264.51</v>
      </c>
      <c r="R314" s="1" t="s">
        <v>54</v>
      </c>
      <c r="S314" s="1" t="s">
        <v>34</v>
      </c>
      <c r="T314" s="1" t="s">
        <v>76</v>
      </c>
      <c r="U314" s="1" t="s">
        <v>77</v>
      </c>
      <c r="V314" s="1" t="s">
        <v>57</v>
      </c>
      <c r="W314" s="1">
        <v>3</v>
      </c>
      <c r="X314" s="1" t="s">
        <v>47</v>
      </c>
      <c r="Y314" s="1">
        <v>4</v>
      </c>
      <c r="Z314" s="1" t="s">
        <v>58</v>
      </c>
    </row>
    <row r="315" spans="1:26" x14ac:dyDescent="0.3">
      <c r="A315" s="1" t="s">
        <v>666</v>
      </c>
      <c r="B315" s="2">
        <v>45868</v>
      </c>
      <c r="C315" s="1" t="s">
        <v>667</v>
      </c>
      <c r="D315" s="1" t="s">
        <v>80</v>
      </c>
      <c r="E315" s="1" t="s">
        <v>29</v>
      </c>
      <c r="F315" s="1">
        <v>44</v>
      </c>
      <c r="G315" s="1" t="s">
        <v>51</v>
      </c>
      <c r="H315" s="1" t="s">
        <v>52</v>
      </c>
      <c r="I315" s="1" t="s">
        <v>51</v>
      </c>
      <c r="J315" s="1" t="s">
        <v>102</v>
      </c>
      <c r="K315" s="1">
        <v>3</v>
      </c>
      <c r="L315" s="1">
        <v>21630</v>
      </c>
      <c r="M315" s="1">
        <v>15</v>
      </c>
      <c r="N315" s="1">
        <v>9733.5</v>
      </c>
      <c r="O315" s="1">
        <v>9928.17</v>
      </c>
      <c r="P315" s="1">
        <v>379</v>
      </c>
      <c r="Q315" s="1">
        <v>65463.67</v>
      </c>
      <c r="R315" s="1" t="s">
        <v>54</v>
      </c>
      <c r="S315" s="1" t="s">
        <v>63</v>
      </c>
      <c r="T315" s="1" t="s">
        <v>46</v>
      </c>
      <c r="U315" s="1" t="s">
        <v>36</v>
      </c>
      <c r="V315" s="1" t="s">
        <v>37</v>
      </c>
      <c r="W315" s="1">
        <v>3</v>
      </c>
      <c r="X315" s="1" t="s">
        <v>47</v>
      </c>
      <c r="Y315" s="1">
        <v>2</v>
      </c>
      <c r="Z315" s="1" t="s">
        <v>91</v>
      </c>
    </row>
    <row r="316" spans="1:26" x14ac:dyDescent="0.3">
      <c r="A316" s="1" t="s">
        <v>668</v>
      </c>
      <c r="B316" s="2">
        <v>45930</v>
      </c>
      <c r="C316" s="1" t="s">
        <v>669</v>
      </c>
      <c r="D316" s="1" t="s">
        <v>50</v>
      </c>
      <c r="E316" s="1" t="s">
        <v>43</v>
      </c>
      <c r="F316" s="1">
        <v>40</v>
      </c>
      <c r="G316" s="1" t="s">
        <v>90</v>
      </c>
      <c r="H316" s="1" t="s">
        <v>31</v>
      </c>
      <c r="I316" s="1" t="s">
        <v>90</v>
      </c>
      <c r="J316" s="1" t="s">
        <v>201</v>
      </c>
      <c r="K316" s="1">
        <v>2</v>
      </c>
      <c r="L316" s="1">
        <v>41791</v>
      </c>
      <c r="M316" s="1">
        <v>20</v>
      </c>
      <c r="N316" s="1">
        <v>16716.400000000001</v>
      </c>
      <c r="O316" s="1">
        <v>12035.81</v>
      </c>
      <c r="P316" s="1">
        <v>371</v>
      </c>
      <c r="Q316" s="1">
        <v>79272.41</v>
      </c>
      <c r="R316" s="1" t="s">
        <v>45</v>
      </c>
      <c r="S316" s="1" t="s">
        <v>34</v>
      </c>
      <c r="T316" s="1" t="s">
        <v>55</v>
      </c>
      <c r="U316" s="1" t="s">
        <v>56</v>
      </c>
      <c r="V316" s="1" t="s">
        <v>57</v>
      </c>
      <c r="W316" s="1">
        <v>7</v>
      </c>
      <c r="X316" s="1" t="s">
        <v>47</v>
      </c>
      <c r="Y316" s="1">
        <v>2</v>
      </c>
      <c r="Z316" s="1" t="s">
        <v>47</v>
      </c>
    </row>
    <row r="317" spans="1:26" x14ac:dyDescent="0.3">
      <c r="A317" s="1" t="s">
        <v>670</v>
      </c>
      <c r="B317" s="2">
        <v>45794</v>
      </c>
      <c r="C317" s="1" t="s">
        <v>671</v>
      </c>
      <c r="D317" s="1" t="s">
        <v>108</v>
      </c>
      <c r="E317" s="1" t="s">
        <v>43</v>
      </c>
      <c r="F317" s="1">
        <v>40</v>
      </c>
      <c r="G317" s="1" t="s">
        <v>90</v>
      </c>
      <c r="H317" s="1" t="s">
        <v>31</v>
      </c>
      <c r="I317" s="1" t="s">
        <v>90</v>
      </c>
      <c r="J317" s="1" t="s">
        <v>150</v>
      </c>
      <c r="K317" s="1">
        <v>2</v>
      </c>
      <c r="L317" s="1">
        <v>5799</v>
      </c>
      <c r="M317" s="1">
        <v>5</v>
      </c>
      <c r="N317" s="1">
        <v>579.9</v>
      </c>
      <c r="O317" s="1">
        <v>1983.26</v>
      </c>
      <c r="P317" s="1">
        <v>221</v>
      </c>
      <c r="Q317" s="1">
        <v>13222.36</v>
      </c>
      <c r="R317" s="1" t="s">
        <v>54</v>
      </c>
      <c r="S317" s="1" t="s">
        <v>34</v>
      </c>
      <c r="T317" s="1" t="s">
        <v>55</v>
      </c>
      <c r="U317" s="1" t="s">
        <v>56</v>
      </c>
      <c r="V317" s="1" t="s">
        <v>57</v>
      </c>
      <c r="W317" s="1">
        <v>5</v>
      </c>
      <c r="X317" s="1" t="s">
        <v>38</v>
      </c>
      <c r="Y317" s="1">
        <v>1</v>
      </c>
      <c r="Z317" s="1" t="s">
        <v>47</v>
      </c>
    </row>
    <row r="318" spans="1:26" x14ac:dyDescent="0.3">
      <c r="A318" s="1" t="s">
        <v>672</v>
      </c>
      <c r="B318" s="2">
        <v>45900</v>
      </c>
      <c r="C318" s="1" t="s">
        <v>477</v>
      </c>
      <c r="D318" s="1" t="s">
        <v>61</v>
      </c>
      <c r="E318" s="1" t="s">
        <v>29</v>
      </c>
      <c r="F318" s="1">
        <v>26</v>
      </c>
      <c r="G318" s="1" t="s">
        <v>51</v>
      </c>
      <c r="H318" s="1" t="s">
        <v>52</v>
      </c>
      <c r="I318" s="1" t="s">
        <v>51</v>
      </c>
      <c r="J318" s="1" t="s">
        <v>150</v>
      </c>
      <c r="K318" s="1">
        <v>2</v>
      </c>
      <c r="L318" s="1">
        <v>23634</v>
      </c>
      <c r="M318" s="1">
        <v>5</v>
      </c>
      <c r="N318" s="1">
        <v>2363.4</v>
      </c>
      <c r="O318" s="1">
        <v>8082.83</v>
      </c>
      <c r="P318" s="1">
        <v>450</v>
      </c>
      <c r="Q318" s="1">
        <v>53437.43</v>
      </c>
      <c r="R318" s="1" t="s">
        <v>54</v>
      </c>
      <c r="S318" s="1" t="s">
        <v>63</v>
      </c>
      <c r="T318" s="1" t="s">
        <v>84</v>
      </c>
      <c r="U318" s="1" t="s">
        <v>85</v>
      </c>
      <c r="V318" s="1" t="s">
        <v>86</v>
      </c>
      <c r="W318" s="1">
        <v>9</v>
      </c>
      <c r="X318" s="1" t="s">
        <v>47</v>
      </c>
      <c r="Y318" s="1">
        <v>2</v>
      </c>
      <c r="Z318" s="1" t="s">
        <v>47</v>
      </c>
    </row>
    <row r="319" spans="1:26" x14ac:dyDescent="0.3">
      <c r="A319" s="1" t="s">
        <v>673</v>
      </c>
      <c r="B319" s="2">
        <v>45963</v>
      </c>
      <c r="C319" s="1" t="s">
        <v>674</v>
      </c>
      <c r="D319" s="1" t="s">
        <v>80</v>
      </c>
      <c r="E319" s="1" t="s">
        <v>43</v>
      </c>
      <c r="F319" s="1">
        <v>51</v>
      </c>
      <c r="G319" s="1" t="s">
        <v>139</v>
      </c>
      <c r="H319" s="1" t="s">
        <v>31</v>
      </c>
      <c r="I319" s="1" t="s">
        <v>139</v>
      </c>
      <c r="J319" s="1" t="s">
        <v>102</v>
      </c>
      <c r="K319" s="1">
        <v>3</v>
      </c>
      <c r="L319" s="1">
        <v>21565</v>
      </c>
      <c r="M319" s="1">
        <v>15</v>
      </c>
      <c r="N319" s="1">
        <v>9704.25</v>
      </c>
      <c r="O319" s="1">
        <v>9898.33</v>
      </c>
      <c r="P319" s="1">
        <v>46</v>
      </c>
      <c r="Q319" s="1">
        <v>64935.08</v>
      </c>
      <c r="R319" s="1" t="s">
        <v>83</v>
      </c>
      <c r="S319" s="1" t="s">
        <v>34</v>
      </c>
      <c r="T319" s="1" t="s">
        <v>84</v>
      </c>
      <c r="U319" s="1" t="s">
        <v>85</v>
      </c>
      <c r="V319" s="1" t="s">
        <v>86</v>
      </c>
      <c r="W319" s="1">
        <v>10</v>
      </c>
      <c r="X319" s="1" t="s">
        <v>38</v>
      </c>
      <c r="Y319" s="1">
        <v>2</v>
      </c>
      <c r="Z319" s="1" t="s">
        <v>39</v>
      </c>
    </row>
    <row r="320" spans="1:26" x14ac:dyDescent="0.3">
      <c r="A320" s="1" t="s">
        <v>675</v>
      </c>
      <c r="B320" s="2">
        <v>45870</v>
      </c>
      <c r="C320" s="1" t="s">
        <v>676</v>
      </c>
      <c r="D320" s="1" t="s">
        <v>108</v>
      </c>
      <c r="E320" s="1" t="s">
        <v>29</v>
      </c>
      <c r="F320" s="1">
        <v>49</v>
      </c>
      <c r="G320" s="1" t="s">
        <v>30</v>
      </c>
      <c r="H320" s="1" t="s">
        <v>31</v>
      </c>
      <c r="I320" s="1" t="s">
        <v>30</v>
      </c>
      <c r="J320" s="1" t="s">
        <v>32</v>
      </c>
      <c r="K320" s="1">
        <v>5</v>
      </c>
      <c r="L320" s="1">
        <v>41024</v>
      </c>
      <c r="M320" s="1">
        <v>20</v>
      </c>
      <c r="N320" s="1">
        <v>41024</v>
      </c>
      <c r="O320" s="1">
        <v>29537.279999999999</v>
      </c>
      <c r="P320" s="1">
        <v>262</v>
      </c>
      <c r="Q320" s="1">
        <v>193895.28</v>
      </c>
      <c r="R320" s="1" t="s">
        <v>33</v>
      </c>
      <c r="S320" s="1" t="s">
        <v>63</v>
      </c>
      <c r="T320" s="1" t="s">
        <v>84</v>
      </c>
      <c r="U320" s="1" t="s">
        <v>85</v>
      </c>
      <c r="V320" s="1" t="s">
        <v>86</v>
      </c>
      <c r="W320" s="1">
        <v>5</v>
      </c>
      <c r="X320" s="1" t="s">
        <v>47</v>
      </c>
      <c r="Y320" s="1">
        <v>4</v>
      </c>
      <c r="Z320" s="1" t="s">
        <v>91</v>
      </c>
    </row>
    <row r="321" spans="1:26" x14ac:dyDescent="0.3">
      <c r="A321" s="1" t="s">
        <v>677</v>
      </c>
      <c r="B321" s="2">
        <v>45881</v>
      </c>
      <c r="C321" s="1" t="s">
        <v>678</v>
      </c>
      <c r="D321" s="1" t="s">
        <v>50</v>
      </c>
      <c r="E321" s="1" t="s">
        <v>43</v>
      </c>
      <c r="F321" s="1">
        <v>37</v>
      </c>
      <c r="G321" s="1" t="s">
        <v>134</v>
      </c>
      <c r="H321" s="1" t="s">
        <v>31</v>
      </c>
      <c r="I321" s="1" t="s">
        <v>134</v>
      </c>
      <c r="J321" s="1" t="s">
        <v>32</v>
      </c>
      <c r="K321" s="1">
        <v>2</v>
      </c>
      <c r="L321" s="1">
        <v>49704</v>
      </c>
      <c r="M321" s="1">
        <v>20</v>
      </c>
      <c r="N321" s="1">
        <v>19881.599999999999</v>
      </c>
      <c r="O321" s="1">
        <v>14314.75</v>
      </c>
      <c r="P321" s="1">
        <v>174</v>
      </c>
      <c r="Q321" s="1">
        <v>94015.15</v>
      </c>
      <c r="R321" s="1" t="s">
        <v>45</v>
      </c>
      <c r="S321" s="1" t="s">
        <v>34</v>
      </c>
      <c r="T321" s="1" t="s">
        <v>84</v>
      </c>
      <c r="U321" s="1" t="s">
        <v>85</v>
      </c>
      <c r="V321" s="1" t="s">
        <v>86</v>
      </c>
      <c r="W321" s="1">
        <v>8</v>
      </c>
      <c r="X321" s="1" t="s">
        <v>47</v>
      </c>
      <c r="Y321" s="1">
        <v>3</v>
      </c>
      <c r="Z321" s="1" t="s">
        <v>91</v>
      </c>
    </row>
    <row r="322" spans="1:26" x14ac:dyDescent="0.3">
      <c r="A322" s="1" t="s">
        <v>679</v>
      </c>
      <c r="B322" s="2">
        <v>45892</v>
      </c>
      <c r="C322" s="1" t="s">
        <v>680</v>
      </c>
      <c r="D322" s="1" t="s">
        <v>108</v>
      </c>
      <c r="E322" s="1" t="s">
        <v>29</v>
      </c>
      <c r="F322" s="1">
        <v>38</v>
      </c>
      <c r="G322" s="1" t="s">
        <v>74</v>
      </c>
      <c r="H322" s="1" t="s">
        <v>31</v>
      </c>
      <c r="I322" s="1" t="s">
        <v>74</v>
      </c>
      <c r="J322" s="1" t="s">
        <v>125</v>
      </c>
      <c r="K322" s="1">
        <v>1</v>
      </c>
      <c r="L322" s="1">
        <v>7179</v>
      </c>
      <c r="M322" s="1">
        <v>15</v>
      </c>
      <c r="N322" s="1">
        <v>1076.8499999999999</v>
      </c>
      <c r="O322" s="1">
        <v>1098.3900000000001</v>
      </c>
      <c r="P322" s="1">
        <v>459</v>
      </c>
      <c r="Q322" s="1">
        <v>7659.54</v>
      </c>
      <c r="R322" s="1" t="s">
        <v>33</v>
      </c>
      <c r="S322" s="1" t="s">
        <v>34</v>
      </c>
      <c r="T322" s="1" t="s">
        <v>35</v>
      </c>
      <c r="U322" s="1" t="s">
        <v>36</v>
      </c>
      <c r="V322" s="1" t="s">
        <v>37</v>
      </c>
      <c r="W322" s="1">
        <v>7</v>
      </c>
      <c r="X322" s="1" t="s">
        <v>38</v>
      </c>
      <c r="Y322" s="1">
        <v>5</v>
      </c>
      <c r="Z322" s="1" t="s">
        <v>91</v>
      </c>
    </row>
    <row r="323" spans="1:26" x14ac:dyDescent="0.3">
      <c r="A323" s="1" t="s">
        <v>681</v>
      </c>
      <c r="B323" s="2">
        <v>45796</v>
      </c>
      <c r="C323" s="1" t="s">
        <v>682</v>
      </c>
      <c r="D323" s="1" t="s">
        <v>61</v>
      </c>
      <c r="E323" s="1" t="s">
        <v>43</v>
      </c>
      <c r="F323" s="1">
        <v>55</v>
      </c>
      <c r="G323" s="1" t="s">
        <v>90</v>
      </c>
      <c r="H323" s="1" t="s">
        <v>31</v>
      </c>
      <c r="I323" s="1" t="s">
        <v>90</v>
      </c>
      <c r="J323" s="1" t="s">
        <v>53</v>
      </c>
      <c r="K323" s="1">
        <v>1</v>
      </c>
      <c r="L323" s="1">
        <v>48043</v>
      </c>
      <c r="M323" s="1">
        <v>5</v>
      </c>
      <c r="N323" s="1">
        <v>2402.15</v>
      </c>
      <c r="O323" s="1">
        <v>8215.35</v>
      </c>
      <c r="P323" s="1">
        <v>151</v>
      </c>
      <c r="Q323" s="1">
        <v>54007.199999999997</v>
      </c>
      <c r="R323" s="1" t="s">
        <v>54</v>
      </c>
      <c r="S323" s="1" t="s">
        <v>63</v>
      </c>
      <c r="T323" s="1" t="s">
        <v>95</v>
      </c>
      <c r="U323" s="1" t="s">
        <v>96</v>
      </c>
      <c r="V323" s="1" t="s">
        <v>57</v>
      </c>
      <c r="W323" s="1">
        <v>3</v>
      </c>
      <c r="X323" s="1" t="s">
        <v>38</v>
      </c>
      <c r="Y323" s="1">
        <v>3</v>
      </c>
      <c r="Z323" s="1" t="s">
        <v>91</v>
      </c>
    </row>
    <row r="324" spans="1:26" x14ac:dyDescent="0.3">
      <c r="A324" s="1" t="s">
        <v>683</v>
      </c>
      <c r="B324" s="2">
        <v>45922</v>
      </c>
      <c r="C324" s="1" t="s">
        <v>684</v>
      </c>
      <c r="D324" s="1" t="s">
        <v>50</v>
      </c>
      <c r="E324" s="1" t="s">
        <v>43</v>
      </c>
      <c r="F324" s="1">
        <v>49</v>
      </c>
      <c r="G324" s="1" t="s">
        <v>51</v>
      </c>
      <c r="H324" s="1" t="s">
        <v>52</v>
      </c>
      <c r="I324" s="1" t="s">
        <v>51</v>
      </c>
      <c r="J324" s="1" t="s">
        <v>150</v>
      </c>
      <c r="K324" s="1">
        <v>5</v>
      </c>
      <c r="L324" s="1">
        <v>49415</v>
      </c>
      <c r="M324" s="1">
        <v>0</v>
      </c>
      <c r="N324" s="1">
        <v>0</v>
      </c>
      <c r="O324" s="1">
        <v>44473.5</v>
      </c>
      <c r="P324" s="1">
        <v>97</v>
      </c>
      <c r="Q324" s="1">
        <v>291645.5</v>
      </c>
      <c r="R324" s="1" t="s">
        <v>83</v>
      </c>
      <c r="S324" s="1" t="s">
        <v>34</v>
      </c>
      <c r="T324" s="1" t="s">
        <v>70</v>
      </c>
      <c r="U324" s="1" t="s">
        <v>56</v>
      </c>
      <c r="V324" s="1" t="s">
        <v>57</v>
      </c>
      <c r="W324" s="1">
        <v>3</v>
      </c>
      <c r="X324" s="1" t="s">
        <v>47</v>
      </c>
      <c r="Y324" s="1">
        <v>2</v>
      </c>
      <c r="Z324" s="1" t="s">
        <v>58</v>
      </c>
    </row>
    <row r="325" spans="1:26" x14ac:dyDescent="0.3">
      <c r="A325" s="1" t="s">
        <v>685</v>
      </c>
      <c r="B325" s="2">
        <v>46018</v>
      </c>
      <c r="C325" s="1" t="s">
        <v>686</v>
      </c>
      <c r="D325" s="1" t="s">
        <v>66</v>
      </c>
      <c r="E325" s="1" t="s">
        <v>43</v>
      </c>
      <c r="F325" s="1">
        <v>34</v>
      </c>
      <c r="G325" s="1" t="s">
        <v>94</v>
      </c>
      <c r="H325" s="1" t="s">
        <v>31</v>
      </c>
      <c r="I325" s="1" t="s">
        <v>94</v>
      </c>
      <c r="J325" s="1" t="s">
        <v>201</v>
      </c>
      <c r="K325" s="1">
        <v>3</v>
      </c>
      <c r="L325" s="1">
        <v>19786</v>
      </c>
      <c r="M325" s="1">
        <v>10</v>
      </c>
      <c r="N325" s="1">
        <v>5935.8</v>
      </c>
      <c r="O325" s="1">
        <v>9616</v>
      </c>
      <c r="P325" s="1">
        <v>78</v>
      </c>
      <c r="Q325" s="1">
        <v>63116.2</v>
      </c>
      <c r="R325" s="1" t="s">
        <v>33</v>
      </c>
      <c r="S325" s="1" t="s">
        <v>34</v>
      </c>
      <c r="T325" s="1" t="s">
        <v>35</v>
      </c>
      <c r="U325" s="1" t="s">
        <v>36</v>
      </c>
      <c r="V325" s="1" t="s">
        <v>37</v>
      </c>
      <c r="W325" s="1">
        <v>1</v>
      </c>
      <c r="X325" s="1" t="s">
        <v>38</v>
      </c>
      <c r="Y325" s="1">
        <v>4</v>
      </c>
      <c r="Z325" s="1" t="s">
        <v>39</v>
      </c>
    </row>
    <row r="326" spans="1:26" x14ac:dyDescent="0.3">
      <c r="A326" s="1" t="s">
        <v>687</v>
      </c>
      <c r="B326" s="2">
        <v>45970</v>
      </c>
      <c r="C326" s="1" t="s">
        <v>330</v>
      </c>
      <c r="D326" s="1" t="s">
        <v>89</v>
      </c>
      <c r="E326" s="1" t="s">
        <v>29</v>
      </c>
      <c r="F326" s="1">
        <v>26</v>
      </c>
      <c r="G326" s="1" t="s">
        <v>44</v>
      </c>
      <c r="H326" s="1" t="s">
        <v>31</v>
      </c>
      <c r="I326" s="1" t="s">
        <v>44</v>
      </c>
      <c r="J326" s="1" t="s">
        <v>53</v>
      </c>
      <c r="K326" s="1">
        <v>5</v>
      </c>
      <c r="L326" s="1">
        <v>30964</v>
      </c>
      <c r="M326" s="1">
        <v>20</v>
      </c>
      <c r="N326" s="1">
        <v>30964</v>
      </c>
      <c r="O326" s="1">
        <v>22294.080000000002</v>
      </c>
      <c r="P326" s="1">
        <v>420</v>
      </c>
      <c r="Q326" s="1">
        <v>146570.07999999999</v>
      </c>
      <c r="R326" s="1" t="s">
        <v>33</v>
      </c>
      <c r="S326" s="1" t="s">
        <v>34</v>
      </c>
      <c r="T326" s="1" t="s">
        <v>55</v>
      </c>
      <c r="U326" s="1" t="s">
        <v>56</v>
      </c>
      <c r="V326" s="1" t="s">
        <v>57</v>
      </c>
      <c r="W326" s="1">
        <v>7</v>
      </c>
      <c r="X326" s="1" t="s">
        <v>38</v>
      </c>
      <c r="Y326" s="1">
        <v>4</v>
      </c>
      <c r="Z326" s="1" t="s">
        <v>47</v>
      </c>
    </row>
    <row r="327" spans="1:26" x14ac:dyDescent="0.3">
      <c r="A327" s="1" t="s">
        <v>688</v>
      </c>
      <c r="B327" s="2">
        <v>46103</v>
      </c>
      <c r="C327" s="1" t="s">
        <v>182</v>
      </c>
      <c r="D327" s="1" t="s">
        <v>89</v>
      </c>
      <c r="E327" s="1" t="s">
        <v>29</v>
      </c>
      <c r="F327" s="1">
        <v>58</v>
      </c>
      <c r="G327" s="1" t="s">
        <v>30</v>
      </c>
      <c r="H327" s="1" t="s">
        <v>31</v>
      </c>
      <c r="I327" s="1" t="s">
        <v>30</v>
      </c>
      <c r="J327" s="1" t="s">
        <v>112</v>
      </c>
      <c r="K327" s="1">
        <v>4</v>
      </c>
      <c r="L327" s="1">
        <v>49969</v>
      </c>
      <c r="M327" s="1">
        <v>5</v>
      </c>
      <c r="N327" s="1">
        <v>9993.7999999999993</v>
      </c>
      <c r="O327" s="1">
        <v>34178.800000000003</v>
      </c>
      <c r="P327" s="1">
        <v>218</v>
      </c>
      <c r="Q327" s="1">
        <v>224279</v>
      </c>
      <c r="R327" s="1" t="s">
        <v>83</v>
      </c>
      <c r="S327" s="1" t="s">
        <v>34</v>
      </c>
      <c r="T327" s="1" t="s">
        <v>46</v>
      </c>
      <c r="U327" s="1" t="s">
        <v>36</v>
      </c>
      <c r="V327" s="1" t="s">
        <v>37</v>
      </c>
      <c r="W327" s="1">
        <v>9</v>
      </c>
      <c r="X327" s="1" t="s">
        <v>47</v>
      </c>
      <c r="Y327" s="1">
        <v>1</v>
      </c>
      <c r="Z327" s="1" t="s">
        <v>39</v>
      </c>
    </row>
    <row r="328" spans="1:26" x14ac:dyDescent="0.3">
      <c r="A328" s="1" t="s">
        <v>689</v>
      </c>
      <c r="B328" s="2">
        <v>46101</v>
      </c>
      <c r="C328" s="1" t="s">
        <v>690</v>
      </c>
      <c r="D328" s="1" t="s">
        <v>42</v>
      </c>
      <c r="E328" s="1" t="s">
        <v>43</v>
      </c>
      <c r="F328" s="1">
        <v>33</v>
      </c>
      <c r="G328" s="1" t="s">
        <v>99</v>
      </c>
      <c r="H328" s="1" t="s">
        <v>52</v>
      </c>
      <c r="I328" s="1" t="s">
        <v>99</v>
      </c>
      <c r="J328" s="1" t="s">
        <v>32</v>
      </c>
      <c r="K328" s="1">
        <v>2</v>
      </c>
      <c r="L328" s="1">
        <v>42028</v>
      </c>
      <c r="M328" s="1">
        <v>15</v>
      </c>
      <c r="N328" s="1">
        <v>12608.4</v>
      </c>
      <c r="O328" s="1">
        <v>12860.57</v>
      </c>
      <c r="P328" s="1">
        <v>190</v>
      </c>
      <c r="Q328" s="1">
        <v>84498.17</v>
      </c>
      <c r="R328" s="1" t="s">
        <v>54</v>
      </c>
      <c r="S328" s="1" t="s">
        <v>34</v>
      </c>
      <c r="T328" s="1" t="s">
        <v>55</v>
      </c>
      <c r="U328" s="1" t="s">
        <v>56</v>
      </c>
      <c r="V328" s="1" t="s">
        <v>57</v>
      </c>
      <c r="W328" s="1">
        <v>7</v>
      </c>
      <c r="X328" s="1" t="s">
        <v>47</v>
      </c>
      <c r="Y328" s="1">
        <v>2</v>
      </c>
      <c r="Z328" s="1" t="s">
        <v>58</v>
      </c>
    </row>
    <row r="329" spans="1:26" x14ac:dyDescent="0.3">
      <c r="A329" s="1" t="s">
        <v>691</v>
      </c>
      <c r="B329" s="2">
        <v>45869</v>
      </c>
      <c r="C329" s="1" t="s">
        <v>627</v>
      </c>
      <c r="D329" s="1" t="s">
        <v>28</v>
      </c>
      <c r="E329" s="1" t="s">
        <v>29</v>
      </c>
      <c r="F329" s="1">
        <v>59</v>
      </c>
      <c r="G329" s="1" t="s">
        <v>30</v>
      </c>
      <c r="H329" s="1" t="s">
        <v>31</v>
      </c>
      <c r="I329" s="1" t="s">
        <v>30</v>
      </c>
      <c r="J329" s="1" t="s">
        <v>112</v>
      </c>
      <c r="K329" s="1">
        <v>3</v>
      </c>
      <c r="L329" s="1">
        <v>40430</v>
      </c>
      <c r="M329" s="1">
        <v>20</v>
      </c>
      <c r="N329" s="1">
        <v>24258</v>
      </c>
      <c r="O329" s="1">
        <v>17465.759999999998</v>
      </c>
      <c r="P329" s="1">
        <v>15</v>
      </c>
      <c r="Q329" s="1">
        <v>114512.76</v>
      </c>
      <c r="R329" s="1" t="s">
        <v>33</v>
      </c>
      <c r="S329" s="1" t="s">
        <v>34</v>
      </c>
      <c r="T329" s="1" t="s">
        <v>84</v>
      </c>
      <c r="U329" s="1" t="s">
        <v>85</v>
      </c>
      <c r="V329" s="1" t="s">
        <v>86</v>
      </c>
      <c r="W329" s="1">
        <v>6</v>
      </c>
      <c r="X329" s="1" t="s">
        <v>38</v>
      </c>
      <c r="Y329" s="1">
        <v>4</v>
      </c>
      <c r="Z329" s="1" t="s">
        <v>91</v>
      </c>
    </row>
    <row r="330" spans="1:26" x14ac:dyDescent="0.3">
      <c r="A330" s="1" t="s">
        <v>692</v>
      </c>
      <c r="B330" s="2">
        <v>46006</v>
      </c>
      <c r="C330" s="1" t="s">
        <v>693</v>
      </c>
      <c r="D330" s="1" t="s">
        <v>61</v>
      </c>
      <c r="E330" s="1" t="s">
        <v>29</v>
      </c>
      <c r="F330" s="1">
        <v>60</v>
      </c>
      <c r="G330" s="1" t="s">
        <v>44</v>
      </c>
      <c r="H330" s="1" t="s">
        <v>31</v>
      </c>
      <c r="I330" s="1" t="s">
        <v>44</v>
      </c>
      <c r="J330" s="1" t="s">
        <v>150</v>
      </c>
      <c r="K330" s="1">
        <v>5</v>
      </c>
      <c r="L330" s="1">
        <v>34114</v>
      </c>
      <c r="M330" s="1">
        <v>0</v>
      </c>
      <c r="N330" s="1">
        <v>0</v>
      </c>
      <c r="O330" s="1">
        <v>30702.6</v>
      </c>
      <c r="P330" s="1">
        <v>3</v>
      </c>
      <c r="Q330" s="1">
        <v>201275.6</v>
      </c>
      <c r="R330" s="1" t="s">
        <v>45</v>
      </c>
      <c r="S330" s="1" t="s">
        <v>63</v>
      </c>
      <c r="T330" s="1" t="s">
        <v>84</v>
      </c>
      <c r="U330" s="1" t="s">
        <v>85</v>
      </c>
      <c r="V330" s="1" t="s">
        <v>86</v>
      </c>
      <c r="W330" s="1">
        <v>7</v>
      </c>
      <c r="X330" s="1" t="s">
        <v>47</v>
      </c>
      <c r="Y330" s="1">
        <v>1</v>
      </c>
      <c r="Z330" s="1" t="s">
        <v>47</v>
      </c>
    </row>
    <row r="331" spans="1:26" x14ac:dyDescent="0.3">
      <c r="A331" s="1" t="s">
        <v>694</v>
      </c>
      <c r="B331" s="2">
        <v>46044</v>
      </c>
      <c r="C331" s="1" t="s">
        <v>695</v>
      </c>
      <c r="D331" s="1" t="s">
        <v>73</v>
      </c>
      <c r="E331" s="1" t="s">
        <v>43</v>
      </c>
      <c r="F331" s="1">
        <v>20</v>
      </c>
      <c r="G331" s="1" t="s">
        <v>67</v>
      </c>
      <c r="H331" s="1" t="s">
        <v>68</v>
      </c>
      <c r="I331" s="1" t="s">
        <v>67</v>
      </c>
      <c r="J331" s="1" t="s">
        <v>75</v>
      </c>
      <c r="K331" s="1">
        <v>2</v>
      </c>
      <c r="L331" s="1">
        <v>23052</v>
      </c>
      <c r="M331" s="1">
        <v>20</v>
      </c>
      <c r="N331" s="1">
        <v>9220.7999999999993</v>
      </c>
      <c r="O331" s="1">
        <v>6638.98</v>
      </c>
      <c r="P331" s="1">
        <v>141</v>
      </c>
      <c r="Q331" s="1">
        <v>43663.18</v>
      </c>
      <c r="R331" s="1" t="s">
        <v>54</v>
      </c>
      <c r="S331" s="1" t="s">
        <v>34</v>
      </c>
      <c r="T331" s="1" t="s">
        <v>35</v>
      </c>
      <c r="U331" s="1" t="s">
        <v>36</v>
      </c>
      <c r="V331" s="1" t="s">
        <v>37</v>
      </c>
      <c r="W331" s="1">
        <v>2</v>
      </c>
      <c r="X331" s="1" t="s">
        <v>38</v>
      </c>
      <c r="Y331" s="1">
        <v>4</v>
      </c>
      <c r="Z331" s="1" t="s">
        <v>39</v>
      </c>
    </row>
    <row r="332" spans="1:26" x14ac:dyDescent="0.3">
      <c r="A332" s="1" t="s">
        <v>696</v>
      </c>
      <c r="B332" s="2">
        <v>45831</v>
      </c>
      <c r="C332" s="1" t="s">
        <v>697</v>
      </c>
      <c r="D332" s="1" t="s">
        <v>42</v>
      </c>
      <c r="E332" s="1" t="s">
        <v>43</v>
      </c>
      <c r="F332" s="1">
        <v>30</v>
      </c>
      <c r="G332" s="1" t="s">
        <v>94</v>
      </c>
      <c r="H332" s="1" t="s">
        <v>31</v>
      </c>
      <c r="I332" s="1" t="s">
        <v>94</v>
      </c>
      <c r="J332" s="1" t="s">
        <v>62</v>
      </c>
      <c r="K332" s="1">
        <v>5</v>
      </c>
      <c r="L332" s="1">
        <v>26141</v>
      </c>
      <c r="M332" s="1">
        <v>0</v>
      </c>
      <c r="N332" s="1">
        <v>0</v>
      </c>
      <c r="O332" s="1">
        <v>23526.9</v>
      </c>
      <c r="P332" s="1">
        <v>51</v>
      </c>
      <c r="Q332" s="1">
        <v>154282.9</v>
      </c>
      <c r="R332" s="1" t="s">
        <v>83</v>
      </c>
      <c r="S332" s="1" t="s">
        <v>63</v>
      </c>
      <c r="T332" s="1" t="s">
        <v>103</v>
      </c>
      <c r="U332" s="1" t="s">
        <v>103</v>
      </c>
      <c r="V332" s="1" t="s">
        <v>57</v>
      </c>
      <c r="W332" s="1">
        <v>10</v>
      </c>
      <c r="X332" s="1" t="s">
        <v>38</v>
      </c>
      <c r="Y332" s="1">
        <v>1</v>
      </c>
      <c r="Z332" s="1" t="s">
        <v>39</v>
      </c>
    </row>
    <row r="333" spans="1:26" x14ac:dyDescent="0.3">
      <c r="A333" s="1" t="s">
        <v>698</v>
      </c>
      <c r="B333" s="2">
        <v>46027</v>
      </c>
      <c r="C333" s="1" t="s">
        <v>342</v>
      </c>
      <c r="D333" s="1" t="s">
        <v>111</v>
      </c>
      <c r="E333" s="1" t="s">
        <v>43</v>
      </c>
      <c r="F333" s="1">
        <v>23</v>
      </c>
      <c r="G333" s="1" t="s">
        <v>90</v>
      </c>
      <c r="H333" s="1" t="s">
        <v>31</v>
      </c>
      <c r="I333" s="1" t="s">
        <v>90</v>
      </c>
      <c r="J333" s="1" t="s">
        <v>32</v>
      </c>
      <c r="K333" s="1">
        <v>3</v>
      </c>
      <c r="L333" s="1">
        <v>3051</v>
      </c>
      <c r="M333" s="1">
        <v>15</v>
      </c>
      <c r="N333" s="1">
        <v>1372.95</v>
      </c>
      <c r="O333" s="1">
        <v>1400.41</v>
      </c>
      <c r="P333" s="1">
        <v>107</v>
      </c>
      <c r="Q333" s="1">
        <v>9287.4599999999991</v>
      </c>
      <c r="R333" s="1" t="s">
        <v>45</v>
      </c>
      <c r="S333" s="1" t="s">
        <v>63</v>
      </c>
      <c r="T333" s="1" t="s">
        <v>95</v>
      </c>
      <c r="U333" s="1" t="s">
        <v>96</v>
      </c>
      <c r="V333" s="1" t="s">
        <v>57</v>
      </c>
      <c r="W333" s="1">
        <v>7</v>
      </c>
      <c r="X333" s="1" t="s">
        <v>38</v>
      </c>
      <c r="Y333" s="1">
        <v>5</v>
      </c>
      <c r="Z333" s="1" t="s">
        <v>91</v>
      </c>
    </row>
    <row r="334" spans="1:26" x14ac:dyDescent="0.3">
      <c r="A334" s="1" t="s">
        <v>699</v>
      </c>
      <c r="B334" s="2">
        <v>45925</v>
      </c>
      <c r="C334" s="1" t="s">
        <v>700</v>
      </c>
      <c r="D334" s="1" t="s">
        <v>28</v>
      </c>
      <c r="E334" s="1" t="s">
        <v>29</v>
      </c>
      <c r="F334" s="1">
        <v>27</v>
      </c>
      <c r="G334" s="1" t="s">
        <v>94</v>
      </c>
      <c r="H334" s="1" t="s">
        <v>31</v>
      </c>
      <c r="I334" s="1" t="s">
        <v>94</v>
      </c>
      <c r="J334" s="1" t="s">
        <v>32</v>
      </c>
      <c r="K334" s="1">
        <v>1</v>
      </c>
      <c r="L334" s="1">
        <v>48655</v>
      </c>
      <c r="M334" s="1">
        <v>0</v>
      </c>
      <c r="N334" s="1">
        <v>0</v>
      </c>
      <c r="O334" s="1">
        <v>8757.9</v>
      </c>
      <c r="P334" s="1">
        <v>391</v>
      </c>
      <c r="Q334" s="1">
        <v>57803.9</v>
      </c>
      <c r="R334" s="1" t="s">
        <v>83</v>
      </c>
      <c r="S334" s="1" t="s">
        <v>63</v>
      </c>
      <c r="T334" s="1" t="s">
        <v>70</v>
      </c>
      <c r="U334" s="1" t="s">
        <v>56</v>
      </c>
      <c r="V334" s="1" t="s">
        <v>57</v>
      </c>
      <c r="W334" s="1">
        <v>1</v>
      </c>
      <c r="X334" s="1" t="s">
        <v>38</v>
      </c>
      <c r="Y334" s="1">
        <v>3</v>
      </c>
      <c r="Z334" s="1" t="s">
        <v>58</v>
      </c>
    </row>
    <row r="335" spans="1:26" x14ac:dyDescent="0.3">
      <c r="A335" s="1" t="s">
        <v>701</v>
      </c>
      <c r="B335" s="2">
        <v>45834</v>
      </c>
      <c r="C335" s="1" t="s">
        <v>702</v>
      </c>
      <c r="D335" s="1" t="s">
        <v>111</v>
      </c>
      <c r="E335" s="1" t="s">
        <v>29</v>
      </c>
      <c r="F335" s="1">
        <v>57</v>
      </c>
      <c r="G335" s="1" t="s">
        <v>90</v>
      </c>
      <c r="H335" s="1" t="s">
        <v>31</v>
      </c>
      <c r="I335" s="1" t="s">
        <v>90</v>
      </c>
      <c r="J335" s="1" t="s">
        <v>150</v>
      </c>
      <c r="K335" s="1">
        <v>4</v>
      </c>
      <c r="L335" s="1">
        <v>1414</v>
      </c>
      <c r="M335" s="1">
        <v>20</v>
      </c>
      <c r="N335" s="1">
        <v>1131.2</v>
      </c>
      <c r="O335" s="1">
        <v>814.46</v>
      </c>
      <c r="P335" s="1">
        <v>128</v>
      </c>
      <c r="Q335" s="1">
        <v>5467.26</v>
      </c>
      <c r="R335" s="1" t="s">
        <v>54</v>
      </c>
      <c r="S335" s="1" t="s">
        <v>34</v>
      </c>
      <c r="T335" s="1" t="s">
        <v>46</v>
      </c>
      <c r="U335" s="1" t="s">
        <v>36</v>
      </c>
      <c r="V335" s="1" t="s">
        <v>37</v>
      </c>
      <c r="W335" s="1">
        <v>10</v>
      </c>
      <c r="X335" s="1" t="s">
        <v>38</v>
      </c>
      <c r="Y335" s="1">
        <v>3</v>
      </c>
      <c r="Z335" s="1" t="s">
        <v>47</v>
      </c>
    </row>
    <row r="336" spans="1:26" x14ac:dyDescent="0.3">
      <c r="A336" s="1" t="s">
        <v>703</v>
      </c>
      <c r="B336" s="2">
        <v>45763</v>
      </c>
      <c r="C336" s="1" t="s">
        <v>187</v>
      </c>
      <c r="D336" s="1" t="s">
        <v>50</v>
      </c>
      <c r="E336" s="1" t="s">
        <v>29</v>
      </c>
      <c r="F336" s="1">
        <v>53</v>
      </c>
      <c r="G336" s="1" t="s">
        <v>44</v>
      </c>
      <c r="H336" s="1" t="s">
        <v>31</v>
      </c>
      <c r="I336" s="1" t="s">
        <v>44</v>
      </c>
      <c r="J336" s="1" t="s">
        <v>62</v>
      </c>
      <c r="K336" s="1">
        <v>2</v>
      </c>
      <c r="L336" s="1">
        <v>48474</v>
      </c>
      <c r="M336" s="1">
        <v>10</v>
      </c>
      <c r="N336" s="1">
        <v>9694.7999999999993</v>
      </c>
      <c r="O336" s="1">
        <v>15705.58</v>
      </c>
      <c r="P336" s="1">
        <v>419</v>
      </c>
      <c r="Q336" s="1">
        <v>103377.78</v>
      </c>
      <c r="R336" s="1" t="s">
        <v>45</v>
      </c>
      <c r="S336" s="1" t="s">
        <v>63</v>
      </c>
      <c r="T336" s="1" t="s">
        <v>84</v>
      </c>
      <c r="U336" s="1" t="s">
        <v>85</v>
      </c>
      <c r="V336" s="1" t="s">
        <v>86</v>
      </c>
      <c r="W336" s="1">
        <v>6</v>
      </c>
      <c r="X336" s="1" t="s">
        <v>47</v>
      </c>
      <c r="Y336" s="1">
        <v>3</v>
      </c>
      <c r="Z336" s="1" t="s">
        <v>39</v>
      </c>
    </row>
    <row r="337" spans="1:26" x14ac:dyDescent="0.3">
      <c r="A337" s="1" t="s">
        <v>704</v>
      </c>
      <c r="B337" s="2">
        <v>46111</v>
      </c>
      <c r="C337" s="1" t="s">
        <v>279</v>
      </c>
      <c r="D337" s="1" t="s">
        <v>73</v>
      </c>
      <c r="E337" s="1" t="s">
        <v>29</v>
      </c>
      <c r="F337" s="1">
        <v>60</v>
      </c>
      <c r="G337" s="1" t="s">
        <v>94</v>
      </c>
      <c r="H337" s="1" t="s">
        <v>31</v>
      </c>
      <c r="I337" s="1" t="s">
        <v>94</v>
      </c>
      <c r="J337" s="1" t="s">
        <v>62</v>
      </c>
      <c r="K337" s="1">
        <v>2</v>
      </c>
      <c r="L337" s="1">
        <v>4505</v>
      </c>
      <c r="M337" s="1">
        <v>15</v>
      </c>
      <c r="N337" s="1">
        <v>1351.5</v>
      </c>
      <c r="O337" s="1">
        <v>1378.53</v>
      </c>
      <c r="P337" s="1">
        <v>135</v>
      </c>
      <c r="Q337" s="1">
        <v>9172.0300000000007</v>
      </c>
      <c r="R337" s="1" t="s">
        <v>45</v>
      </c>
      <c r="S337" s="1" t="s">
        <v>63</v>
      </c>
      <c r="T337" s="1" t="s">
        <v>55</v>
      </c>
      <c r="U337" s="1" t="s">
        <v>56</v>
      </c>
      <c r="V337" s="1" t="s">
        <v>57</v>
      </c>
      <c r="W337" s="1">
        <v>8</v>
      </c>
      <c r="X337" s="1" t="s">
        <v>38</v>
      </c>
      <c r="Y337" s="1">
        <v>1</v>
      </c>
      <c r="Z337" s="1" t="s">
        <v>47</v>
      </c>
    </row>
    <row r="338" spans="1:26" x14ac:dyDescent="0.3">
      <c r="A338" s="1" t="s">
        <v>705</v>
      </c>
      <c r="B338" s="2">
        <v>46020</v>
      </c>
      <c r="C338" s="1" t="s">
        <v>706</v>
      </c>
      <c r="D338" s="1" t="s">
        <v>42</v>
      </c>
      <c r="E338" s="1" t="s">
        <v>43</v>
      </c>
      <c r="F338" s="1">
        <v>35</v>
      </c>
      <c r="G338" s="1" t="s">
        <v>90</v>
      </c>
      <c r="H338" s="1" t="s">
        <v>31</v>
      </c>
      <c r="I338" s="1" t="s">
        <v>90</v>
      </c>
      <c r="J338" s="1" t="s">
        <v>32</v>
      </c>
      <c r="K338" s="1">
        <v>2</v>
      </c>
      <c r="L338" s="1">
        <v>24276</v>
      </c>
      <c r="M338" s="1">
        <v>0</v>
      </c>
      <c r="N338" s="1">
        <v>0</v>
      </c>
      <c r="O338" s="1">
        <v>8739.36</v>
      </c>
      <c r="P338" s="1">
        <v>242</v>
      </c>
      <c r="Q338" s="1">
        <v>57533.36</v>
      </c>
      <c r="R338" s="1" t="s">
        <v>83</v>
      </c>
      <c r="S338" s="1" t="s">
        <v>34</v>
      </c>
      <c r="T338" s="1" t="s">
        <v>35</v>
      </c>
      <c r="U338" s="1" t="s">
        <v>36</v>
      </c>
      <c r="V338" s="1" t="s">
        <v>37</v>
      </c>
      <c r="W338" s="1">
        <v>5</v>
      </c>
      <c r="X338" s="1" t="s">
        <v>47</v>
      </c>
      <c r="Y338" s="1">
        <v>3</v>
      </c>
      <c r="Z338" s="1" t="s">
        <v>91</v>
      </c>
    </row>
    <row r="339" spans="1:26" x14ac:dyDescent="0.3">
      <c r="A339" s="1" t="s">
        <v>707</v>
      </c>
      <c r="B339" s="2">
        <v>45886</v>
      </c>
      <c r="C339" s="1" t="s">
        <v>568</v>
      </c>
      <c r="D339" s="1" t="s">
        <v>89</v>
      </c>
      <c r="E339" s="1" t="s">
        <v>43</v>
      </c>
      <c r="F339" s="1">
        <v>60</v>
      </c>
      <c r="G339" s="1" t="s">
        <v>51</v>
      </c>
      <c r="H339" s="1" t="s">
        <v>52</v>
      </c>
      <c r="I339" s="1" t="s">
        <v>51</v>
      </c>
      <c r="J339" s="1" t="s">
        <v>32</v>
      </c>
      <c r="K339" s="1">
        <v>3</v>
      </c>
      <c r="L339" s="1">
        <v>2724</v>
      </c>
      <c r="M339" s="1">
        <v>15</v>
      </c>
      <c r="N339" s="1">
        <v>1225.8</v>
      </c>
      <c r="O339" s="1">
        <v>1250.32</v>
      </c>
      <c r="P339" s="1">
        <v>21</v>
      </c>
      <c r="Q339" s="1">
        <v>8217.52</v>
      </c>
      <c r="R339" s="1" t="s">
        <v>45</v>
      </c>
      <c r="S339" s="1" t="s">
        <v>34</v>
      </c>
      <c r="T339" s="1" t="s">
        <v>84</v>
      </c>
      <c r="U339" s="1" t="s">
        <v>85</v>
      </c>
      <c r="V339" s="1" t="s">
        <v>86</v>
      </c>
      <c r="W339" s="1">
        <v>2</v>
      </c>
      <c r="X339" s="1" t="s">
        <v>47</v>
      </c>
      <c r="Y339" s="1">
        <v>2</v>
      </c>
      <c r="Z339" s="1" t="s">
        <v>39</v>
      </c>
    </row>
    <row r="340" spans="1:26" x14ac:dyDescent="0.3">
      <c r="A340" s="1" t="s">
        <v>708</v>
      </c>
      <c r="B340" s="2">
        <v>46019</v>
      </c>
      <c r="C340" s="1" t="s">
        <v>709</v>
      </c>
      <c r="D340" s="1" t="s">
        <v>66</v>
      </c>
      <c r="E340" s="1" t="s">
        <v>29</v>
      </c>
      <c r="F340" s="1">
        <v>36</v>
      </c>
      <c r="G340" s="1" t="s">
        <v>30</v>
      </c>
      <c r="H340" s="1" t="s">
        <v>31</v>
      </c>
      <c r="I340" s="1" t="s">
        <v>30</v>
      </c>
      <c r="J340" s="1" t="s">
        <v>125</v>
      </c>
      <c r="K340" s="1">
        <v>4</v>
      </c>
      <c r="L340" s="1">
        <v>37327</v>
      </c>
      <c r="M340" s="1">
        <v>15</v>
      </c>
      <c r="N340" s="1">
        <v>22396.2</v>
      </c>
      <c r="O340" s="1">
        <v>22844.12</v>
      </c>
      <c r="P340" s="1">
        <v>36</v>
      </c>
      <c r="Q340" s="1">
        <v>149791.92000000001</v>
      </c>
      <c r="R340" s="1" t="s">
        <v>83</v>
      </c>
      <c r="S340" s="1" t="s">
        <v>63</v>
      </c>
      <c r="T340" s="1" t="s">
        <v>95</v>
      </c>
      <c r="U340" s="1" t="s">
        <v>96</v>
      </c>
      <c r="V340" s="1" t="s">
        <v>57</v>
      </c>
      <c r="W340" s="1">
        <v>10</v>
      </c>
      <c r="X340" s="1" t="s">
        <v>38</v>
      </c>
      <c r="Y340" s="1">
        <v>4</v>
      </c>
      <c r="Z340" s="1" t="s">
        <v>47</v>
      </c>
    </row>
    <row r="341" spans="1:26" x14ac:dyDescent="0.3">
      <c r="A341" s="1" t="s">
        <v>710</v>
      </c>
      <c r="B341" s="2">
        <v>46072</v>
      </c>
      <c r="C341" s="1" t="s">
        <v>711</v>
      </c>
      <c r="D341" s="1" t="s">
        <v>108</v>
      </c>
      <c r="E341" s="1" t="s">
        <v>29</v>
      </c>
      <c r="F341" s="1">
        <v>28</v>
      </c>
      <c r="G341" s="1" t="s">
        <v>90</v>
      </c>
      <c r="H341" s="1" t="s">
        <v>31</v>
      </c>
      <c r="I341" s="1" t="s">
        <v>90</v>
      </c>
      <c r="J341" s="1" t="s">
        <v>112</v>
      </c>
      <c r="K341" s="1">
        <v>5</v>
      </c>
      <c r="L341" s="1">
        <v>26465</v>
      </c>
      <c r="M341" s="1">
        <v>5</v>
      </c>
      <c r="N341" s="1">
        <v>6616.25</v>
      </c>
      <c r="O341" s="1">
        <v>22627.58</v>
      </c>
      <c r="P341" s="1">
        <v>473</v>
      </c>
      <c r="Q341" s="1">
        <v>148809.32999999999</v>
      </c>
      <c r="R341" s="1" t="s">
        <v>33</v>
      </c>
      <c r="S341" s="1" t="s">
        <v>63</v>
      </c>
      <c r="T341" s="1" t="s">
        <v>35</v>
      </c>
      <c r="U341" s="1" t="s">
        <v>36</v>
      </c>
      <c r="V341" s="1" t="s">
        <v>37</v>
      </c>
      <c r="W341" s="1">
        <v>1</v>
      </c>
      <c r="X341" s="1" t="s">
        <v>38</v>
      </c>
      <c r="Y341" s="1">
        <v>5</v>
      </c>
      <c r="Z341" s="1" t="s">
        <v>58</v>
      </c>
    </row>
    <row r="342" spans="1:26" x14ac:dyDescent="0.3">
      <c r="A342" s="1" t="s">
        <v>712</v>
      </c>
      <c r="B342" s="2">
        <v>46104</v>
      </c>
      <c r="C342" s="1" t="s">
        <v>713</v>
      </c>
      <c r="D342" s="1" t="s">
        <v>50</v>
      </c>
      <c r="E342" s="1" t="s">
        <v>43</v>
      </c>
      <c r="F342" s="1">
        <v>37</v>
      </c>
      <c r="G342" s="1" t="s">
        <v>67</v>
      </c>
      <c r="H342" s="1" t="s">
        <v>68</v>
      </c>
      <c r="I342" s="1" t="s">
        <v>67</v>
      </c>
      <c r="J342" s="1" t="s">
        <v>69</v>
      </c>
      <c r="K342" s="1">
        <v>2</v>
      </c>
      <c r="L342" s="1">
        <v>27129</v>
      </c>
      <c r="M342" s="1">
        <v>15</v>
      </c>
      <c r="N342" s="1">
        <v>8138.7</v>
      </c>
      <c r="O342" s="1">
        <v>8301.4699999999993</v>
      </c>
      <c r="P342" s="1">
        <v>47</v>
      </c>
      <c r="Q342" s="1">
        <v>54467.77</v>
      </c>
      <c r="R342" s="1" t="s">
        <v>83</v>
      </c>
      <c r="S342" s="1" t="s">
        <v>34</v>
      </c>
      <c r="T342" s="1" t="s">
        <v>95</v>
      </c>
      <c r="U342" s="1" t="s">
        <v>96</v>
      </c>
      <c r="V342" s="1" t="s">
        <v>57</v>
      </c>
      <c r="W342" s="1">
        <v>3</v>
      </c>
      <c r="X342" s="1" t="s">
        <v>38</v>
      </c>
      <c r="Y342" s="1">
        <v>4</v>
      </c>
      <c r="Z342" s="1" t="s">
        <v>58</v>
      </c>
    </row>
    <row r="343" spans="1:26" x14ac:dyDescent="0.3">
      <c r="A343" s="1" t="s">
        <v>714</v>
      </c>
      <c r="B343" s="2">
        <v>45848</v>
      </c>
      <c r="C343" s="1" t="s">
        <v>715</v>
      </c>
      <c r="D343" s="1" t="s">
        <v>111</v>
      </c>
      <c r="E343" s="1" t="s">
        <v>43</v>
      </c>
      <c r="F343" s="1">
        <v>44</v>
      </c>
      <c r="G343" s="1" t="s">
        <v>134</v>
      </c>
      <c r="H343" s="1" t="s">
        <v>31</v>
      </c>
      <c r="I343" s="1" t="s">
        <v>134</v>
      </c>
      <c r="J343" s="1" t="s">
        <v>69</v>
      </c>
      <c r="K343" s="1">
        <v>2</v>
      </c>
      <c r="L343" s="1">
        <v>37005</v>
      </c>
      <c r="M343" s="1">
        <v>0</v>
      </c>
      <c r="N343" s="1">
        <v>0</v>
      </c>
      <c r="O343" s="1">
        <v>13321.8</v>
      </c>
      <c r="P343" s="1">
        <v>458</v>
      </c>
      <c r="Q343" s="1">
        <v>87789.8</v>
      </c>
      <c r="R343" s="1" t="s">
        <v>33</v>
      </c>
      <c r="S343" s="1" t="s">
        <v>34</v>
      </c>
      <c r="T343" s="1" t="s">
        <v>35</v>
      </c>
      <c r="U343" s="1" t="s">
        <v>36</v>
      </c>
      <c r="V343" s="1" t="s">
        <v>37</v>
      </c>
      <c r="W343" s="1">
        <v>8</v>
      </c>
      <c r="X343" s="1" t="s">
        <v>47</v>
      </c>
      <c r="Y343" s="1">
        <v>4</v>
      </c>
      <c r="Z343" s="1" t="s">
        <v>47</v>
      </c>
    </row>
    <row r="344" spans="1:26" x14ac:dyDescent="0.3">
      <c r="A344" s="1" t="s">
        <v>716</v>
      </c>
      <c r="B344" s="2">
        <v>45820</v>
      </c>
      <c r="C344" s="1" t="s">
        <v>342</v>
      </c>
      <c r="D344" s="1" t="s">
        <v>61</v>
      </c>
      <c r="E344" s="1" t="s">
        <v>29</v>
      </c>
      <c r="F344" s="1">
        <v>36</v>
      </c>
      <c r="G344" s="1" t="s">
        <v>30</v>
      </c>
      <c r="H344" s="1" t="s">
        <v>31</v>
      </c>
      <c r="I344" s="1" t="s">
        <v>30</v>
      </c>
      <c r="J344" s="1" t="s">
        <v>75</v>
      </c>
      <c r="K344" s="1">
        <v>1</v>
      </c>
      <c r="L344" s="1">
        <v>42523</v>
      </c>
      <c r="M344" s="1">
        <v>10</v>
      </c>
      <c r="N344" s="1">
        <v>4252.3</v>
      </c>
      <c r="O344" s="1">
        <v>6888.73</v>
      </c>
      <c r="P344" s="1">
        <v>150</v>
      </c>
      <c r="Q344" s="1">
        <v>45309.43</v>
      </c>
      <c r="R344" s="1" t="s">
        <v>33</v>
      </c>
      <c r="S344" s="1" t="s">
        <v>34</v>
      </c>
      <c r="T344" s="1" t="s">
        <v>76</v>
      </c>
      <c r="U344" s="1" t="s">
        <v>77</v>
      </c>
      <c r="V344" s="1" t="s">
        <v>57</v>
      </c>
      <c r="W344" s="1">
        <v>9</v>
      </c>
      <c r="X344" s="1" t="s">
        <v>47</v>
      </c>
      <c r="Y344" s="1">
        <v>2</v>
      </c>
      <c r="Z344" s="1" t="s">
        <v>58</v>
      </c>
    </row>
    <row r="345" spans="1:26" x14ac:dyDescent="0.3">
      <c r="A345" s="1" t="s">
        <v>717</v>
      </c>
      <c r="B345" s="2">
        <v>46118</v>
      </c>
      <c r="C345" s="1" t="s">
        <v>101</v>
      </c>
      <c r="D345" s="1" t="s">
        <v>28</v>
      </c>
      <c r="E345" s="1" t="s">
        <v>43</v>
      </c>
      <c r="F345" s="1">
        <v>45</v>
      </c>
      <c r="G345" s="1" t="s">
        <v>44</v>
      </c>
      <c r="H345" s="1" t="s">
        <v>31</v>
      </c>
      <c r="I345" s="1" t="s">
        <v>44</v>
      </c>
      <c r="J345" s="1" t="s">
        <v>62</v>
      </c>
      <c r="K345" s="1">
        <v>4</v>
      </c>
      <c r="L345" s="1">
        <v>20804</v>
      </c>
      <c r="M345" s="1">
        <v>0</v>
      </c>
      <c r="N345" s="1">
        <v>0</v>
      </c>
      <c r="O345" s="1">
        <v>14978.88</v>
      </c>
      <c r="P345" s="1">
        <v>308</v>
      </c>
      <c r="Q345" s="1">
        <v>98502.88</v>
      </c>
      <c r="R345" s="1" t="s">
        <v>54</v>
      </c>
      <c r="S345" s="1" t="s">
        <v>34</v>
      </c>
      <c r="T345" s="1" t="s">
        <v>70</v>
      </c>
      <c r="U345" s="1" t="s">
        <v>56</v>
      </c>
      <c r="V345" s="1" t="s">
        <v>57</v>
      </c>
      <c r="W345" s="1">
        <v>4</v>
      </c>
      <c r="X345" s="1" t="s">
        <v>38</v>
      </c>
      <c r="Y345" s="1">
        <v>1</v>
      </c>
      <c r="Z345" s="1" t="s">
        <v>47</v>
      </c>
    </row>
    <row r="346" spans="1:26" x14ac:dyDescent="0.3">
      <c r="A346" s="1" t="s">
        <v>718</v>
      </c>
      <c r="B346" s="2">
        <v>46038</v>
      </c>
      <c r="C346" s="1" t="s">
        <v>719</v>
      </c>
      <c r="D346" s="1" t="s">
        <v>73</v>
      </c>
      <c r="E346" s="1" t="s">
        <v>43</v>
      </c>
      <c r="F346" s="1">
        <v>28</v>
      </c>
      <c r="G346" s="1" t="s">
        <v>90</v>
      </c>
      <c r="H346" s="1" t="s">
        <v>31</v>
      </c>
      <c r="I346" s="1" t="s">
        <v>90</v>
      </c>
      <c r="J346" s="1" t="s">
        <v>53</v>
      </c>
      <c r="K346" s="1">
        <v>1</v>
      </c>
      <c r="L346" s="1">
        <v>15992</v>
      </c>
      <c r="M346" s="1">
        <v>5</v>
      </c>
      <c r="N346" s="1">
        <v>799.6</v>
      </c>
      <c r="O346" s="1">
        <v>2734.63</v>
      </c>
      <c r="P346" s="1">
        <v>229</v>
      </c>
      <c r="Q346" s="1">
        <v>18156.03</v>
      </c>
      <c r="R346" s="1" t="s">
        <v>83</v>
      </c>
      <c r="S346" s="1" t="s">
        <v>63</v>
      </c>
      <c r="T346" s="1" t="s">
        <v>46</v>
      </c>
      <c r="U346" s="1" t="s">
        <v>36</v>
      </c>
      <c r="V346" s="1" t="s">
        <v>37</v>
      </c>
      <c r="W346" s="1">
        <v>9</v>
      </c>
      <c r="X346" s="1" t="s">
        <v>38</v>
      </c>
      <c r="Y346" s="1">
        <v>5</v>
      </c>
      <c r="Z346" s="1" t="s">
        <v>58</v>
      </c>
    </row>
    <row r="347" spans="1:26" x14ac:dyDescent="0.3">
      <c r="A347" s="1" t="s">
        <v>720</v>
      </c>
      <c r="B347" s="2">
        <v>46045</v>
      </c>
      <c r="C347" s="1" t="s">
        <v>82</v>
      </c>
      <c r="D347" s="1" t="s">
        <v>89</v>
      </c>
      <c r="E347" s="1" t="s">
        <v>43</v>
      </c>
      <c r="F347" s="1">
        <v>25</v>
      </c>
      <c r="G347" s="1" t="s">
        <v>51</v>
      </c>
      <c r="H347" s="1" t="s">
        <v>52</v>
      </c>
      <c r="I347" s="1" t="s">
        <v>51</v>
      </c>
      <c r="J347" s="1" t="s">
        <v>53</v>
      </c>
      <c r="K347" s="1">
        <v>5</v>
      </c>
      <c r="L347" s="1">
        <v>11797</v>
      </c>
      <c r="M347" s="1">
        <v>0</v>
      </c>
      <c r="N347" s="1">
        <v>0</v>
      </c>
      <c r="O347" s="1">
        <v>10617.3</v>
      </c>
      <c r="P347" s="1">
        <v>45</v>
      </c>
      <c r="Q347" s="1">
        <v>69647.3</v>
      </c>
      <c r="R347" s="1" t="s">
        <v>54</v>
      </c>
      <c r="S347" s="1" t="s">
        <v>63</v>
      </c>
      <c r="T347" s="1" t="s">
        <v>35</v>
      </c>
      <c r="U347" s="1" t="s">
        <v>36</v>
      </c>
      <c r="V347" s="1" t="s">
        <v>37</v>
      </c>
      <c r="W347" s="1">
        <v>3</v>
      </c>
      <c r="X347" s="1" t="s">
        <v>38</v>
      </c>
      <c r="Y347" s="1">
        <v>4</v>
      </c>
      <c r="Z347" s="1" t="s">
        <v>39</v>
      </c>
    </row>
    <row r="348" spans="1:26" x14ac:dyDescent="0.3">
      <c r="A348" s="1" t="s">
        <v>721</v>
      </c>
      <c r="B348" s="2">
        <v>45766</v>
      </c>
      <c r="C348" s="1" t="s">
        <v>722</v>
      </c>
      <c r="D348" s="1" t="s">
        <v>111</v>
      </c>
      <c r="E348" s="1" t="s">
        <v>43</v>
      </c>
      <c r="F348" s="1">
        <v>27</v>
      </c>
      <c r="G348" s="1" t="s">
        <v>67</v>
      </c>
      <c r="H348" s="1" t="s">
        <v>68</v>
      </c>
      <c r="I348" s="1" t="s">
        <v>67</v>
      </c>
      <c r="J348" s="1" t="s">
        <v>201</v>
      </c>
      <c r="K348" s="1">
        <v>1</v>
      </c>
      <c r="L348" s="1">
        <v>46166</v>
      </c>
      <c r="M348" s="1">
        <v>15</v>
      </c>
      <c r="N348" s="1">
        <v>6924.9</v>
      </c>
      <c r="O348" s="1">
        <v>7063.4</v>
      </c>
      <c r="P348" s="1">
        <v>461</v>
      </c>
      <c r="Q348" s="1">
        <v>46765.5</v>
      </c>
      <c r="R348" s="1" t="s">
        <v>54</v>
      </c>
      <c r="S348" s="1" t="s">
        <v>34</v>
      </c>
      <c r="T348" s="1" t="s">
        <v>46</v>
      </c>
      <c r="U348" s="1" t="s">
        <v>36</v>
      </c>
      <c r="V348" s="1" t="s">
        <v>37</v>
      </c>
      <c r="W348" s="1">
        <v>10</v>
      </c>
      <c r="X348" s="1" t="s">
        <v>47</v>
      </c>
      <c r="Y348" s="1">
        <v>5</v>
      </c>
      <c r="Z348" s="1" t="s">
        <v>47</v>
      </c>
    </row>
    <row r="349" spans="1:26" x14ac:dyDescent="0.3">
      <c r="A349" s="1" t="s">
        <v>723</v>
      </c>
      <c r="B349" s="2">
        <v>45763</v>
      </c>
      <c r="C349" s="1" t="s">
        <v>724</v>
      </c>
      <c r="D349" s="1" t="s">
        <v>50</v>
      </c>
      <c r="E349" s="1" t="s">
        <v>29</v>
      </c>
      <c r="F349" s="1">
        <v>37</v>
      </c>
      <c r="G349" s="1" t="s">
        <v>90</v>
      </c>
      <c r="H349" s="1" t="s">
        <v>31</v>
      </c>
      <c r="I349" s="1" t="s">
        <v>90</v>
      </c>
      <c r="J349" s="1" t="s">
        <v>53</v>
      </c>
      <c r="K349" s="1">
        <v>1</v>
      </c>
      <c r="L349" s="1">
        <v>36991</v>
      </c>
      <c r="M349" s="1">
        <v>10</v>
      </c>
      <c r="N349" s="1">
        <v>3699.1</v>
      </c>
      <c r="O349" s="1">
        <v>5992.54</v>
      </c>
      <c r="P349" s="1">
        <v>357</v>
      </c>
      <c r="Q349" s="1">
        <v>39641.440000000002</v>
      </c>
      <c r="R349" s="1" t="s">
        <v>54</v>
      </c>
      <c r="S349" s="1" t="s">
        <v>63</v>
      </c>
      <c r="T349" s="1" t="s">
        <v>103</v>
      </c>
      <c r="U349" s="1" t="s">
        <v>103</v>
      </c>
      <c r="V349" s="1" t="s">
        <v>57</v>
      </c>
      <c r="W349" s="1">
        <v>1</v>
      </c>
      <c r="X349" s="1" t="s">
        <v>38</v>
      </c>
      <c r="Y349" s="1">
        <v>3</v>
      </c>
      <c r="Z349" s="1" t="s">
        <v>39</v>
      </c>
    </row>
    <row r="350" spans="1:26" x14ac:dyDescent="0.3">
      <c r="A350" s="1" t="s">
        <v>725</v>
      </c>
      <c r="B350" s="2">
        <v>45862</v>
      </c>
      <c r="C350" s="1" t="s">
        <v>526</v>
      </c>
      <c r="D350" s="1" t="s">
        <v>73</v>
      </c>
      <c r="E350" s="1" t="s">
        <v>29</v>
      </c>
      <c r="F350" s="1">
        <v>30</v>
      </c>
      <c r="G350" s="1" t="s">
        <v>51</v>
      </c>
      <c r="H350" s="1" t="s">
        <v>52</v>
      </c>
      <c r="I350" s="1" t="s">
        <v>51</v>
      </c>
      <c r="J350" s="1" t="s">
        <v>150</v>
      </c>
      <c r="K350" s="1">
        <v>4</v>
      </c>
      <c r="L350" s="1">
        <v>28780</v>
      </c>
      <c r="M350" s="1">
        <v>15</v>
      </c>
      <c r="N350" s="1">
        <v>17268</v>
      </c>
      <c r="O350" s="1">
        <v>17613.36</v>
      </c>
      <c r="P350" s="1">
        <v>127</v>
      </c>
      <c r="Q350" s="1">
        <v>115592.36</v>
      </c>
      <c r="R350" s="1" t="s">
        <v>83</v>
      </c>
      <c r="S350" s="1" t="s">
        <v>63</v>
      </c>
      <c r="T350" s="1" t="s">
        <v>70</v>
      </c>
      <c r="U350" s="1" t="s">
        <v>56</v>
      </c>
      <c r="V350" s="1" t="s">
        <v>57</v>
      </c>
      <c r="W350" s="1">
        <v>6</v>
      </c>
      <c r="X350" s="1" t="s">
        <v>47</v>
      </c>
      <c r="Y350" s="1">
        <v>3</v>
      </c>
      <c r="Z350" s="1" t="s">
        <v>39</v>
      </c>
    </row>
    <row r="351" spans="1:26" x14ac:dyDescent="0.3">
      <c r="A351" s="1" t="s">
        <v>726</v>
      </c>
      <c r="B351" s="2">
        <v>45832</v>
      </c>
      <c r="C351" s="1" t="s">
        <v>631</v>
      </c>
      <c r="D351" s="1" t="s">
        <v>50</v>
      </c>
      <c r="E351" s="1" t="s">
        <v>29</v>
      </c>
      <c r="F351" s="1">
        <v>54</v>
      </c>
      <c r="G351" s="1" t="s">
        <v>94</v>
      </c>
      <c r="H351" s="1" t="s">
        <v>31</v>
      </c>
      <c r="I351" s="1" t="s">
        <v>94</v>
      </c>
      <c r="J351" s="1" t="s">
        <v>75</v>
      </c>
      <c r="K351" s="1">
        <v>4</v>
      </c>
      <c r="L351" s="1">
        <v>18388</v>
      </c>
      <c r="M351" s="1">
        <v>20</v>
      </c>
      <c r="N351" s="1">
        <v>14710.4</v>
      </c>
      <c r="O351" s="1">
        <v>10591.49</v>
      </c>
      <c r="P351" s="1">
        <v>469</v>
      </c>
      <c r="Q351" s="1">
        <v>69902.09</v>
      </c>
      <c r="R351" s="1" t="s">
        <v>83</v>
      </c>
      <c r="S351" s="1" t="s">
        <v>63</v>
      </c>
      <c r="T351" s="1" t="s">
        <v>35</v>
      </c>
      <c r="U351" s="1" t="s">
        <v>36</v>
      </c>
      <c r="V351" s="1" t="s">
        <v>37</v>
      </c>
      <c r="W351" s="1">
        <v>4</v>
      </c>
      <c r="X351" s="1" t="s">
        <v>47</v>
      </c>
      <c r="Y351" s="1">
        <v>4</v>
      </c>
      <c r="Z351" s="1" t="s">
        <v>91</v>
      </c>
    </row>
    <row r="352" spans="1:26" x14ac:dyDescent="0.3">
      <c r="A352" s="1" t="s">
        <v>727</v>
      </c>
      <c r="B352" s="2">
        <v>46108</v>
      </c>
      <c r="C352" s="1" t="s">
        <v>728</v>
      </c>
      <c r="D352" s="1" t="s">
        <v>111</v>
      </c>
      <c r="E352" s="1" t="s">
        <v>43</v>
      </c>
      <c r="F352" s="1">
        <v>50</v>
      </c>
      <c r="G352" s="1" t="s">
        <v>44</v>
      </c>
      <c r="H352" s="1" t="s">
        <v>31</v>
      </c>
      <c r="I352" s="1" t="s">
        <v>44</v>
      </c>
      <c r="J352" s="1" t="s">
        <v>53</v>
      </c>
      <c r="K352" s="1">
        <v>4</v>
      </c>
      <c r="L352" s="1">
        <v>31950</v>
      </c>
      <c r="M352" s="1">
        <v>0</v>
      </c>
      <c r="N352" s="1">
        <v>0</v>
      </c>
      <c r="O352" s="1">
        <v>23004</v>
      </c>
      <c r="P352" s="1">
        <v>50</v>
      </c>
      <c r="Q352" s="1">
        <v>150854</v>
      </c>
      <c r="R352" s="1" t="s">
        <v>83</v>
      </c>
      <c r="S352" s="1" t="s">
        <v>34</v>
      </c>
      <c r="T352" s="1" t="s">
        <v>35</v>
      </c>
      <c r="U352" s="1" t="s">
        <v>36</v>
      </c>
      <c r="V352" s="1" t="s">
        <v>37</v>
      </c>
      <c r="W352" s="1">
        <v>6</v>
      </c>
      <c r="X352" s="1" t="s">
        <v>38</v>
      </c>
      <c r="Y352" s="1">
        <v>4</v>
      </c>
      <c r="Z352" s="1" t="s">
        <v>58</v>
      </c>
    </row>
    <row r="353" spans="1:26" x14ac:dyDescent="0.3">
      <c r="A353" s="1" t="s">
        <v>729</v>
      </c>
      <c r="B353" s="2">
        <v>46025</v>
      </c>
      <c r="C353" s="1" t="s">
        <v>730</v>
      </c>
      <c r="D353" s="1" t="s">
        <v>111</v>
      </c>
      <c r="E353" s="1" t="s">
        <v>29</v>
      </c>
      <c r="F353" s="1">
        <v>38</v>
      </c>
      <c r="G353" s="1" t="s">
        <v>44</v>
      </c>
      <c r="H353" s="1" t="s">
        <v>31</v>
      </c>
      <c r="I353" s="1" t="s">
        <v>44</v>
      </c>
      <c r="J353" s="1" t="s">
        <v>75</v>
      </c>
      <c r="K353" s="1">
        <v>1</v>
      </c>
      <c r="L353" s="1">
        <v>35608</v>
      </c>
      <c r="M353" s="1">
        <v>20</v>
      </c>
      <c r="N353" s="1">
        <v>7121.6</v>
      </c>
      <c r="O353" s="1">
        <v>5127.55</v>
      </c>
      <c r="P353" s="1">
        <v>412</v>
      </c>
      <c r="Q353" s="1">
        <v>34025.949999999997</v>
      </c>
      <c r="R353" s="1" t="s">
        <v>83</v>
      </c>
      <c r="S353" s="1" t="s">
        <v>63</v>
      </c>
      <c r="T353" s="1" t="s">
        <v>70</v>
      </c>
      <c r="U353" s="1" t="s">
        <v>56</v>
      </c>
      <c r="V353" s="1" t="s">
        <v>57</v>
      </c>
      <c r="W353" s="1">
        <v>10</v>
      </c>
      <c r="X353" s="1" t="s">
        <v>47</v>
      </c>
      <c r="Y353" s="1">
        <v>2</v>
      </c>
      <c r="Z353" s="1" t="s">
        <v>91</v>
      </c>
    </row>
    <row r="354" spans="1:26" x14ac:dyDescent="0.3">
      <c r="A354" s="1" t="s">
        <v>731</v>
      </c>
      <c r="B354" s="2">
        <v>45910</v>
      </c>
      <c r="C354" s="1" t="s">
        <v>138</v>
      </c>
      <c r="D354" s="1" t="s">
        <v>42</v>
      </c>
      <c r="E354" s="1" t="s">
        <v>29</v>
      </c>
      <c r="F354" s="1">
        <v>56</v>
      </c>
      <c r="G354" s="1" t="s">
        <v>30</v>
      </c>
      <c r="H354" s="1" t="s">
        <v>31</v>
      </c>
      <c r="I354" s="1" t="s">
        <v>30</v>
      </c>
      <c r="J354" s="1" t="s">
        <v>102</v>
      </c>
      <c r="K354" s="1">
        <v>5</v>
      </c>
      <c r="L354" s="1">
        <v>23093</v>
      </c>
      <c r="M354" s="1">
        <v>0</v>
      </c>
      <c r="N354" s="1">
        <v>0</v>
      </c>
      <c r="O354" s="1">
        <v>20783.7</v>
      </c>
      <c r="P354" s="1">
        <v>59</v>
      </c>
      <c r="Q354" s="1">
        <v>136307.70000000001</v>
      </c>
      <c r="R354" s="1" t="s">
        <v>45</v>
      </c>
      <c r="S354" s="1" t="s">
        <v>63</v>
      </c>
      <c r="T354" s="1" t="s">
        <v>76</v>
      </c>
      <c r="U354" s="1" t="s">
        <v>77</v>
      </c>
      <c r="V354" s="1" t="s">
        <v>57</v>
      </c>
      <c r="W354" s="1">
        <v>6</v>
      </c>
      <c r="X354" s="1" t="s">
        <v>38</v>
      </c>
      <c r="Y354" s="1">
        <v>2</v>
      </c>
      <c r="Z354" s="1" t="s">
        <v>58</v>
      </c>
    </row>
    <row r="355" spans="1:26" x14ac:dyDescent="0.3">
      <c r="A355" s="1" t="s">
        <v>732</v>
      </c>
      <c r="B355" s="2">
        <v>45986</v>
      </c>
      <c r="C355" s="1" t="s">
        <v>455</v>
      </c>
      <c r="D355" s="1" t="s">
        <v>42</v>
      </c>
      <c r="E355" s="1" t="s">
        <v>43</v>
      </c>
      <c r="F355" s="1">
        <v>54</v>
      </c>
      <c r="G355" s="1" t="s">
        <v>90</v>
      </c>
      <c r="H355" s="1" t="s">
        <v>31</v>
      </c>
      <c r="I355" s="1" t="s">
        <v>90</v>
      </c>
      <c r="J355" s="1" t="s">
        <v>102</v>
      </c>
      <c r="K355" s="1">
        <v>4</v>
      </c>
      <c r="L355" s="1">
        <v>27882</v>
      </c>
      <c r="M355" s="1">
        <v>10</v>
      </c>
      <c r="N355" s="1">
        <v>11152.8</v>
      </c>
      <c r="O355" s="1">
        <v>18067.54</v>
      </c>
      <c r="P355" s="1">
        <v>288</v>
      </c>
      <c r="Q355" s="1">
        <v>118730.74</v>
      </c>
      <c r="R355" s="1" t="s">
        <v>33</v>
      </c>
      <c r="S355" s="1" t="s">
        <v>63</v>
      </c>
      <c r="T355" s="1" t="s">
        <v>35</v>
      </c>
      <c r="U355" s="1" t="s">
        <v>36</v>
      </c>
      <c r="V355" s="1" t="s">
        <v>37</v>
      </c>
      <c r="W355" s="1">
        <v>7</v>
      </c>
      <c r="X355" s="1" t="s">
        <v>47</v>
      </c>
      <c r="Y355" s="1">
        <v>1</v>
      </c>
      <c r="Z355" s="1" t="s">
        <v>47</v>
      </c>
    </row>
    <row r="356" spans="1:26" x14ac:dyDescent="0.3">
      <c r="A356" s="1" t="s">
        <v>733</v>
      </c>
      <c r="B356" s="2">
        <v>46059</v>
      </c>
      <c r="C356" s="1" t="s">
        <v>734</v>
      </c>
      <c r="D356" s="1" t="s">
        <v>61</v>
      </c>
      <c r="E356" s="1" t="s">
        <v>43</v>
      </c>
      <c r="F356" s="1">
        <v>39</v>
      </c>
      <c r="G356" s="1" t="s">
        <v>134</v>
      </c>
      <c r="H356" s="1" t="s">
        <v>31</v>
      </c>
      <c r="I356" s="1" t="s">
        <v>134</v>
      </c>
      <c r="J356" s="1" t="s">
        <v>150</v>
      </c>
      <c r="K356" s="1">
        <v>2</v>
      </c>
      <c r="L356" s="1">
        <v>44930</v>
      </c>
      <c r="M356" s="1">
        <v>10</v>
      </c>
      <c r="N356" s="1">
        <v>8986</v>
      </c>
      <c r="O356" s="1">
        <v>14557.32</v>
      </c>
      <c r="P356" s="1">
        <v>262</v>
      </c>
      <c r="Q356" s="1">
        <v>95693.32</v>
      </c>
      <c r="R356" s="1" t="s">
        <v>54</v>
      </c>
      <c r="S356" s="1" t="s">
        <v>34</v>
      </c>
      <c r="T356" s="1" t="s">
        <v>46</v>
      </c>
      <c r="U356" s="1" t="s">
        <v>36</v>
      </c>
      <c r="V356" s="1" t="s">
        <v>37</v>
      </c>
      <c r="W356" s="1">
        <v>4</v>
      </c>
      <c r="X356" s="1" t="s">
        <v>38</v>
      </c>
      <c r="Y356" s="1">
        <v>1</v>
      </c>
      <c r="Z356" s="1" t="s">
        <v>91</v>
      </c>
    </row>
    <row r="357" spans="1:26" x14ac:dyDescent="0.3">
      <c r="A357" s="1" t="s">
        <v>735</v>
      </c>
      <c r="B357" s="2">
        <v>46010</v>
      </c>
      <c r="C357" s="1" t="s">
        <v>305</v>
      </c>
      <c r="D357" s="1" t="s">
        <v>42</v>
      </c>
      <c r="E357" s="1" t="s">
        <v>43</v>
      </c>
      <c r="F357" s="1">
        <v>51</v>
      </c>
      <c r="G357" s="1" t="s">
        <v>139</v>
      </c>
      <c r="H357" s="1" t="s">
        <v>31</v>
      </c>
      <c r="I357" s="1" t="s">
        <v>139</v>
      </c>
      <c r="J357" s="1" t="s">
        <v>53</v>
      </c>
      <c r="K357" s="1">
        <v>2</v>
      </c>
      <c r="L357" s="1">
        <v>32991</v>
      </c>
      <c r="M357" s="1">
        <v>5</v>
      </c>
      <c r="N357" s="1">
        <v>3299.1</v>
      </c>
      <c r="O357" s="1">
        <v>11282.92</v>
      </c>
      <c r="P357" s="1">
        <v>307</v>
      </c>
      <c r="Q357" s="1">
        <v>74272.820000000007</v>
      </c>
      <c r="R357" s="1" t="s">
        <v>54</v>
      </c>
      <c r="S357" s="1" t="s">
        <v>63</v>
      </c>
      <c r="T357" s="1" t="s">
        <v>35</v>
      </c>
      <c r="U357" s="1" t="s">
        <v>36</v>
      </c>
      <c r="V357" s="1" t="s">
        <v>37</v>
      </c>
      <c r="W357" s="1">
        <v>6</v>
      </c>
      <c r="X357" s="1" t="s">
        <v>47</v>
      </c>
      <c r="Y357" s="1">
        <v>4</v>
      </c>
      <c r="Z357" s="1" t="s">
        <v>47</v>
      </c>
    </row>
    <row r="358" spans="1:26" x14ac:dyDescent="0.3">
      <c r="A358" s="1" t="s">
        <v>736</v>
      </c>
      <c r="B358" s="2">
        <v>46051</v>
      </c>
      <c r="C358" s="1" t="s">
        <v>332</v>
      </c>
      <c r="D358" s="1" t="s">
        <v>108</v>
      </c>
      <c r="E358" s="1" t="s">
        <v>43</v>
      </c>
      <c r="F358" s="1">
        <v>41</v>
      </c>
      <c r="G358" s="1" t="s">
        <v>44</v>
      </c>
      <c r="H358" s="1" t="s">
        <v>31</v>
      </c>
      <c r="I358" s="1" t="s">
        <v>44</v>
      </c>
      <c r="J358" s="1" t="s">
        <v>69</v>
      </c>
      <c r="K358" s="1">
        <v>5</v>
      </c>
      <c r="L358" s="1">
        <v>45961</v>
      </c>
      <c r="M358" s="1">
        <v>15</v>
      </c>
      <c r="N358" s="1">
        <v>34470.75</v>
      </c>
      <c r="O358" s="1">
        <v>35160.17</v>
      </c>
      <c r="P358" s="1">
        <v>329</v>
      </c>
      <c r="Q358" s="1">
        <v>230823.42</v>
      </c>
      <c r="R358" s="1" t="s">
        <v>54</v>
      </c>
      <c r="S358" s="1" t="s">
        <v>34</v>
      </c>
      <c r="T358" s="1" t="s">
        <v>84</v>
      </c>
      <c r="U358" s="1" t="s">
        <v>85</v>
      </c>
      <c r="V358" s="1" t="s">
        <v>86</v>
      </c>
      <c r="W358" s="1">
        <v>10</v>
      </c>
      <c r="X358" s="1" t="s">
        <v>47</v>
      </c>
      <c r="Y358" s="1">
        <v>1</v>
      </c>
      <c r="Z358" s="1" t="s">
        <v>58</v>
      </c>
    </row>
    <row r="359" spans="1:26" x14ac:dyDescent="0.3">
      <c r="A359" s="1" t="s">
        <v>737</v>
      </c>
      <c r="B359" s="2">
        <v>45907</v>
      </c>
      <c r="C359" s="1" t="s">
        <v>738</v>
      </c>
      <c r="D359" s="1" t="s">
        <v>28</v>
      </c>
      <c r="E359" s="1" t="s">
        <v>43</v>
      </c>
      <c r="F359" s="1">
        <v>35</v>
      </c>
      <c r="G359" s="1" t="s">
        <v>90</v>
      </c>
      <c r="H359" s="1" t="s">
        <v>31</v>
      </c>
      <c r="I359" s="1" t="s">
        <v>90</v>
      </c>
      <c r="J359" s="1" t="s">
        <v>69</v>
      </c>
      <c r="K359" s="1">
        <v>1</v>
      </c>
      <c r="L359" s="1">
        <v>31904</v>
      </c>
      <c r="M359" s="1">
        <v>5</v>
      </c>
      <c r="N359" s="1">
        <v>1595.2</v>
      </c>
      <c r="O359" s="1">
        <v>5455.58</v>
      </c>
      <c r="P359" s="1">
        <v>374</v>
      </c>
      <c r="Q359" s="1">
        <v>36138.379999999997</v>
      </c>
      <c r="R359" s="1" t="s">
        <v>54</v>
      </c>
      <c r="S359" s="1" t="s">
        <v>63</v>
      </c>
      <c r="T359" s="1" t="s">
        <v>84</v>
      </c>
      <c r="U359" s="1" t="s">
        <v>85</v>
      </c>
      <c r="V359" s="1" t="s">
        <v>86</v>
      </c>
      <c r="W359" s="1">
        <v>6</v>
      </c>
      <c r="X359" s="1" t="s">
        <v>47</v>
      </c>
      <c r="Y359" s="1">
        <v>3</v>
      </c>
      <c r="Z359" s="1" t="s">
        <v>47</v>
      </c>
    </row>
    <row r="360" spans="1:26" x14ac:dyDescent="0.3">
      <c r="A360" s="1" t="s">
        <v>739</v>
      </c>
      <c r="B360" s="2">
        <v>46081</v>
      </c>
      <c r="C360" s="1" t="s">
        <v>740</v>
      </c>
      <c r="D360" s="1" t="s">
        <v>108</v>
      </c>
      <c r="E360" s="1" t="s">
        <v>43</v>
      </c>
      <c r="F360" s="1">
        <v>46</v>
      </c>
      <c r="G360" s="1" t="s">
        <v>134</v>
      </c>
      <c r="H360" s="1" t="s">
        <v>31</v>
      </c>
      <c r="I360" s="1" t="s">
        <v>134</v>
      </c>
      <c r="J360" s="1" t="s">
        <v>125</v>
      </c>
      <c r="K360" s="1">
        <v>1</v>
      </c>
      <c r="L360" s="1">
        <v>33120</v>
      </c>
      <c r="M360" s="1">
        <v>0</v>
      </c>
      <c r="N360" s="1">
        <v>0</v>
      </c>
      <c r="O360" s="1">
        <v>5961.6</v>
      </c>
      <c r="P360" s="1">
        <v>154</v>
      </c>
      <c r="Q360" s="1">
        <v>39235.599999999999</v>
      </c>
      <c r="R360" s="1" t="s">
        <v>83</v>
      </c>
      <c r="S360" s="1" t="s">
        <v>63</v>
      </c>
      <c r="T360" s="1" t="s">
        <v>84</v>
      </c>
      <c r="U360" s="1" t="s">
        <v>85</v>
      </c>
      <c r="V360" s="1" t="s">
        <v>86</v>
      </c>
      <c r="W360" s="1">
        <v>2</v>
      </c>
      <c r="X360" s="1" t="s">
        <v>47</v>
      </c>
      <c r="Y360" s="1">
        <v>4</v>
      </c>
      <c r="Z360" s="1" t="s">
        <v>58</v>
      </c>
    </row>
    <row r="361" spans="1:26" x14ac:dyDescent="0.3">
      <c r="A361" s="1" t="s">
        <v>741</v>
      </c>
      <c r="B361" s="2">
        <v>45899</v>
      </c>
      <c r="C361" s="1" t="s">
        <v>742</v>
      </c>
      <c r="D361" s="1" t="s">
        <v>61</v>
      </c>
      <c r="E361" s="1" t="s">
        <v>43</v>
      </c>
      <c r="F361" s="1">
        <v>47</v>
      </c>
      <c r="G361" s="1" t="s">
        <v>44</v>
      </c>
      <c r="H361" s="1" t="s">
        <v>31</v>
      </c>
      <c r="I361" s="1" t="s">
        <v>44</v>
      </c>
      <c r="J361" s="1" t="s">
        <v>75</v>
      </c>
      <c r="K361" s="1">
        <v>2</v>
      </c>
      <c r="L361" s="1">
        <v>39261</v>
      </c>
      <c r="M361" s="1">
        <v>0</v>
      </c>
      <c r="N361" s="1">
        <v>0</v>
      </c>
      <c r="O361" s="1">
        <v>14133.96</v>
      </c>
      <c r="P361" s="1">
        <v>437</v>
      </c>
      <c r="Q361" s="1">
        <v>93092.96</v>
      </c>
      <c r="R361" s="1" t="s">
        <v>54</v>
      </c>
      <c r="S361" s="1" t="s">
        <v>63</v>
      </c>
      <c r="T361" s="1" t="s">
        <v>84</v>
      </c>
      <c r="U361" s="1" t="s">
        <v>85</v>
      </c>
      <c r="V361" s="1" t="s">
        <v>86</v>
      </c>
      <c r="W361" s="1">
        <v>8</v>
      </c>
      <c r="X361" s="1" t="s">
        <v>47</v>
      </c>
      <c r="Y361" s="1">
        <v>1</v>
      </c>
      <c r="Z361" s="1" t="s">
        <v>47</v>
      </c>
    </row>
    <row r="362" spans="1:26" x14ac:dyDescent="0.3">
      <c r="A362" s="1" t="s">
        <v>743</v>
      </c>
      <c r="B362" s="2">
        <v>45990</v>
      </c>
      <c r="C362" s="1" t="s">
        <v>744</v>
      </c>
      <c r="D362" s="1" t="s">
        <v>80</v>
      </c>
      <c r="E362" s="1" t="s">
        <v>43</v>
      </c>
      <c r="F362" s="1">
        <v>56</v>
      </c>
      <c r="G362" s="1" t="s">
        <v>67</v>
      </c>
      <c r="H362" s="1" t="s">
        <v>68</v>
      </c>
      <c r="I362" s="1" t="s">
        <v>67</v>
      </c>
      <c r="J362" s="1" t="s">
        <v>53</v>
      </c>
      <c r="K362" s="1">
        <v>4</v>
      </c>
      <c r="L362" s="1">
        <v>20027</v>
      </c>
      <c r="M362" s="1">
        <v>10</v>
      </c>
      <c r="N362" s="1">
        <v>8010.8</v>
      </c>
      <c r="O362" s="1">
        <v>12977.5</v>
      </c>
      <c r="P362" s="1">
        <v>0</v>
      </c>
      <c r="Q362" s="1">
        <v>85074.7</v>
      </c>
      <c r="R362" s="1" t="s">
        <v>45</v>
      </c>
      <c r="S362" s="1" t="s">
        <v>63</v>
      </c>
      <c r="T362" s="1" t="s">
        <v>103</v>
      </c>
      <c r="U362" s="1" t="s">
        <v>103</v>
      </c>
      <c r="V362" s="1" t="s">
        <v>57</v>
      </c>
      <c r="W362" s="1">
        <v>1</v>
      </c>
      <c r="X362" s="1" t="s">
        <v>38</v>
      </c>
      <c r="Y362" s="1">
        <v>5</v>
      </c>
      <c r="Z362" s="1" t="s">
        <v>91</v>
      </c>
    </row>
    <row r="363" spans="1:26" x14ac:dyDescent="0.3">
      <c r="A363" s="1" t="s">
        <v>745</v>
      </c>
      <c r="B363" s="2">
        <v>45877</v>
      </c>
      <c r="C363" s="1" t="s">
        <v>746</v>
      </c>
      <c r="D363" s="1" t="s">
        <v>66</v>
      </c>
      <c r="E363" s="1" t="s">
        <v>29</v>
      </c>
      <c r="F363" s="1">
        <v>33</v>
      </c>
      <c r="G363" s="1" t="s">
        <v>139</v>
      </c>
      <c r="H363" s="1" t="s">
        <v>31</v>
      </c>
      <c r="I363" s="1" t="s">
        <v>139</v>
      </c>
      <c r="J363" s="1" t="s">
        <v>69</v>
      </c>
      <c r="K363" s="1">
        <v>2</v>
      </c>
      <c r="L363" s="1">
        <v>29124</v>
      </c>
      <c r="M363" s="1">
        <v>0</v>
      </c>
      <c r="N363" s="1">
        <v>0</v>
      </c>
      <c r="O363" s="1">
        <v>10484.64</v>
      </c>
      <c r="P363" s="1">
        <v>260</v>
      </c>
      <c r="Q363" s="1">
        <v>68992.639999999999</v>
      </c>
      <c r="R363" s="1" t="s">
        <v>33</v>
      </c>
      <c r="S363" s="1" t="s">
        <v>63</v>
      </c>
      <c r="T363" s="1" t="s">
        <v>103</v>
      </c>
      <c r="U363" s="1" t="s">
        <v>103</v>
      </c>
      <c r="V363" s="1" t="s">
        <v>57</v>
      </c>
      <c r="W363" s="1">
        <v>8</v>
      </c>
      <c r="X363" s="1" t="s">
        <v>38</v>
      </c>
      <c r="Y363" s="1">
        <v>5</v>
      </c>
      <c r="Z363" s="1" t="s">
        <v>58</v>
      </c>
    </row>
    <row r="364" spans="1:26" x14ac:dyDescent="0.3">
      <c r="A364" s="1" t="s">
        <v>747</v>
      </c>
      <c r="B364" s="2">
        <v>46029</v>
      </c>
      <c r="C364" s="1" t="s">
        <v>748</v>
      </c>
      <c r="D364" s="1" t="s">
        <v>89</v>
      </c>
      <c r="E364" s="1" t="s">
        <v>29</v>
      </c>
      <c r="F364" s="1">
        <v>24</v>
      </c>
      <c r="G364" s="1" t="s">
        <v>67</v>
      </c>
      <c r="H364" s="1" t="s">
        <v>68</v>
      </c>
      <c r="I364" s="1" t="s">
        <v>67</v>
      </c>
      <c r="J364" s="1" t="s">
        <v>150</v>
      </c>
      <c r="K364" s="1">
        <v>3</v>
      </c>
      <c r="L364" s="1">
        <v>34423</v>
      </c>
      <c r="M364" s="1">
        <v>10</v>
      </c>
      <c r="N364" s="1">
        <v>10326.9</v>
      </c>
      <c r="O364" s="1">
        <v>16729.580000000002</v>
      </c>
      <c r="P364" s="1">
        <v>223</v>
      </c>
      <c r="Q364" s="1">
        <v>109894.68</v>
      </c>
      <c r="R364" s="1" t="s">
        <v>83</v>
      </c>
      <c r="S364" s="1" t="s">
        <v>34</v>
      </c>
      <c r="T364" s="1" t="s">
        <v>95</v>
      </c>
      <c r="U364" s="1" t="s">
        <v>96</v>
      </c>
      <c r="V364" s="1" t="s">
        <v>57</v>
      </c>
      <c r="W364" s="1">
        <v>7</v>
      </c>
      <c r="X364" s="1" t="s">
        <v>47</v>
      </c>
      <c r="Y364" s="1">
        <v>4</v>
      </c>
      <c r="Z364" s="1" t="s">
        <v>91</v>
      </c>
    </row>
    <row r="365" spans="1:26" x14ac:dyDescent="0.3">
      <c r="A365" s="1" t="s">
        <v>749</v>
      </c>
      <c r="B365" s="2">
        <v>46027</v>
      </c>
      <c r="C365" s="1" t="s">
        <v>279</v>
      </c>
      <c r="D365" s="1" t="s">
        <v>108</v>
      </c>
      <c r="E365" s="1" t="s">
        <v>43</v>
      </c>
      <c r="F365" s="1">
        <v>36</v>
      </c>
      <c r="G365" s="1" t="s">
        <v>74</v>
      </c>
      <c r="H365" s="1" t="s">
        <v>31</v>
      </c>
      <c r="I365" s="1" t="s">
        <v>74</v>
      </c>
      <c r="J365" s="1" t="s">
        <v>201</v>
      </c>
      <c r="K365" s="1">
        <v>4</v>
      </c>
      <c r="L365" s="1">
        <v>33019</v>
      </c>
      <c r="M365" s="1">
        <v>20</v>
      </c>
      <c r="N365" s="1">
        <v>26415.200000000001</v>
      </c>
      <c r="O365" s="1">
        <v>19018.939999999999</v>
      </c>
      <c r="P365" s="1">
        <v>47</v>
      </c>
      <c r="Q365" s="1">
        <v>124726.74</v>
      </c>
      <c r="R365" s="1" t="s">
        <v>54</v>
      </c>
      <c r="S365" s="1" t="s">
        <v>63</v>
      </c>
      <c r="T365" s="1" t="s">
        <v>35</v>
      </c>
      <c r="U365" s="1" t="s">
        <v>36</v>
      </c>
      <c r="V365" s="1" t="s">
        <v>37</v>
      </c>
      <c r="W365" s="1">
        <v>4</v>
      </c>
      <c r="X365" s="1" t="s">
        <v>38</v>
      </c>
      <c r="Y365" s="1">
        <v>2</v>
      </c>
      <c r="Z365" s="1" t="s">
        <v>91</v>
      </c>
    </row>
    <row r="366" spans="1:26" x14ac:dyDescent="0.3">
      <c r="A366" s="1" t="s">
        <v>750</v>
      </c>
      <c r="B366" s="2">
        <v>45957</v>
      </c>
      <c r="C366" s="1" t="s">
        <v>751</v>
      </c>
      <c r="D366" s="1" t="s">
        <v>108</v>
      </c>
      <c r="E366" s="1" t="s">
        <v>43</v>
      </c>
      <c r="F366" s="1">
        <v>40</v>
      </c>
      <c r="G366" s="1" t="s">
        <v>44</v>
      </c>
      <c r="H366" s="1" t="s">
        <v>31</v>
      </c>
      <c r="I366" s="1" t="s">
        <v>44</v>
      </c>
      <c r="J366" s="1" t="s">
        <v>75</v>
      </c>
      <c r="K366" s="1">
        <v>3</v>
      </c>
      <c r="L366" s="1">
        <v>42953</v>
      </c>
      <c r="M366" s="1">
        <v>5</v>
      </c>
      <c r="N366" s="1">
        <v>6442.95</v>
      </c>
      <c r="O366" s="1">
        <v>22034.89</v>
      </c>
      <c r="P366" s="1">
        <v>312</v>
      </c>
      <c r="Q366" s="1">
        <v>144762.94</v>
      </c>
      <c r="R366" s="1" t="s">
        <v>33</v>
      </c>
      <c r="S366" s="1" t="s">
        <v>63</v>
      </c>
      <c r="T366" s="1" t="s">
        <v>103</v>
      </c>
      <c r="U366" s="1" t="s">
        <v>103</v>
      </c>
      <c r="V366" s="1" t="s">
        <v>57</v>
      </c>
      <c r="W366" s="1">
        <v>10</v>
      </c>
      <c r="X366" s="1" t="s">
        <v>47</v>
      </c>
      <c r="Y366" s="1">
        <v>1</v>
      </c>
      <c r="Z366" s="1" t="s">
        <v>91</v>
      </c>
    </row>
    <row r="367" spans="1:26" x14ac:dyDescent="0.3">
      <c r="A367" s="1" t="s">
        <v>752</v>
      </c>
      <c r="B367" s="2">
        <v>45862</v>
      </c>
      <c r="C367" s="1" t="s">
        <v>753</v>
      </c>
      <c r="D367" s="1" t="s">
        <v>111</v>
      </c>
      <c r="E367" s="1" t="s">
        <v>29</v>
      </c>
      <c r="F367" s="1">
        <v>34</v>
      </c>
      <c r="G367" s="1" t="s">
        <v>99</v>
      </c>
      <c r="H367" s="1" t="s">
        <v>52</v>
      </c>
      <c r="I367" s="1" t="s">
        <v>99</v>
      </c>
      <c r="J367" s="1" t="s">
        <v>32</v>
      </c>
      <c r="K367" s="1">
        <v>4</v>
      </c>
      <c r="L367" s="1">
        <v>20988</v>
      </c>
      <c r="M367" s="1">
        <v>10</v>
      </c>
      <c r="N367" s="1">
        <v>8395.2000000000007</v>
      </c>
      <c r="O367" s="1">
        <v>13600.22</v>
      </c>
      <c r="P367" s="1">
        <v>300</v>
      </c>
      <c r="Q367" s="1">
        <v>89457.02</v>
      </c>
      <c r="R367" s="1" t="s">
        <v>45</v>
      </c>
      <c r="S367" s="1" t="s">
        <v>63</v>
      </c>
      <c r="T367" s="1" t="s">
        <v>95</v>
      </c>
      <c r="U367" s="1" t="s">
        <v>96</v>
      </c>
      <c r="V367" s="1" t="s">
        <v>57</v>
      </c>
      <c r="W367" s="1">
        <v>8</v>
      </c>
      <c r="X367" s="1" t="s">
        <v>38</v>
      </c>
      <c r="Y367" s="1">
        <v>3</v>
      </c>
      <c r="Z367" s="1" t="s">
        <v>91</v>
      </c>
    </row>
    <row r="368" spans="1:26" x14ac:dyDescent="0.3">
      <c r="A368" s="1" t="s">
        <v>754</v>
      </c>
      <c r="B368" s="2">
        <v>45909</v>
      </c>
      <c r="C368" s="1" t="s">
        <v>755</v>
      </c>
      <c r="D368" s="1" t="s">
        <v>66</v>
      </c>
      <c r="E368" s="1" t="s">
        <v>29</v>
      </c>
      <c r="F368" s="1">
        <v>40</v>
      </c>
      <c r="G368" s="1" t="s">
        <v>44</v>
      </c>
      <c r="H368" s="1" t="s">
        <v>31</v>
      </c>
      <c r="I368" s="1" t="s">
        <v>44</v>
      </c>
      <c r="J368" s="1" t="s">
        <v>32</v>
      </c>
      <c r="K368" s="1">
        <v>5</v>
      </c>
      <c r="L368" s="1">
        <v>29902</v>
      </c>
      <c r="M368" s="1">
        <v>0</v>
      </c>
      <c r="N368" s="1">
        <v>0</v>
      </c>
      <c r="O368" s="1">
        <v>26911.8</v>
      </c>
      <c r="P368" s="1">
        <v>252</v>
      </c>
      <c r="Q368" s="1">
        <v>176673.8</v>
      </c>
      <c r="R368" s="1" t="s">
        <v>45</v>
      </c>
      <c r="S368" s="1" t="s">
        <v>34</v>
      </c>
      <c r="T368" s="1" t="s">
        <v>95</v>
      </c>
      <c r="U368" s="1" t="s">
        <v>96</v>
      </c>
      <c r="V368" s="1" t="s">
        <v>57</v>
      </c>
      <c r="W368" s="1">
        <v>4</v>
      </c>
      <c r="X368" s="1" t="s">
        <v>38</v>
      </c>
      <c r="Y368" s="1">
        <v>2</v>
      </c>
      <c r="Z368" s="1" t="s">
        <v>91</v>
      </c>
    </row>
    <row r="369" spans="1:26" x14ac:dyDescent="0.3">
      <c r="A369" s="1" t="s">
        <v>756</v>
      </c>
      <c r="B369" s="2">
        <v>46010</v>
      </c>
      <c r="C369" s="1" t="s">
        <v>757</v>
      </c>
      <c r="D369" s="1" t="s">
        <v>66</v>
      </c>
      <c r="E369" s="1" t="s">
        <v>43</v>
      </c>
      <c r="F369" s="1">
        <v>35</v>
      </c>
      <c r="G369" s="1" t="s">
        <v>90</v>
      </c>
      <c r="H369" s="1" t="s">
        <v>31</v>
      </c>
      <c r="I369" s="1" t="s">
        <v>90</v>
      </c>
      <c r="J369" s="1" t="s">
        <v>32</v>
      </c>
      <c r="K369" s="1">
        <v>5</v>
      </c>
      <c r="L369" s="1">
        <v>8265</v>
      </c>
      <c r="M369" s="1">
        <v>20</v>
      </c>
      <c r="N369" s="1">
        <v>8265</v>
      </c>
      <c r="O369" s="1">
        <v>5950.8</v>
      </c>
      <c r="P369" s="1">
        <v>487</v>
      </c>
      <c r="Q369" s="1">
        <v>39497.800000000003</v>
      </c>
      <c r="R369" s="1" t="s">
        <v>83</v>
      </c>
      <c r="S369" s="1" t="s">
        <v>63</v>
      </c>
      <c r="T369" s="1" t="s">
        <v>76</v>
      </c>
      <c r="U369" s="1" t="s">
        <v>77</v>
      </c>
      <c r="V369" s="1" t="s">
        <v>57</v>
      </c>
      <c r="W369" s="1">
        <v>7</v>
      </c>
      <c r="X369" s="1" t="s">
        <v>47</v>
      </c>
      <c r="Y369" s="1">
        <v>2</v>
      </c>
      <c r="Z369" s="1" t="s">
        <v>39</v>
      </c>
    </row>
    <row r="370" spans="1:26" x14ac:dyDescent="0.3">
      <c r="A370" s="1" t="s">
        <v>758</v>
      </c>
      <c r="B370" s="2">
        <v>46118</v>
      </c>
      <c r="C370" s="1" t="s">
        <v>349</v>
      </c>
      <c r="D370" s="1" t="s">
        <v>28</v>
      </c>
      <c r="E370" s="1" t="s">
        <v>29</v>
      </c>
      <c r="F370" s="1">
        <v>31</v>
      </c>
      <c r="G370" s="1" t="s">
        <v>139</v>
      </c>
      <c r="H370" s="1" t="s">
        <v>31</v>
      </c>
      <c r="I370" s="1" t="s">
        <v>139</v>
      </c>
      <c r="J370" s="1" t="s">
        <v>53</v>
      </c>
      <c r="K370" s="1">
        <v>1</v>
      </c>
      <c r="L370" s="1">
        <v>44313</v>
      </c>
      <c r="M370" s="1">
        <v>10</v>
      </c>
      <c r="N370" s="1">
        <v>4431.3</v>
      </c>
      <c r="O370" s="1">
        <v>7178.71</v>
      </c>
      <c r="P370" s="1">
        <v>103</v>
      </c>
      <c r="Q370" s="1">
        <v>47163.41</v>
      </c>
      <c r="R370" s="1" t="s">
        <v>45</v>
      </c>
      <c r="S370" s="1" t="s">
        <v>34</v>
      </c>
      <c r="T370" s="1" t="s">
        <v>84</v>
      </c>
      <c r="U370" s="1" t="s">
        <v>85</v>
      </c>
      <c r="V370" s="1" t="s">
        <v>86</v>
      </c>
      <c r="W370" s="1">
        <v>1</v>
      </c>
      <c r="X370" s="1" t="s">
        <v>47</v>
      </c>
      <c r="Y370" s="1">
        <v>5</v>
      </c>
      <c r="Z370" s="1" t="s">
        <v>91</v>
      </c>
    </row>
    <row r="371" spans="1:26" x14ac:dyDescent="0.3">
      <c r="A371" s="1" t="s">
        <v>759</v>
      </c>
      <c r="B371" s="2">
        <v>45886</v>
      </c>
      <c r="C371" s="1" t="s">
        <v>760</v>
      </c>
      <c r="D371" s="1" t="s">
        <v>89</v>
      </c>
      <c r="E371" s="1" t="s">
        <v>43</v>
      </c>
      <c r="F371" s="1">
        <v>35</v>
      </c>
      <c r="G371" s="1" t="s">
        <v>90</v>
      </c>
      <c r="H371" s="1" t="s">
        <v>31</v>
      </c>
      <c r="I371" s="1" t="s">
        <v>90</v>
      </c>
      <c r="J371" s="1" t="s">
        <v>150</v>
      </c>
      <c r="K371" s="1">
        <v>5</v>
      </c>
      <c r="L371" s="1">
        <v>30235</v>
      </c>
      <c r="M371" s="1">
        <v>20</v>
      </c>
      <c r="N371" s="1">
        <v>30235</v>
      </c>
      <c r="O371" s="1">
        <v>21769.200000000001</v>
      </c>
      <c r="P371" s="1">
        <v>120</v>
      </c>
      <c r="Q371" s="1">
        <v>142829.20000000001</v>
      </c>
      <c r="R371" s="1" t="s">
        <v>54</v>
      </c>
      <c r="S371" s="1" t="s">
        <v>34</v>
      </c>
      <c r="T371" s="1" t="s">
        <v>95</v>
      </c>
      <c r="U371" s="1" t="s">
        <v>96</v>
      </c>
      <c r="V371" s="1" t="s">
        <v>57</v>
      </c>
      <c r="W371" s="1">
        <v>4</v>
      </c>
      <c r="X371" s="1" t="s">
        <v>38</v>
      </c>
      <c r="Y371" s="1">
        <v>1</v>
      </c>
      <c r="Z371" s="1" t="s">
        <v>58</v>
      </c>
    </row>
    <row r="372" spans="1:26" x14ac:dyDescent="0.3">
      <c r="A372" s="1" t="s">
        <v>761</v>
      </c>
      <c r="B372" s="2">
        <v>45789</v>
      </c>
      <c r="C372" s="1" t="s">
        <v>762</v>
      </c>
      <c r="D372" s="1" t="s">
        <v>61</v>
      </c>
      <c r="E372" s="1" t="s">
        <v>43</v>
      </c>
      <c r="F372" s="1">
        <v>40</v>
      </c>
      <c r="G372" s="1" t="s">
        <v>94</v>
      </c>
      <c r="H372" s="1" t="s">
        <v>31</v>
      </c>
      <c r="I372" s="1" t="s">
        <v>94</v>
      </c>
      <c r="J372" s="1" t="s">
        <v>112</v>
      </c>
      <c r="K372" s="1">
        <v>1</v>
      </c>
      <c r="L372" s="1">
        <v>47817</v>
      </c>
      <c r="M372" s="1">
        <v>20</v>
      </c>
      <c r="N372" s="1">
        <v>9563.4</v>
      </c>
      <c r="O372" s="1">
        <v>6885.65</v>
      </c>
      <c r="P372" s="1">
        <v>434</v>
      </c>
      <c r="Q372" s="1">
        <v>45573.25</v>
      </c>
      <c r="R372" s="1" t="s">
        <v>54</v>
      </c>
      <c r="S372" s="1" t="s">
        <v>34</v>
      </c>
      <c r="T372" s="1" t="s">
        <v>35</v>
      </c>
      <c r="U372" s="1" t="s">
        <v>36</v>
      </c>
      <c r="V372" s="1" t="s">
        <v>37</v>
      </c>
      <c r="W372" s="1">
        <v>1</v>
      </c>
      <c r="X372" s="1" t="s">
        <v>38</v>
      </c>
      <c r="Y372" s="1">
        <v>2</v>
      </c>
      <c r="Z372" s="1" t="s">
        <v>39</v>
      </c>
    </row>
    <row r="373" spans="1:26" x14ac:dyDescent="0.3">
      <c r="A373" s="1" t="s">
        <v>763</v>
      </c>
      <c r="B373" s="2">
        <v>45974</v>
      </c>
      <c r="C373" s="1" t="s">
        <v>764</v>
      </c>
      <c r="D373" s="1" t="s">
        <v>111</v>
      </c>
      <c r="E373" s="1" t="s">
        <v>43</v>
      </c>
      <c r="F373" s="1">
        <v>18</v>
      </c>
      <c r="G373" s="1" t="s">
        <v>51</v>
      </c>
      <c r="H373" s="1" t="s">
        <v>52</v>
      </c>
      <c r="I373" s="1" t="s">
        <v>51</v>
      </c>
      <c r="J373" s="1" t="s">
        <v>102</v>
      </c>
      <c r="K373" s="1">
        <v>3</v>
      </c>
      <c r="L373" s="1">
        <v>3210</v>
      </c>
      <c r="M373" s="1">
        <v>0</v>
      </c>
      <c r="N373" s="1">
        <v>0</v>
      </c>
      <c r="O373" s="1">
        <v>1733.4</v>
      </c>
      <c r="P373" s="1">
        <v>177</v>
      </c>
      <c r="Q373" s="1">
        <v>11540.4</v>
      </c>
      <c r="R373" s="1" t="s">
        <v>33</v>
      </c>
      <c r="S373" s="1" t="s">
        <v>34</v>
      </c>
      <c r="T373" s="1" t="s">
        <v>70</v>
      </c>
      <c r="U373" s="1" t="s">
        <v>56</v>
      </c>
      <c r="V373" s="1" t="s">
        <v>57</v>
      </c>
      <c r="W373" s="1">
        <v>7</v>
      </c>
      <c r="X373" s="1" t="s">
        <v>38</v>
      </c>
      <c r="Y373" s="1">
        <v>1</v>
      </c>
      <c r="Z373" s="1" t="s">
        <v>47</v>
      </c>
    </row>
    <row r="374" spans="1:26" x14ac:dyDescent="0.3">
      <c r="A374" s="1" t="s">
        <v>765</v>
      </c>
      <c r="B374" s="2">
        <v>45880</v>
      </c>
      <c r="C374" s="1" t="s">
        <v>475</v>
      </c>
      <c r="D374" s="1" t="s">
        <v>89</v>
      </c>
      <c r="E374" s="1" t="s">
        <v>29</v>
      </c>
      <c r="F374" s="1">
        <v>37</v>
      </c>
      <c r="G374" s="1" t="s">
        <v>67</v>
      </c>
      <c r="H374" s="1" t="s">
        <v>68</v>
      </c>
      <c r="I374" s="1" t="s">
        <v>67</v>
      </c>
      <c r="J374" s="1" t="s">
        <v>125</v>
      </c>
      <c r="K374" s="1">
        <v>3</v>
      </c>
      <c r="L374" s="1">
        <v>9055</v>
      </c>
      <c r="M374" s="1">
        <v>0</v>
      </c>
      <c r="N374" s="1">
        <v>0</v>
      </c>
      <c r="O374" s="1">
        <v>4889.7</v>
      </c>
      <c r="P374" s="1">
        <v>444</v>
      </c>
      <c r="Q374" s="1">
        <v>32498.7</v>
      </c>
      <c r="R374" s="1" t="s">
        <v>33</v>
      </c>
      <c r="S374" s="1" t="s">
        <v>34</v>
      </c>
      <c r="T374" s="1" t="s">
        <v>95</v>
      </c>
      <c r="U374" s="1" t="s">
        <v>96</v>
      </c>
      <c r="V374" s="1" t="s">
        <v>57</v>
      </c>
      <c r="W374" s="1">
        <v>4</v>
      </c>
      <c r="X374" s="1" t="s">
        <v>38</v>
      </c>
      <c r="Y374" s="1">
        <v>2</v>
      </c>
      <c r="Z374" s="1" t="s">
        <v>91</v>
      </c>
    </row>
    <row r="375" spans="1:26" x14ac:dyDescent="0.3">
      <c r="A375" s="1" t="s">
        <v>766</v>
      </c>
      <c r="B375" s="2">
        <v>45878</v>
      </c>
      <c r="C375" s="1" t="s">
        <v>767</v>
      </c>
      <c r="D375" s="1" t="s">
        <v>42</v>
      </c>
      <c r="E375" s="1" t="s">
        <v>29</v>
      </c>
      <c r="F375" s="1">
        <v>48</v>
      </c>
      <c r="G375" s="1" t="s">
        <v>139</v>
      </c>
      <c r="H375" s="1" t="s">
        <v>31</v>
      </c>
      <c r="I375" s="1" t="s">
        <v>139</v>
      </c>
      <c r="J375" s="1" t="s">
        <v>125</v>
      </c>
      <c r="K375" s="1">
        <v>5</v>
      </c>
      <c r="L375" s="1">
        <v>28376</v>
      </c>
      <c r="M375" s="1">
        <v>10</v>
      </c>
      <c r="N375" s="1">
        <v>14188</v>
      </c>
      <c r="O375" s="1">
        <v>22984.560000000001</v>
      </c>
      <c r="P375" s="1">
        <v>491</v>
      </c>
      <c r="Q375" s="1">
        <v>151167.56</v>
      </c>
      <c r="R375" s="1" t="s">
        <v>54</v>
      </c>
      <c r="S375" s="1" t="s">
        <v>34</v>
      </c>
      <c r="T375" s="1" t="s">
        <v>95</v>
      </c>
      <c r="U375" s="1" t="s">
        <v>96</v>
      </c>
      <c r="V375" s="1" t="s">
        <v>57</v>
      </c>
      <c r="W375" s="1">
        <v>2</v>
      </c>
      <c r="X375" s="1" t="s">
        <v>47</v>
      </c>
      <c r="Y375" s="1">
        <v>4</v>
      </c>
      <c r="Z375" s="1" t="s">
        <v>91</v>
      </c>
    </row>
    <row r="376" spans="1:26" x14ac:dyDescent="0.3">
      <c r="A376" s="1" t="s">
        <v>768</v>
      </c>
      <c r="B376" s="2">
        <v>45917</v>
      </c>
      <c r="C376" s="1" t="s">
        <v>769</v>
      </c>
      <c r="D376" s="1" t="s">
        <v>42</v>
      </c>
      <c r="E376" s="1" t="s">
        <v>43</v>
      </c>
      <c r="F376" s="1">
        <v>59</v>
      </c>
      <c r="G376" s="1" t="s">
        <v>67</v>
      </c>
      <c r="H376" s="1" t="s">
        <v>68</v>
      </c>
      <c r="I376" s="1" t="s">
        <v>67</v>
      </c>
      <c r="J376" s="1" t="s">
        <v>125</v>
      </c>
      <c r="K376" s="1">
        <v>1</v>
      </c>
      <c r="L376" s="1">
        <v>32505</v>
      </c>
      <c r="M376" s="1">
        <v>20</v>
      </c>
      <c r="N376" s="1">
        <v>6501</v>
      </c>
      <c r="O376" s="1">
        <v>4680.72</v>
      </c>
      <c r="P376" s="1">
        <v>395</v>
      </c>
      <c r="Q376" s="1">
        <v>31079.72</v>
      </c>
      <c r="R376" s="1" t="s">
        <v>45</v>
      </c>
      <c r="S376" s="1" t="s">
        <v>34</v>
      </c>
      <c r="T376" s="1" t="s">
        <v>103</v>
      </c>
      <c r="U376" s="1" t="s">
        <v>103</v>
      </c>
      <c r="V376" s="1" t="s">
        <v>57</v>
      </c>
      <c r="W376" s="1">
        <v>3</v>
      </c>
      <c r="X376" s="1" t="s">
        <v>38</v>
      </c>
      <c r="Y376" s="1">
        <v>1</v>
      </c>
      <c r="Z376" s="1" t="s">
        <v>47</v>
      </c>
    </row>
    <row r="377" spans="1:26" x14ac:dyDescent="0.3">
      <c r="A377" s="1" t="s">
        <v>770</v>
      </c>
      <c r="B377" s="2">
        <v>45959</v>
      </c>
      <c r="C377" s="1" t="s">
        <v>771</v>
      </c>
      <c r="D377" s="1" t="s">
        <v>61</v>
      </c>
      <c r="E377" s="1" t="s">
        <v>29</v>
      </c>
      <c r="F377" s="1">
        <v>37</v>
      </c>
      <c r="G377" s="1" t="s">
        <v>139</v>
      </c>
      <c r="H377" s="1" t="s">
        <v>31</v>
      </c>
      <c r="I377" s="1" t="s">
        <v>139</v>
      </c>
      <c r="J377" s="1" t="s">
        <v>62</v>
      </c>
      <c r="K377" s="1">
        <v>4</v>
      </c>
      <c r="L377" s="1">
        <v>38052</v>
      </c>
      <c r="M377" s="1">
        <v>15</v>
      </c>
      <c r="N377" s="1">
        <v>22831.200000000001</v>
      </c>
      <c r="O377" s="1">
        <v>23287.82</v>
      </c>
      <c r="P377" s="1">
        <v>488</v>
      </c>
      <c r="Q377" s="1">
        <v>153152.62</v>
      </c>
      <c r="R377" s="1" t="s">
        <v>83</v>
      </c>
      <c r="S377" s="1" t="s">
        <v>63</v>
      </c>
      <c r="T377" s="1" t="s">
        <v>103</v>
      </c>
      <c r="U377" s="1" t="s">
        <v>103</v>
      </c>
      <c r="V377" s="1" t="s">
        <v>57</v>
      </c>
      <c r="W377" s="1">
        <v>7</v>
      </c>
      <c r="X377" s="1" t="s">
        <v>47</v>
      </c>
      <c r="Y377" s="1">
        <v>2</v>
      </c>
      <c r="Z377" s="1" t="s">
        <v>39</v>
      </c>
    </row>
    <row r="378" spans="1:26" x14ac:dyDescent="0.3">
      <c r="A378" s="1" t="s">
        <v>772</v>
      </c>
      <c r="B378" s="2">
        <v>45805</v>
      </c>
      <c r="C378" s="1" t="s">
        <v>740</v>
      </c>
      <c r="D378" s="1" t="s">
        <v>108</v>
      </c>
      <c r="E378" s="1" t="s">
        <v>29</v>
      </c>
      <c r="F378" s="1">
        <v>50</v>
      </c>
      <c r="G378" s="1" t="s">
        <v>94</v>
      </c>
      <c r="H378" s="1" t="s">
        <v>31</v>
      </c>
      <c r="I378" s="1" t="s">
        <v>94</v>
      </c>
      <c r="J378" s="1" t="s">
        <v>201</v>
      </c>
      <c r="K378" s="1">
        <v>1</v>
      </c>
      <c r="L378" s="1">
        <v>44961</v>
      </c>
      <c r="M378" s="1">
        <v>5</v>
      </c>
      <c r="N378" s="1">
        <v>2248.0500000000002</v>
      </c>
      <c r="O378" s="1">
        <v>7688.33</v>
      </c>
      <c r="P378" s="1">
        <v>362</v>
      </c>
      <c r="Q378" s="1">
        <v>50763.28</v>
      </c>
      <c r="R378" s="1" t="s">
        <v>45</v>
      </c>
      <c r="S378" s="1" t="s">
        <v>63</v>
      </c>
      <c r="T378" s="1" t="s">
        <v>95</v>
      </c>
      <c r="U378" s="1" t="s">
        <v>96</v>
      </c>
      <c r="V378" s="1" t="s">
        <v>57</v>
      </c>
      <c r="W378" s="1">
        <v>9</v>
      </c>
      <c r="X378" s="1" t="s">
        <v>38</v>
      </c>
      <c r="Y378" s="1">
        <v>3</v>
      </c>
      <c r="Z378" s="1" t="s">
        <v>91</v>
      </c>
    </row>
    <row r="379" spans="1:26" x14ac:dyDescent="0.3">
      <c r="A379" s="1" t="s">
        <v>773</v>
      </c>
      <c r="B379" s="2">
        <v>46015</v>
      </c>
      <c r="C379" s="1" t="s">
        <v>774</v>
      </c>
      <c r="D379" s="1" t="s">
        <v>73</v>
      </c>
      <c r="E379" s="1" t="s">
        <v>29</v>
      </c>
      <c r="F379" s="1">
        <v>30</v>
      </c>
      <c r="G379" s="1" t="s">
        <v>94</v>
      </c>
      <c r="H379" s="1" t="s">
        <v>31</v>
      </c>
      <c r="I379" s="1" t="s">
        <v>94</v>
      </c>
      <c r="J379" s="1" t="s">
        <v>150</v>
      </c>
      <c r="K379" s="1">
        <v>2</v>
      </c>
      <c r="L379" s="1">
        <v>33846</v>
      </c>
      <c r="M379" s="1">
        <v>0</v>
      </c>
      <c r="N379" s="1">
        <v>0</v>
      </c>
      <c r="O379" s="1">
        <v>12184.56</v>
      </c>
      <c r="P379" s="1">
        <v>189</v>
      </c>
      <c r="Q379" s="1">
        <v>80065.56</v>
      </c>
      <c r="R379" s="1" t="s">
        <v>83</v>
      </c>
      <c r="S379" s="1" t="s">
        <v>34</v>
      </c>
      <c r="T379" s="1" t="s">
        <v>95</v>
      </c>
      <c r="U379" s="1" t="s">
        <v>96</v>
      </c>
      <c r="V379" s="1" t="s">
        <v>57</v>
      </c>
      <c r="W379" s="1">
        <v>2</v>
      </c>
      <c r="X379" s="1" t="s">
        <v>47</v>
      </c>
      <c r="Y379" s="1">
        <v>3</v>
      </c>
      <c r="Z379" s="1" t="s">
        <v>39</v>
      </c>
    </row>
    <row r="380" spans="1:26" x14ac:dyDescent="0.3">
      <c r="A380" s="1" t="s">
        <v>775</v>
      </c>
      <c r="B380" s="2">
        <v>46057</v>
      </c>
      <c r="C380" s="1" t="s">
        <v>724</v>
      </c>
      <c r="D380" s="1" t="s">
        <v>73</v>
      </c>
      <c r="E380" s="1" t="s">
        <v>43</v>
      </c>
      <c r="F380" s="1">
        <v>43</v>
      </c>
      <c r="G380" s="1" t="s">
        <v>90</v>
      </c>
      <c r="H380" s="1" t="s">
        <v>31</v>
      </c>
      <c r="I380" s="1" t="s">
        <v>90</v>
      </c>
      <c r="J380" s="1" t="s">
        <v>125</v>
      </c>
      <c r="K380" s="1">
        <v>4</v>
      </c>
      <c r="L380" s="1">
        <v>10257</v>
      </c>
      <c r="M380" s="1">
        <v>15</v>
      </c>
      <c r="N380" s="1">
        <v>6154.2</v>
      </c>
      <c r="O380" s="1">
        <v>6277.28</v>
      </c>
      <c r="P380" s="1">
        <v>295</v>
      </c>
      <c r="Q380" s="1">
        <v>41446.080000000002</v>
      </c>
      <c r="R380" s="1" t="s">
        <v>33</v>
      </c>
      <c r="S380" s="1" t="s">
        <v>63</v>
      </c>
      <c r="T380" s="1" t="s">
        <v>55</v>
      </c>
      <c r="U380" s="1" t="s">
        <v>56</v>
      </c>
      <c r="V380" s="1" t="s">
        <v>57</v>
      </c>
      <c r="W380" s="1">
        <v>7</v>
      </c>
      <c r="X380" s="1" t="s">
        <v>38</v>
      </c>
      <c r="Y380" s="1">
        <v>3</v>
      </c>
      <c r="Z380" s="1" t="s">
        <v>47</v>
      </c>
    </row>
    <row r="381" spans="1:26" x14ac:dyDescent="0.3">
      <c r="A381" s="1" t="s">
        <v>776</v>
      </c>
      <c r="B381" s="2">
        <v>46036</v>
      </c>
      <c r="C381" s="1" t="s">
        <v>777</v>
      </c>
      <c r="D381" s="1" t="s">
        <v>111</v>
      </c>
      <c r="E381" s="1" t="s">
        <v>29</v>
      </c>
      <c r="F381" s="1">
        <v>26</v>
      </c>
      <c r="G381" s="1" t="s">
        <v>139</v>
      </c>
      <c r="H381" s="1" t="s">
        <v>31</v>
      </c>
      <c r="I381" s="1" t="s">
        <v>139</v>
      </c>
      <c r="J381" s="1" t="s">
        <v>62</v>
      </c>
      <c r="K381" s="1">
        <v>5</v>
      </c>
      <c r="L381" s="1">
        <v>35399</v>
      </c>
      <c r="M381" s="1">
        <v>0</v>
      </c>
      <c r="N381" s="1">
        <v>0</v>
      </c>
      <c r="O381" s="1">
        <v>31859.1</v>
      </c>
      <c r="P381" s="1">
        <v>222</v>
      </c>
      <c r="Q381" s="1">
        <v>209076.1</v>
      </c>
      <c r="R381" s="1" t="s">
        <v>45</v>
      </c>
      <c r="S381" s="1" t="s">
        <v>63</v>
      </c>
      <c r="T381" s="1" t="s">
        <v>84</v>
      </c>
      <c r="U381" s="1" t="s">
        <v>85</v>
      </c>
      <c r="V381" s="1" t="s">
        <v>86</v>
      </c>
      <c r="W381" s="1">
        <v>2</v>
      </c>
      <c r="X381" s="1" t="s">
        <v>47</v>
      </c>
      <c r="Y381" s="1">
        <v>4</v>
      </c>
      <c r="Z381" s="1" t="s">
        <v>91</v>
      </c>
    </row>
    <row r="382" spans="1:26" x14ac:dyDescent="0.3">
      <c r="A382" s="1" t="s">
        <v>778</v>
      </c>
      <c r="B382" s="2">
        <v>46018</v>
      </c>
      <c r="C382" s="1" t="s">
        <v>779</v>
      </c>
      <c r="D382" s="1" t="s">
        <v>111</v>
      </c>
      <c r="E382" s="1" t="s">
        <v>29</v>
      </c>
      <c r="F382" s="1">
        <v>48</v>
      </c>
      <c r="G382" s="1" t="s">
        <v>67</v>
      </c>
      <c r="H382" s="1" t="s">
        <v>68</v>
      </c>
      <c r="I382" s="1" t="s">
        <v>67</v>
      </c>
      <c r="J382" s="1" t="s">
        <v>125</v>
      </c>
      <c r="K382" s="1">
        <v>3</v>
      </c>
      <c r="L382" s="1">
        <v>38354</v>
      </c>
      <c r="M382" s="1">
        <v>5</v>
      </c>
      <c r="N382" s="1">
        <v>5753.1</v>
      </c>
      <c r="O382" s="1">
        <v>19675.599999999999</v>
      </c>
      <c r="P382" s="1">
        <v>229</v>
      </c>
      <c r="Q382" s="1">
        <v>129213.5</v>
      </c>
      <c r="R382" s="1" t="s">
        <v>33</v>
      </c>
      <c r="S382" s="1" t="s">
        <v>34</v>
      </c>
      <c r="T382" s="1" t="s">
        <v>46</v>
      </c>
      <c r="U382" s="1" t="s">
        <v>36</v>
      </c>
      <c r="V382" s="1" t="s">
        <v>37</v>
      </c>
      <c r="W382" s="1">
        <v>3</v>
      </c>
      <c r="X382" s="1" t="s">
        <v>47</v>
      </c>
      <c r="Y382" s="1">
        <v>2</v>
      </c>
      <c r="Z382" s="1" t="s">
        <v>47</v>
      </c>
    </row>
    <row r="383" spans="1:26" x14ac:dyDescent="0.3">
      <c r="A383" s="1" t="s">
        <v>780</v>
      </c>
      <c r="B383" s="2">
        <v>46008</v>
      </c>
      <c r="C383" s="1" t="s">
        <v>781</v>
      </c>
      <c r="D383" s="1" t="s">
        <v>28</v>
      </c>
      <c r="E383" s="1" t="s">
        <v>29</v>
      </c>
      <c r="F383" s="1">
        <v>25</v>
      </c>
      <c r="G383" s="1" t="s">
        <v>90</v>
      </c>
      <c r="H383" s="1" t="s">
        <v>31</v>
      </c>
      <c r="I383" s="1" t="s">
        <v>90</v>
      </c>
      <c r="J383" s="1" t="s">
        <v>112</v>
      </c>
      <c r="K383" s="1">
        <v>3</v>
      </c>
      <c r="L383" s="1">
        <v>41789</v>
      </c>
      <c r="M383" s="1">
        <v>10</v>
      </c>
      <c r="N383" s="1">
        <v>12536.7</v>
      </c>
      <c r="O383" s="1">
        <v>20309.45</v>
      </c>
      <c r="P383" s="1">
        <v>460</v>
      </c>
      <c r="Q383" s="1">
        <v>133599.75</v>
      </c>
      <c r="R383" s="1" t="s">
        <v>33</v>
      </c>
      <c r="S383" s="1" t="s">
        <v>63</v>
      </c>
      <c r="T383" s="1" t="s">
        <v>46</v>
      </c>
      <c r="U383" s="1" t="s">
        <v>36</v>
      </c>
      <c r="V383" s="1" t="s">
        <v>37</v>
      </c>
      <c r="W383" s="1">
        <v>1</v>
      </c>
      <c r="X383" s="1" t="s">
        <v>47</v>
      </c>
      <c r="Y383" s="1">
        <v>4</v>
      </c>
      <c r="Z383" s="1" t="s">
        <v>91</v>
      </c>
    </row>
    <row r="384" spans="1:26" x14ac:dyDescent="0.3">
      <c r="A384" s="1" t="s">
        <v>782</v>
      </c>
      <c r="B384" s="2">
        <v>45802</v>
      </c>
      <c r="C384" s="1" t="s">
        <v>79</v>
      </c>
      <c r="D384" s="1" t="s">
        <v>89</v>
      </c>
      <c r="E384" s="1" t="s">
        <v>43</v>
      </c>
      <c r="F384" s="1">
        <v>50</v>
      </c>
      <c r="G384" s="1" t="s">
        <v>99</v>
      </c>
      <c r="H384" s="1" t="s">
        <v>52</v>
      </c>
      <c r="I384" s="1" t="s">
        <v>99</v>
      </c>
      <c r="J384" s="1" t="s">
        <v>32</v>
      </c>
      <c r="K384" s="1">
        <v>5</v>
      </c>
      <c r="L384" s="1">
        <v>40354</v>
      </c>
      <c r="M384" s="1">
        <v>15</v>
      </c>
      <c r="N384" s="1">
        <v>30265.5</v>
      </c>
      <c r="O384" s="1">
        <v>30870.81</v>
      </c>
      <c r="P384" s="1">
        <v>5</v>
      </c>
      <c r="Q384" s="1">
        <v>202380.31</v>
      </c>
      <c r="R384" s="1" t="s">
        <v>33</v>
      </c>
      <c r="S384" s="1" t="s">
        <v>34</v>
      </c>
      <c r="T384" s="1" t="s">
        <v>70</v>
      </c>
      <c r="U384" s="1" t="s">
        <v>56</v>
      </c>
      <c r="V384" s="1" t="s">
        <v>57</v>
      </c>
      <c r="W384" s="1">
        <v>9</v>
      </c>
      <c r="X384" s="1" t="s">
        <v>38</v>
      </c>
      <c r="Y384" s="1">
        <v>5</v>
      </c>
      <c r="Z384" s="1" t="s">
        <v>91</v>
      </c>
    </row>
    <row r="385" spans="1:26" x14ac:dyDescent="0.3">
      <c r="A385" s="1" t="s">
        <v>783</v>
      </c>
      <c r="B385" s="2">
        <v>46007</v>
      </c>
      <c r="C385" s="1" t="s">
        <v>784</v>
      </c>
      <c r="D385" s="1" t="s">
        <v>108</v>
      </c>
      <c r="E385" s="1" t="s">
        <v>29</v>
      </c>
      <c r="F385" s="1">
        <v>57</v>
      </c>
      <c r="G385" s="1" t="s">
        <v>90</v>
      </c>
      <c r="H385" s="1" t="s">
        <v>31</v>
      </c>
      <c r="I385" s="1" t="s">
        <v>90</v>
      </c>
      <c r="J385" s="1" t="s">
        <v>112</v>
      </c>
      <c r="K385" s="1">
        <v>3</v>
      </c>
      <c r="L385" s="1">
        <v>44552</v>
      </c>
      <c r="M385" s="1">
        <v>20</v>
      </c>
      <c r="N385" s="1">
        <v>26731.200000000001</v>
      </c>
      <c r="O385" s="1">
        <v>19246.46</v>
      </c>
      <c r="P385" s="1">
        <v>222</v>
      </c>
      <c r="Q385" s="1">
        <v>126393.26</v>
      </c>
      <c r="R385" s="1" t="s">
        <v>45</v>
      </c>
      <c r="S385" s="1" t="s">
        <v>34</v>
      </c>
      <c r="T385" s="1" t="s">
        <v>70</v>
      </c>
      <c r="U385" s="1" t="s">
        <v>56</v>
      </c>
      <c r="V385" s="1" t="s">
        <v>57</v>
      </c>
      <c r="W385" s="1">
        <v>2</v>
      </c>
      <c r="X385" s="1" t="s">
        <v>47</v>
      </c>
      <c r="Y385" s="1">
        <v>1</v>
      </c>
      <c r="Z385" s="1" t="s">
        <v>39</v>
      </c>
    </row>
    <row r="386" spans="1:26" x14ac:dyDescent="0.3">
      <c r="A386" s="1" t="s">
        <v>785</v>
      </c>
      <c r="B386" s="2">
        <v>45803</v>
      </c>
      <c r="C386" s="1" t="s">
        <v>786</v>
      </c>
      <c r="D386" s="1" t="s">
        <v>42</v>
      </c>
      <c r="E386" s="1" t="s">
        <v>43</v>
      </c>
      <c r="F386" s="1">
        <v>57</v>
      </c>
      <c r="G386" s="1" t="s">
        <v>74</v>
      </c>
      <c r="H386" s="1" t="s">
        <v>31</v>
      </c>
      <c r="I386" s="1" t="s">
        <v>74</v>
      </c>
      <c r="J386" s="1" t="s">
        <v>69</v>
      </c>
      <c r="K386" s="1">
        <v>4</v>
      </c>
      <c r="L386" s="1">
        <v>6838</v>
      </c>
      <c r="M386" s="1">
        <v>5</v>
      </c>
      <c r="N386" s="1">
        <v>1367.6</v>
      </c>
      <c r="O386" s="1">
        <v>4677.1899999999996</v>
      </c>
      <c r="P386" s="1">
        <v>1</v>
      </c>
      <c r="Q386" s="1">
        <v>30662.59</v>
      </c>
      <c r="R386" s="1" t="s">
        <v>54</v>
      </c>
      <c r="S386" s="1" t="s">
        <v>34</v>
      </c>
      <c r="T386" s="1" t="s">
        <v>103</v>
      </c>
      <c r="U386" s="1" t="s">
        <v>103</v>
      </c>
      <c r="V386" s="1" t="s">
        <v>57</v>
      </c>
      <c r="W386" s="1">
        <v>1</v>
      </c>
      <c r="X386" s="1" t="s">
        <v>38</v>
      </c>
      <c r="Y386" s="1">
        <v>3</v>
      </c>
      <c r="Z386" s="1" t="s">
        <v>91</v>
      </c>
    </row>
    <row r="387" spans="1:26" x14ac:dyDescent="0.3">
      <c r="A387" s="1" t="s">
        <v>787</v>
      </c>
      <c r="B387" s="2">
        <v>45794</v>
      </c>
      <c r="C387" s="1" t="s">
        <v>788</v>
      </c>
      <c r="D387" s="1" t="s">
        <v>108</v>
      </c>
      <c r="E387" s="1" t="s">
        <v>29</v>
      </c>
      <c r="F387" s="1">
        <v>50</v>
      </c>
      <c r="G387" s="1" t="s">
        <v>51</v>
      </c>
      <c r="H387" s="1" t="s">
        <v>52</v>
      </c>
      <c r="I387" s="1" t="s">
        <v>51</v>
      </c>
      <c r="J387" s="1" t="s">
        <v>125</v>
      </c>
      <c r="K387" s="1">
        <v>5</v>
      </c>
      <c r="L387" s="1">
        <v>38147</v>
      </c>
      <c r="M387" s="1">
        <v>15</v>
      </c>
      <c r="N387" s="1">
        <v>28610.25</v>
      </c>
      <c r="O387" s="1">
        <v>29182.45</v>
      </c>
      <c r="P387" s="1">
        <v>184</v>
      </c>
      <c r="Q387" s="1">
        <v>191491.20000000001</v>
      </c>
      <c r="R387" s="1" t="s">
        <v>54</v>
      </c>
      <c r="S387" s="1" t="s">
        <v>34</v>
      </c>
      <c r="T387" s="1" t="s">
        <v>35</v>
      </c>
      <c r="U387" s="1" t="s">
        <v>36</v>
      </c>
      <c r="V387" s="1" t="s">
        <v>37</v>
      </c>
      <c r="W387" s="1">
        <v>5</v>
      </c>
      <c r="X387" s="1" t="s">
        <v>47</v>
      </c>
      <c r="Y387" s="1">
        <v>5</v>
      </c>
      <c r="Z387" s="1" t="s">
        <v>91</v>
      </c>
    </row>
    <row r="388" spans="1:26" x14ac:dyDescent="0.3">
      <c r="A388" s="1" t="s">
        <v>789</v>
      </c>
      <c r="B388" s="2">
        <v>45916</v>
      </c>
      <c r="C388" s="1" t="s">
        <v>790</v>
      </c>
      <c r="D388" s="1" t="s">
        <v>66</v>
      </c>
      <c r="E388" s="1" t="s">
        <v>43</v>
      </c>
      <c r="F388" s="1">
        <v>37</v>
      </c>
      <c r="G388" s="1" t="s">
        <v>44</v>
      </c>
      <c r="H388" s="1" t="s">
        <v>31</v>
      </c>
      <c r="I388" s="1" t="s">
        <v>44</v>
      </c>
      <c r="J388" s="1" t="s">
        <v>32</v>
      </c>
      <c r="K388" s="1">
        <v>4</v>
      </c>
      <c r="L388" s="1">
        <v>47651</v>
      </c>
      <c r="M388" s="1">
        <v>5</v>
      </c>
      <c r="N388" s="1">
        <v>9530.2000000000007</v>
      </c>
      <c r="O388" s="1">
        <v>32593.279999999999</v>
      </c>
      <c r="P388" s="1">
        <v>270</v>
      </c>
      <c r="Q388" s="1">
        <v>213937.08</v>
      </c>
      <c r="R388" s="1" t="s">
        <v>33</v>
      </c>
      <c r="S388" s="1" t="s">
        <v>34</v>
      </c>
      <c r="T388" s="1" t="s">
        <v>84</v>
      </c>
      <c r="U388" s="1" t="s">
        <v>85</v>
      </c>
      <c r="V388" s="1" t="s">
        <v>86</v>
      </c>
      <c r="W388" s="1">
        <v>10</v>
      </c>
      <c r="X388" s="1" t="s">
        <v>47</v>
      </c>
      <c r="Y388" s="1">
        <v>2</v>
      </c>
      <c r="Z388" s="1" t="s">
        <v>58</v>
      </c>
    </row>
    <row r="389" spans="1:26" x14ac:dyDescent="0.3">
      <c r="A389" s="1" t="s">
        <v>791</v>
      </c>
      <c r="B389" s="2">
        <v>45799</v>
      </c>
      <c r="C389" s="1" t="s">
        <v>792</v>
      </c>
      <c r="D389" s="1" t="s">
        <v>50</v>
      </c>
      <c r="E389" s="1" t="s">
        <v>29</v>
      </c>
      <c r="F389" s="1">
        <v>51</v>
      </c>
      <c r="G389" s="1" t="s">
        <v>67</v>
      </c>
      <c r="H389" s="1" t="s">
        <v>68</v>
      </c>
      <c r="I389" s="1" t="s">
        <v>67</v>
      </c>
      <c r="J389" s="1" t="s">
        <v>102</v>
      </c>
      <c r="K389" s="1">
        <v>1</v>
      </c>
      <c r="L389" s="1">
        <v>35776</v>
      </c>
      <c r="M389" s="1">
        <v>15</v>
      </c>
      <c r="N389" s="1">
        <v>5366.4</v>
      </c>
      <c r="O389" s="1">
        <v>5473.73</v>
      </c>
      <c r="P389" s="1">
        <v>211</v>
      </c>
      <c r="Q389" s="1">
        <v>36094.33</v>
      </c>
      <c r="R389" s="1" t="s">
        <v>54</v>
      </c>
      <c r="S389" s="1" t="s">
        <v>34</v>
      </c>
      <c r="T389" s="1" t="s">
        <v>35</v>
      </c>
      <c r="U389" s="1" t="s">
        <v>36</v>
      </c>
      <c r="V389" s="1" t="s">
        <v>37</v>
      </c>
      <c r="W389" s="1">
        <v>1</v>
      </c>
      <c r="X389" s="1" t="s">
        <v>47</v>
      </c>
      <c r="Y389" s="1">
        <v>2</v>
      </c>
      <c r="Z389" s="1" t="s">
        <v>39</v>
      </c>
    </row>
    <row r="390" spans="1:26" x14ac:dyDescent="0.3">
      <c r="A390" s="1" t="s">
        <v>793</v>
      </c>
      <c r="B390" s="2">
        <v>45792</v>
      </c>
      <c r="C390" s="1" t="s">
        <v>794</v>
      </c>
      <c r="D390" s="1" t="s">
        <v>89</v>
      </c>
      <c r="E390" s="1" t="s">
        <v>43</v>
      </c>
      <c r="F390" s="1">
        <v>48</v>
      </c>
      <c r="G390" s="1" t="s">
        <v>139</v>
      </c>
      <c r="H390" s="1" t="s">
        <v>31</v>
      </c>
      <c r="I390" s="1" t="s">
        <v>139</v>
      </c>
      <c r="J390" s="1" t="s">
        <v>53</v>
      </c>
      <c r="K390" s="1">
        <v>5</v>
      </c>
      <c r="L390" s="1">
        <v>38786</v>
      </c>
      <c r="M390" s="1">
        <v>20</v>
      </c>
      <c r="N390" s="1">
        <v>38786</v>
      </c>
      <c r="O390" s="1">
        <v>27925.919999999998</v>
      </c>
      <c r="P390" s="1">
        <v>346</v>
      </c>
      <c r="Q390" s="1">
        <v>183415.92</v>
      </c>
      <c r="R390" s="1" t="s">
        <v>33</v>
      </c>
      <c r="S390" s="1" t="s">
        <v>34</v>
      </c>
      <c r="T390" s="1" t="s">
        <v>84</v>
      </c>
      <c r="U390" s="1" t="s">
        <v>85</v>
      </c>
      <c r="V390" s="1" t="s">
        <v>86</v>
      </c>
      <c r="W390" s="1">
        <v>10</v>
      </c>
      <c r="X390" s="1" t="s">
        <v>38</v>
      </c>
      <c r="Y390" s="1">
        <v>2</v>
      </c>
      <c r="Z390" s="1" t="s">
        <v>39</v>
      </c>
    </row>
    <row r="391" spans="1:26" x14ac:dyDescent="0.3">
      <c r="A391" s="1" t="s">
        <v>795</v>
      </c>
      <c r="B391" s="2">
        <v>46088</v>
      </c>
      <c r="C391" s="1" t="s">
        <v>193</v>
      </c>
      <c r="D391" s="1" t="s">
        <v>50</v>
      </c>
      <c r="E391" s="1" t="s">
        <v>43</v>
      </c>
      <c r="F391" s="1">
        <v>39</v>
      </c>
      <c r="G391" s="1" t="s">
        <v>30</v>
      </c>
      <c r="H391" s="1" t="s">
        <v>31</v>
      </c>
      <c r="I391" s="1" t="s">
        <v>30</v>
      </c>
      <c r="J391" s="1" t="s">
        <v>32</v>
      </c>
      <c r="K391" s="1">
        <v>4</v>
      </c>
      <c r="L391" s="1">
        <v>44570</v>
      </c>
      <c r="M391" s="1">
        <v>15</v>
      </c>
      <c r="N391" s="1">
        <v>26742</v>
      </c>
      <c r="O391" s="1">
        <v>27276.84</v>
      </c>
      <c r="P391" s="1">
        <v>441</v>
      </c>
      <c r="Q391" s="1">
        <v>179255.84</v>
      </c>
      <c r="R391" s="1" t="s">
        <v>33</v>
      </c>
      <c r="S391" s="1" t="s">
        <v>34</v>
      </c>
      <c r="T391" s="1" t="s">
        <v>95</v>
      </c>
      <c r="U391" s="1" t="s">
        <v>96</v>
      </c>
      <c r="V391" s="1" t="s">
        <v>57</v>
      </c>
      <c r="W391" s="1">
        <v>5</v>
      </c>
      <c r="X391" s="1" t="s">
        <v>47</v>
      </c>
      <c r="Y391" s="1">
        <v>5</v>
      </c>
      <c r="Z391" s="1" t="s">
        <v>47</v>
      </c>
    </row>
    <row r="392" spans="1:26" x14ac:dyDescent="0.3">
      <c r="A392" s="1" t="s">
        <v>796</v>
      </c>
      <c r="B392" s="2">
        <v>45852</v>
      </c>
      <c r="C392" s="1" t="s">
        <v>65</v>
      </c>
      <c r="D392" s="1" t="s">
        <v>108</v>
      </c>
      <c r="E392" s="1" t="s">
        <v>43</v>
      </c>
      <c r="F392" s="1">
        <v>27</v>
      </c>
      <c r="G392" s="1" t="s">
        <v>99</v>
      </c>
      <c r="H392" s="1" t="s">
        <v>52</v>
      </c>
      <c r="I392" s="1" t="s">
        <v>99</v>
      </c>
      <c r="J392" s="1" t="s">
        <v>62</v>
      </c>
      <c r="K392" s="1">
        <v>2</v>
      </c>
      <c r="L392" s="1">
        <v>17897</v>
      </c>
      <c r="M392" s="1">
        <v>15</v>
      </c>
      <c r="N392" s="1">
        <v>5369.1</v>
      </c>
      <c r="O392" s="1">
        <v>5476.48</v>
      </c>
      <c r="P392" s="1">
        <v>381</v>
      </c>
      <c r="Q392" s="1">
        <v>36282.379999999997</v>
      </c>
      <c r="R392" s="1" t="s">
        <v>54</v>
      </c>
      <c r="S392" s="1" t="s">
        <v>34</v>
      </c>
      <c r="T392" s="1" t="s">
        <v>76</v>
      </c>
      <c r="U392" s="1" t="s">
        <v>77</v>
      </c>
      <c r="V392" s="1" t="s">
        <v>57</v>
      </c>
      <c r="W392" s="1">
        <v>2</v>
      </c>
      <c r="X392" s="1" t="s">
        <v>38</v>
      </c>
      <c r="Y392" s="1">
        <v>3</v>
      </c>
      <c r="Z392" s="1" t="s">
        <v>39</v>
      </c>
    </row>
    <row r="393" spans="1:26" x14ac:dyDescent="0.3">
      <c r="A393" s="1" t="s">
        <v>797</v>
      </c>
      <c r="B393" s="2">
        <v>46082</v>
      </c>
      <c r="C393" s="1" t="s">
        <v>798</v>
      </c>
      <c r="D393" s="1" t="s">
        <v>111</v>
      </c>
      <c r="E393" s="1" t="s">
        <v>43</v>
      </c>
      <c r="F393" s="1">
        <v>29</v>
      </c>
      <c r="G393" s="1" t="s">
        <v>99</v>
      </c>
      <c r="H393" s="1" t="s">
        <v>52</v>
      </c>
      <c r="I393" s="1" t="s">
        <v>99</v>
      </c>
      <c r="J393" s="1" t="s">
        <v>201</v>
      </c>
      <c r="K393" s="1">
        <v>2</v>
      </c>
      <c r="L393" s="1">
        <v>19659</v>
      </c>
      <c r="M393" s="1">
        <v>5</v>
      </c>
      <c r="N393" s="1">
        <v>1965.9</v>
      </c>
      <c r="O393" s="1">
        <v>6723.38</v>
      </c>
      <c r="P393" s="1">
        <v>60</v>
      </c>
      <c r="Q393" s="1">
        <v>44135.48</v>
      </c>
      <c r="R393" s="1" t="s">
        <v>54</v>
      </c>
      <c r="S393" s="1" t="s">
        <v>63</v>
      </c>
      <c r="T393" s="1" t="s">
        <v>55</v>
      </c>
      <c r="U393" s="1" t="s">
        <v>56</v>
      </c>
      <c r="V393" s="1" t="s">
        <v>57</v>
      </c>
      <c r="W393" s="1">
        <v>8</v>
      </c>
      <c r="X393" s="1" t="s">
        <v>47</v>
      </c>
      <c r="Y393" s="1">
        <v>2</v>
      </c>
      <c r="Z393" s="1" t="s">
        <v>39</v>
      </c>
    </row>
    <row r="394" spans="1:26" x14ac:dyDescent="0.3">
      <c r="A394" s="1" t="s">
        <v>799</v>
      </c>
      <c r="B394" s="2">
        <v>45937</v>
      </c>
      <c r="C394" s="1" t="s">
        <v>800</v>
      </c>
      <c r="D394" s="1" t="s">
        <v>42</v>
      </c>
      <c r="E394" s="1" t="s">
        <v>29</v>
      </c>
      <c r="F394" s="1">
        <v>19</v>
      </c>
      <c r="G394" s="1" t="s">
        <v>44</v>
      </c>
      <c r="H394" s="1" t="s">
        <v>31</v>
      </c>
      <c r="I394" s="1" t="s">
        <v>44</v>
      </c>
      <c r="J394" s="1" t="s">
        <v>201</v>
      </c>
      <c r="K394" s="1">
        <v>2</v>
      </c>
      <c r="L394" s="1">
        <v>5458</v>
      </c>
      <c r="M394" s="1">
        <v>10</v>
      </c>
      <c r="N394" s="1">
        <v>1091.5999999999999</v>
      </c>
      <c r="O394" s="1">
        <v>1768.39</v>
      </c>
      <c r="P394" s="1">
        <v>260</v>
      </c>
      <c r="Q394" s="1">
        <v>11852.79</v>
      </c>
      <c r="R394" s="1" t="s">
        <v>54</v>
      </c>
      <c r="S394" s="1" t="s">
        <v>63</v>
      </c>
      <c r="T394" s="1" t="s">
        <v>95</v>
      </c>
      <c r="U394" s="1" t="s">
        <v>96</v>
      </c>
      <c r="V394" s="1" t="s">
        <v>57</v>
      </c>
      <c r="W394" s="1">
        <v>6</v>
      </c>
      <c r="X394" s="1" t="s">
        <v>47</v>
      </c>
      <c r="Y394" s="1">
        <v>1</v>
      </c>
      <c r="Z394" s="1" t="s">
        <v>58</v>
      </c>
    </row>
    <row r="395" spans="1:26" x14ac:dyDescent="0.3">
      <c r="A395" s="1" t="s">
        <v>801</v>
      </c>
      <c r="B395" s="2">
        <v>45893</v>
      </c>
      <c r="C395" s="1" t="s">
        <v>802</v>
      </c>
      <c r="D395" s="1" t="s">
        <v>80</v>
      </c>
      <c r="E395" s="1" t="s">
        <v>43</v>
      </c>
      <c r="F395" s="1">
        <v>39</v>
      </c>
      <c r="G395" s="1" t="s">
        <v>51</v>
      </c>
      <c r="H395" s="1" t="s">
        <v>52</v>
      </c>
      <c r="I395" s="1" t="s">
        <v>51</v>
      </c>
      <c r="J395" s="1" t="s">
        <v>53</v>
      </c>
      <c r="K395" s="1">
        <v>5</v>
      </c>
      <c r="L395" s="1">
        <v>11477</v>
      </c>
      <c r="M395" s="1">
        <v>20</v>
      </c>
      <c r="N395" s="1">
        <v>11477</v>
      </c>
      <c r="O395" s="1">
        <v>8263.44</v>
      </c>
      <c r="P395" s="1">
        <v>383</v>
      </c>
      <c r="Q395" s="1">
        <v>54554.44</v>
      </c>
      <c r="R395" s="1" t="s">
        <v>83</v>
      </c>
      <c r="S395" s="1" t="s">
        <v>34</v>
      </c>
      <c r="T395" s="1" t="s">
        <v>103</v>
      </c>
      <c r="U395" s="1" t="s">
        <v>103</v>
      </c>
      <c r="V395" s="1" t="s">
        <v>57</v>
      </c>
      <c r="W395" s="1">
        <v>8</v>
      </c>
      <c r="X395" s="1" t="s">
        <v>38</v>
      </c>
      <c r="Y395" s="1">
        <v>1</v>
      </c>
      <c r="Z395" s="1" t="s">
        <v>58</v>
      </c>
    </row>
    <row r="396" spans="1:26" x14ac:dyDescent="0.3">
      <c r="A396" s="1" t="s">
        <v>803</v>
      </c>
      <c r="B396" s="2">
        <v>46071</v>
      </c>
      <c r="C396" s="1" t="s">
        <v>706</v>
      </c>
      <c r="D396" s="1" t="s">
        <v>73</v>
      </c>
      <c r="E396" s="1" t="s">
        <v>43</v>
      </c>
      <c r="F396" s="1">
        <v>56</v>
      </c>
      <c r="G396" s="1" t="s">
        <v>134</v>
      </c>
      <c r="H396" s="1" t="s">
        <v>31</v>
      </c>
      <c r="I396" s="1" t="s">
        <v>134</v>
      </c>
      <c r="J396" s="1" t="s">
        <v>150</v>
      </c>
      <c r="K396" s="1">
        <v>5</v>
      </c>
      <c r="L396" s="1">
        <v>8130</v>
      </c>
      <c r="M396" s="1">
        <v>0</v>
      </c>
      <c r="N396" s="1">
        <v>0</v>
      </c>
      <c r="O396" s="1">
        <v>7317</v>
      </c>
      <c r="P396" s="1">
        <v>365</v>
      </c>
      <c r="Q396" s="1">
        <v>48332</v>
      </c>
      <c r="R396" s="1" t="s">
        <v>54</v>
      </c>
      <c r="S396" s="1" t="s">
        <v>34</v>
      </c>
      <c r="T396" s="1" t="s">
        <v>76</v>
      </c>
      <c r="U396" s="1" t="s">
        <v>77</v>
      </c>
      <c r="V396" s="1" t="s">
        <v>57</v>
      </c>
      <c r="W396" s="1">
        <v>5</v>
      </c>
      <c r="X396" s="1" t="s">
        <v>47</v>
      </c>
      <c r="Y396" s="1">
        <v>2</v>
      </c>
      <c r="Z396" s="1" t="s">
        <v>58</v>
      </c>
    </row>
    <row r="397" spans="1:26" x14ac:dyDescent="0.3">
      <c r="A397" s="1" t="s">
        <v>804</v>
      </c>
      <c r="B397" s="2">
        <v>45917</v>
      </c>
      <c r="C397" s="1" t="s">
        <v>598</v>
      </c>
      <c r="D397" s="1" t="s">
        <v>89</v>
      </c>
      <c r="E397" s="1" t="s">
        <v>43</v>
      </c>
      <c r="F397" s="1">
        <v>45</v>
      </c>
      <c r="G397" s="1" t="s">
        <v>99</v>
      </c>
      <c r="H397" s="1" t="s">
        <v>52</v>
      </c>
      <c r="I397" s="1" t="s">
        <v>99</v>
      </c>
      <c r="J397" s="1" t="s">
        <v>69</v>
      </c>
      <c r="K397" s="1">
        <v>5</v>
      </c>
      <c r="L397" s="1">
        <v>49785</v>
      </c>
      <c r="M397" s="1">
        <v>10</v>
      </c>
      <c r="N397" s="1">
        <v>24892.5</v>
      </c>
      <c r="O397" s="1">
        <v>40325.85</v>
      </c>
      <c r="P397" s="1">
        <v>307</v>
      </c>
      <c r="Q397" s="1">
        <v>264665.34999999998</v>
      </c>
      <c r="R397" s="1" t="s">
        <v>45</v>
      </c>
      <c r="S397" s="1" t="s">
        <v>34</v>
      </c>
      <c r="T397" s="1" t="s">
        <v>76</v>
      </c>
      <c r="U397" s="1" t="s">
        <v>77</v>
      </c>
      <c r="V397" s="1" t="s">
        <v>57</v>
      </c>
      <c r="W397" s="1">
        <v>10</v>
      </c>
      <c r="X397" s="1" t="s">
        <v>47</v>
      </c>
      <c r="Y397" s="1">
        <v>1</v>
      </c>
      <c r="Z397" s="1" t="s">
        <v>47</v>
      </c>
    </row>
    <row r="398" spans="1:26" x14ac:dyDescent="0.3">
      <c r="A398" s="1" t="s">
        <v>805</v>
      </c>
      <c r="B398" s="2">
        <v>45999</v>
      </c>
      <c r="C398" s="1" t="s">
        <v>806</v>
      </c>
      <c r="D398" s="1" t="s">
        <v>61</v>
      </c>
      <c r="E398" s="1" t="s">
        <v>43</v>
      </c>
      <c r="F398" s="1">
        <v>45</v>
      </c>
      <c r="G398" s="1" t="s">
        <v>30</v>
      </c>
      <c r="H398" s="1" t="s">
        <v>31</v>
      </c>
      <c r="I398" s="1" t="s">
        <v>30</v>
      </c>
      <c r="J398" s="1" t="s">
        <v>112</v>
      </c>
      <c r="K398" s="1">
        <v>1</v>
      </c>
      <c r="L398" s="1">
        <v>45045</v>
      </c>
      <c r="M398" s="1">
        <v>10</v>
      </c>
      <c r="N398" s="1">
        <v>4504.5</v>
      </c>
      <c r="O398" s="1">
        <v>7297.29</v>
      </c>
      <c r="P398" s="1">
        <v>227</v>
      </c>
      <c r="Q398" s="1">
        <v>48064.79</v>
      </c>
      <c r="R398" s="1" t="s">
        <v>33</v>
      </c>
      <c r="S398" s="1" t="s">
        <v>63</v>
      </c>
      <c r="T398" s="1" t="s">
        <v>70</v>
      </c>
      <c r="U398" s="1" t="s">
        <v>56</v>
      </c>
      <c r="V398" s="1" t="s">
        <v>57</v>
      </c>
      <c r="W398" s="1">
        <v>7</v>
      </c>
      <c r="X398" s="1" t="s">
        <v>47</v>
      </c>
      <c r="Y398" s="1">
        <v>4</v>
      </c>
      <c r="Z398" s="1" t="s">
        <v>91</v>
      </c>
    </row>
    <row r="399" spans="1:26" x14ac:dyDescent="0.3">
      <c r="A399" s="1" t="s">
        <v>807</v>
      </c>
      <c r="B399" s="2">
        <v>45914</v>
      </c>
      <c r="C399" s="1" t="s">
        <v>808</v>
      </c>
      <c r="D399" s="1" t="s">
        <v>61</v>
      </c>
      <c r="E399" s="1" t="s">
        <v>29</v>
      </c>
      <c r="F399" s="1">
        <v>32</v>
      </c>
      <c r="G399" s="1" t="s">
        <v>67</v>
      </c>
      <c r="H399" s="1" t="s">
        <v>68</v>
      </c>
      <c r="I399" s="1" t="s">
        <v>67</v>
      </c>
      <c r="J399" s="1" t="s">
        <v>62</v>
      </c>
      <c r="K399" s="1">
        <v>2</v>
      </c>
      <c r="L399" s="1">
        <v>37886</v>
      </c>
      <c r="M399" s="1">
        <v>20</v>
      </c>
      <c r="N399" s="1">
        <v>15154.4</v>
      </c>
      <c r="O399" s="1">
        <v>10911.17</v>
      </c>
      <c r="P399" s="1">
        <v>333</v>
      </c>
      <c r="Q399" s="1">
        <v>71861.77</v>
      </c>
      <c r="R399" s="1" t="s">
        <v>54</v>
      </c>
      <c r="S399" s="1" t="s">
        <v>63</v>
      </c>
      <c r="T399" s="1" t="s">
        <v>103</v>
      </c>
      <c r="U399" s="1" t="s">
        <v>103</v>
      </c>
      <c r="V399" s="1" t="s">
        <v>57</v>
      </c>
      <c r="W399" s="1">
        <v>5</v>
      </c>
      <c r="X399" s="1" t="s">
        <v>47</v>
      </c>
      <c r="Y399" s="1">
        <v>1</v>
      </c>
      <c r="Z399" s="1" t="s">
        <v>39</v>
      </c>
    </row>
    <row r="400" spans="1:26" x14ac:dyDescent="0.3">
      <c r="A400" s="1" t="s">
        <v>809</v>
      </c>
      <c r="B400" s="2">
        <v>45798</v>
      </c>
      <c r="C400" s="1" t="s">
        <v>810</v>
      </c>
      <c r="D400" s="1" t="s">
        <v>61</v>
      </c>
      <c r="E400" s="1" t="s">
        <v>29</v>
      </c>
      <c r="F400" s="1">
        <v>41</v>
      </c>
      <c r="G400" s="1" t="s">
        <v>134</v>
      </c>
      <c r="H400" s="1" t="s">
        <v>31</v>
      </c>
      <c r="I400" s="1" t="s">
        <v>134</v>
      </c>
      <c r="J400" s="1" t="s">
        <v>125</v>
      </c>
      <c r="K400" s="1">
        <v>1</v>
      </c>
      <c r="L400" s="1">
        <v>10479</v>
      </c>
      <c r="M400" s="1">
        <v>20</v>
      </c>
      <c r="N400" s="1">
        <v>2095.8000000000002</v>
      </c>
      <c r="O400" s="1">
        <v>1508.98</v>
      </c>
      <c r="P400" s="1">
        <v>259</v>
      </c>
      <c r="Q400" s="1">
        <v>10151.18</v>
      </c>
      <c r="R400" s="1" t="s">
        <v>83</v>
      </c>
      <c r="S400" s="1" t="s">
        <v>34</v>
      </c>
      <c r="T400" s="1" t="s">
        <v>76</v>
      </c>
      <c r="U400" s="1" t="s">
        <v>77</v>
      </c>
      <c r="V400" s="1" t="s">
        <v>57</v>
      </c>
      <c r="W400" s="1">
        <v>9</v>
      </c>
      <c r="X400" s="1" t="s">
        <v>38</v>
      </c>
      <c r="Y400" s="1">
        <v>3</v>
      </c>
      <c r="Z400" s="1" t="s">
        <v>47</v>
      </c>
    </row>
    <row r="401" spans="1:26" x14ac:dyDescent="0.3">
      <c r="A401" s="1" t="s">
        <v>811</v>
      </c>
      <c r="B401" s="2">
        <v>45856</v>
      </c>
      <c r="C401" s="1" t="s">
        <v>812</v>
      </c>
      <c r="D401" s="1" t="s">
        <v>111</v>
      </c>
      <c r="E401" s="1" t="s">
        <v>29</v>
      </c>
      <c r="F401" s="1">
        <v>39</v>
      </c>
      <c r="G401" s="1" t="s">
        <v>67</v>
      </c>
      <c r="H401" s="1" t="s">
        <v>68</v>
      </c>
      <c r="I401" s="1" t="s">
        <v>67</v>
      </c>
      <c r="J401" s="1" t="s">
        <v>62</v>
      </c>
      <c r="K401" s="1">
        <v>2</v>
      </c>
      <c r="L401" s="1">
        <v>25677</v>
      </c>
      <c r="M401" s="1">
        <v>20</v>
      </c>
      <c r="N401" s="1">
        <v>10270.799999999999</v>
      </c>
      <c r="O401" s="1">
        <v>7394.98</v>
      </c>
      <c r="P401" s="1">
        <v>360</v>
      </c>
      <c r="Q401" s="1">
        <v>48838.18</v>
      </c>
      <c r="R401" s="1" t="s">
        <v>45</v>
      </c>
      <c r="S401" s="1" t="s">
        <v>63</v>
      </c>
      <c r="T401" s="1" t="s">
        <v>35</v>
      </c>
      <c r="U401" s="1" t="s">
        <v>36</v>
      </c>
      <c r="V401" s="1" t="s">
        <v>37</v>
      </c>
      <c r="W401" s="1">
        <v>4</v>
      </c>
      <c r="X401" s="1" t="s">
        <v>47</v>
      </c>
      <c r="Y401" s="1">
        <v>4</v>
      </c>
      <c r="Z401" s="1" t="s">
        <v>58</v>
      </c>
    </row>
    <row r="402" spans="1:26" x14ac:dyDescent="0.3">
      <c r="A402" s="1" t="s">
        <v>813</v>
      </c>
      <c r="B402" s="2">
        <v>45941</v>
      </c>
      <c r="C402" s="1" t="s">
        <v>814</v>
      </c>
      <c r="D402" s="1" t="s">
        <v>50</v>
      </c>
      <c r="E402" s="1" t="s">
        <v>43</v>
      </c>
      <c r="F402" s="1">
        <v>45</v>
      </c>
      <c r="G402" s="1" t="s">
        <v>99</v>
      </c>
      <c r="H402" s="1" t="s">
        <v>52</v>
      </c>
      <c r="I402" s="1" t="s">
        <v>99</v>
      </c>
      <c r="J402" s="1" t="s">
        <v>201</v>
      </c>
      <c r="K402" s="1">
        <v>1</v>
      </c>
      <c r="L402" s="1">
        <v>38257</v>
      </c>
      <c r="M402" s="1">
        <v>0</v>
      </c>
      <c r="N402" s="1">
        <v>0</v>
      </c>
      <c r="O402" s="1">
        <v>6886.26</v>
      </c>
      <c r="P402" s="1">
        <v>77</v>
      </c>
      <c r="Q402" s="1">
        <v>45220.26</v>
      </c>
      <c r="R402" s="1" t="s">
        <v>54</v>
      </c>
      <c r="S402" s="1" t="s">
        <v>63</v>
      </c>
      <c r="T402" s="1" t="s">
        <v>55</v>
      </c>
      <c r="U402" s="1" t="s">
        <v>56</v>
      </c>
      <c r="V402" s="1" t="s">
        <v>57</v>
      </c>
      <c r="W402" s="1">
        <v>5</v>
      </c>
      <c r="X402" s="1" t="s">
        <v>38</v>
      </c>
      <c r="Y402" s="1">
        <v>1</v>
      </c>
      <c r="Z402" s="1" t="s">
        <v>91</v>
      </c>
    </row>
    <row r="403" spans="1:26" x14ac:dyDescent="0.3">
      <c r="A403" s="1" t="s">
        <v>815</v>
      </c>
      <c r="B403" s="2">
        <v>45969</v>
      </c>
      <c r="C403" s="1" t="s">
        <v>816</v>
      </c>
      <c r="D403" s="1" t="s">
        <v>111</v>
      </c>
      <c r="E403" s="1" t="s">
        <v>29</v>
      </c>
      <c r="F403" s="1">
        <v>18</v>
      </c>
      <c r="G403" s="1" t="s">
        <v>67</v>
      </c>
      <c r="H403" s="1" t="s">
        <v>68</v>
      </c>
      <c r="I403" s="1" t="s">
        <v>67</v>
      </c>
      <c r="J403" s="1" t="s">
        <v>75</v>
      </c>
      <c r="K403" s="1">
        <v>3</v>
      </c>
      <c r="L403" s="1">
        <v>42836</v>
      </c>
      <c r="M403" s="1">
        <v>5</v>
      </c>
      <c r="N403" s="1">
        <v>6425.4</v>
      </c>
      <c r="O403" s="1">
        <v>21974.87</v>
      </c>
      <c r="P403" s="1">
        <v>203</v>
      </c>
      <c r="Q403" s="1">
        <v>144260.47</v>
      </c>
      <c r="R403" s="1" t="s">
        <v>54</v>
      </c>
      <c r="S403" s="1" t="s">
        <v>63</v>
      </c>
      <c r="T403" s="1" t="s">
        <v>70</v>
      </c>
      <c r="U403" s="1" t="s">
        <v>56</v>
      </c>
      <c r="V403" s="1" t="s">
        <v>57</v>
      </c>
      <c r="W403" s="1">
        <v>8</v>
      </c>
      <c r="X403" s="1" t="s">
        <v>38</v>
      </c>
      <c r="Y403" s="1">
        <v>1</v>
      </c>
      <c r="Z403" s="1" t="s">
        <v>47</v>
      </c>
    </row>
    <row r="404" spans="1:26" x14ac:dyDescent="0.3">
      <c r="A404" s="1" t="s">
        <v>817</v>
      </c>
      <c r="B404" s="2">
        <v>45937</v>
      </c>
      <c r="C404" s="1" t="s">
        <v>818</v>
      </c>
      <c r="D404" s="1" t="s">
        <v>80</v>
      </c>
      <c r="E404" s="1" t="s">
        <v>43</v>
      </c>
      <c r="F404" s="1">
        <v>33</v>
      </c>
      <c r="G404" s="1" t="s">
        <v>139</v>
      </c>
      <c r="H404" s="1" t="s">
        <v>31</v>
      </c>
      <c r="I404" s="1" t="s">
        <v>139</v>
      </c>
      <c r="J404" s="1" t="s">
        <v>62</v>
      </c>
      <c r="K404" s="1">
        <v>5</v>
      </c>
      <c r="L404" s="1">
        <v>6082</v>
      </c>
      <c r="M404" s="1">
        <v>10</v>
      </c>
      <c r="N404" s="1">
        <v>3041</v>
      </c>
      <c r="O404" s="1">
        <v>4926.42</v>
      </c>
      <c r="P404" s="1">
        <v>451</v>
      </c>
      <c r="Q404" s="1">
        <v>32746.42</v>
      </c>
      <c r="R404" s="1" t="s">
        <v>54</v>
      </c>
      <c r="S404" s="1" t="s">
        <v>63</v>
      </c>
      <c r="T404" s="1" t="s">
        <v>84</v>
      </c>
      <c r="U404" s="1" t="s">
        <v>85</v>
      </c>
      <c r="V404" s="1" t="s">
        <v>86</v>
      </c>
      <c r="W404" s="1">
        <v>6</v>
      </c>
      <c r="X404" s="1" t="s">
        <v>38</v>
      </c>
      <c r="Y404" s="1">
        <v>4</v>
      </c>
      <c r="Z404" s="1" t="s">
        <v>58</v>
      </c>
    </row>
    <row r="405" spans="1:26" x14ac:dyDescent="0.3">
      <c r="A405" s="1" t="s">
        <v>819</v>
      </c>
      <c r="B405" s="2">
        <v>45962</v>
      </c>
      <c r="C405" s="1" t="s">
        <v>820</v>
      </c>
      <c r="D405" s="1" t="s">
        <v>80</v>
      </c>
      <c r="E405" s="1" t="s">
        <v>29</v>
      </c>
      <c r="F405" s="1">
        <v>45</v>
      </c>
      <c r="G405" s="1" t="s">
        <v>94</v>
      </c>
      <c r="H405" s="1" t="s">
        <v>31</v>
      </c>
      <c r="I405" s="1" t="s">
        <v>94</v>
      </c>
      <c r="J405" s="1" t="s">
        <v>69</v>
      </c>
      <c r="K405" s="1">
        <v>1</v>
      </c>
      <c r="L405" s="1">
        <v>31058</v>
      </c>
      <c r="M405" s="1">
        <v>20</v>
      </c>
      <c r="N405" s="1">
        <v>6211.6</v>
      </c>
      <c r="O405" s="1">
        <v>4472.3500000000004</v>
      </c>
      <c r="P405" s="1">
        <v>107</v>
      </c>
      <c r="Q405" s="1">
        <v>29425.75</v>
      </c>
      <c r="R405" s="1" t="s">
        <v>33</v>
      </c>
      <c r="S405" s="1" t="s">
        <v>34</v>
      </c>
      <c r="T405" s="1" t="s">
        <v>46</v>
      </c>
      <c r="U405" s="1" t="s">
        <v>36</v>
      </c>
      <c r="V405" s="1" t="s">
        <v>37</v>
      </c>
      <c r="W405" s="1">
        <v>2</v>
      </c>
      <c r="X405" s="1" t="s">
        <v>38</v>
      </c>
      <c r="Y405" s="1">
        <v>1</v>
      </c>
      <c r="Z405" s="1" t="s">
        <v>39</v>
      </c>
    </row>
    <row r="406" spans="1:26" x14ac:dyDescent="0.3">
      <c r="A406" s="1" t="s">
        <v>821</v>
      </c>
      <c r="B406" s="2">
        <v>45936</v>
      </c>
      <c r="C406" s="1" t="s">
        <v>822</v>
      </c>
      <c r="D406" s="1" t="s">
        <v>50</v>
      </c>
      <c r="E406" s="1" t="s">
        <v>29</v>
      </c>
      <c r="F406" s="1">
        <v>20</v>
      </c>
      <c r="G406" s="1" t="s">
        <v>30</v>
      </c>
      <c r="H406" s="1" t="s">
        <v>31</v>
      </c>
      <c r="I406" s="1" t="s">
        <v>30</v>
      </c>
      <c r="J406" s="1" t="s">
        <v>69</v>
      </c>
      <c r="K406" s="1">
        <v>5</v>
      </c>
      <c r="L406" s="1">
        <v>23952</v>
      </c>
      <c r="M406" s="1">
        <v>15</v>
      </c>
      <c r="N406" s="1">
        <v>17964</v>
      </c>
      <c r="O406" s="1">
        <v>18323.28</v>
      </c>
      <c r="P406" s="1">
        <v>235</v>
      </c>
      <c r="Q406" s="1">
        <v>120354.28</v>
      </c>
      <c r="R406" s="1" t="s">
        <v>54</v>
      </c>
      <c r="S406" s="1" t="s">
        <v>34</v>
      </c>
      <c r="T406" s="1" t="s">
        <v>46</v>
      </c>
      <c r="U406" s="1" t="s">
        <v>36</v>
      </c>
      <c r="V406" s="1" t="s">
        <v>37</v>
      </c>
      <c r="W406" s="1">
        <v>8</v>
      </c>
      <c r="X406" s="1" t="s">
        <v>38</v>
      </c>
      <c r="Y406" s="1">
        <v>3</v>
      </c>
      <c r="Z406" s="1" t="s">
        <v>58</v>
      </c>
    </row>
    <row r="407" spans="1:26" x14ac:dyDescent="0.3">
      <c r="A407" s="1" t="s">
        <v>823</v>
      </c>
      <c r="B407" s="2">
        <v>45769</v>
      </c>
      <c r="C407" s="1" t="s">
        <v>824</v>
      </c>
      <c r="D407" s="1" t="s">
        <v>111</v>
      </c>
      <c r="E407" s="1" t="s">
        <v>29</v>
      </c>
      <c r="F407" s="1">
        <v>48</v>
      </c>
      <c r="G407" s="1" t="s">
        <v>44</v>
      </c>
      <c r="H407" s="1" t="s">
        <v>31</v>
      </c>
      <c r="I407" s="1" t="s">
        <v>44</v>
      </c>
      <c r="J407" s="1" t="s">
        <v>125</v>
      </c>
      <c r="K407" s="1">
        <v>3</v>
      </c>
      <c r="L407" s="1">
        <v>38091</v>
      </c>
      <c r="M407" s="1">
        <v>20</v>
      </c>
      <c r="N407" s="1">
        <v>22854.6</v>
      </c>
      <c r="O407" s="1">
        <v>16455.310000000001</v>
      </c>
      <c r="P407" s="1">
        <v>45</v>
      </c>
      <c r="Q407" s="1">
        <v>107918.71</v>
      </c>
      <c r="R407" s="1" t="s">
        <v>45</v>
      </c>
      <c r="S407" s="1" t="s">
        <v>63</v>
      </c>
      <c r="T407" s="1" t="s">
        <v>70</v>
      </c>
      <c r="U407" s="1" t="s">
        <v>56</v>
      </c>
      <c r="V407" s="1" t="s">
        <v>57</v>
      </c>
      <c r="W407" s="1">
        <v>4</v>
      </c>
      <c r="X407" s="1" t="s">
        <v>38</v>
      </c>
      <c r="Y407" s="1">
        <v>2</v>
      </c>
      <c r="Z407" s="1" t="s">
        <v>91</v>
      </c>
    </row>
    <row r="408" spans="1:26" x14ac:dyDescent="0.3">
      <c r="A408" s="1" t="s">
        <v>825</v>
      </c>
      <c r="B408" s="2">
        <v>45874</v>
      </c>
      <c r="C408" s="1" t="s">
        <v>538</v>
      </c>
      <c r="D408" s="1" t="s">
        <v>42</v>
      </c>
      <c r="E408" s="1" t="s">
        <v>43</v>
      </c>
      <c r="F408" s="1">
        <v>52</v>
      </c>
      <c r="G408" s="1" t="s">
        <v>90</v>
      </c>
      <c r="H408" s="1" t="s">
        <v>31</v>
      </c>
      <c r="I408" s="1" t="s">
        <v>90</v>
      </c>
      <c r="J408" s="1" t="s">
        <v>125</v>
      </c>
      <c r="K408" s="1">
        <v>3</v>
      </c>
      <c r="L408" s="1">
        <v>26216</v>
      </c>
      <c r="M408" s="1">
        <v>20</v>
      </c>
      <c r="N408" s="1">
        <v>15729.6</v>
      </c>
      <c r="O408" s="1">
        <v>11325.31</v>
      </c>
      <c r="P408" s="1">
        <v>81</v>
      </c>
      <c r="Q408" s="1">
        <v>74324.710000000006</v>
      </c>
      <c r="R408" s="1" t="s">
        <v>33</v>
      </c>
      <c r="S408" s="1" t="s">
        <v>34</v>
      </c>
      <c r="T408" s="1" t="s">
        <v>35</v>
      </c>
      <c r="U408" s="1" t="s">
        <v>36</v>
      </c>
      <c r="V408" s="1" t="s">
        <v>37</v>
      </c>
      <c r="W408" s="1">
        <v>10</v>
      </c>
      <c r="X408" s="1" t="s">
        <v>47</v>
      </c>
      <c r="Y408" s="1">
        <v>2</v>
      </c>
      <c r="Z408" s="1" t="s">
        <v>58</v>
      </c>
    </row>
    <row r="409" spans="1:26" x14ac:dyDescent="0.3">
      <c r="A409" s="1" t="s">
        <v>826</v>
      </c>
      <c r="B409" s="2">
        <v>46027</v>
      </c>
      <c r="C409" s="1" t="s">
        <v>227</v>
      </c>
      <c r="D409" s="1" t="s">
        <v>28</v>
      </c>
      <c r="E409" s="1" t="s">
        <v>29</v>
      </c>
      <c r="F409" s="1">
        <v>27</v>
      </c>
      <c r="G409" s="1" t="s">
        <v>139</v>
      </c>
      <c r="H409" s="1" t="s">
        <v>31</v>
      </c>
      <c r="I409" s="1" t="s">
        <v>139</v>
      </c>
      <c r="J409" s="1" t="s">
        <v>201</v>
      </c>
      <c r="K409" s="1">
        <v>1</v>
      </c>
      <c r="L409" s="1">
        <v>39817</v>
      </c>
      <c r="M409" s="1">
        <v>0</v>
      </c>
      <c r="N409" s="1">
        <v>0</v>
      </c>
      <c r="O409" s="1">
        <v>7167.06</v>
      </c>
      <c r="P409" s="1">
        <v>338</v>
      </c>
      <c r="Q409" s="1">
        <v>47322.06</v>
      </c>
      <c r="R409" s="1" t="s">
        <v>83</v>
      </c>
      <c r="S409" s="1" t="s">
        <v>34</v>
      </c>
      <c r="T409" s="1" t="s">
        <v>70</v>
      </c>
      <c r="U409" s="1" t="s">
        <v>56</v>
      </c>
      <c r="V409" s="1" t="s">
        <v>57</v>
      </c>
      <c r="W409" s="1">
        <v>5</v>
      </c>
      <c r="X409" s="1" t="s">
        <v>38</v>
      </c>
      <c r="Y409" s="1">
        <v>2</v>
      </c>
      <c r="Z409" s="1" t="s">
        <v>39</v>
      </c>
    </row>
    <row r="410" spans="1:26" x14ac:dyDescent="0.3">
      <c r="A410" s="1" t="s">
        <v>827</v>
      </c>
      <c r="B410" s="2">
        <v>45846</v>
      </c>
      <c r="C410" s="1" t="s">
        <v>828</v>
      </c>
      <c r="D410" s="1" t="s">
        <v>89</v>
      </c>
      <c r="E410" s="1" t="s">
        <v>43</v>
      </c>
      <c r="F410" s="1">
        <v>21</v>
      </c>
      <c r="G410" s="1" t="s">
        <v>134</v>
      </c>
      <c r="H410" s="1" t="s">
        <v>31</v>
      </c>
      <c r="I410" s="1" t="s">
        <v>134</v>
      </c>
      <c r="J410" s="1" t="s">
        <v>201</v>
      </c>
      <c r="K410" s="1">
        <v>2</v>
      </c>
      <c r="L410" s="1">
        <v>13948</v>
      </c>
      <c r="M410" s="1">
        <v>20</v>
      </c>
      <c r="N410" s="1">
        <v>5579.2</v>
      </c>
      <c r="O410" s="1">
        <v>4017.02</v>
      </c>
      <c r="P410" s="1">
        <v>146</v>
      </c>
      <c r="Q410" s="1">
        <v>26479.82</v>
      </c>
      <c r="R410" s="1" t="s">
        <v>54</v>
      </c>
      <c r="S410" s="1" t="s">
        <v>34</v>
      </c>
      <c r="T410" s="1" t="s">
        <v>35</v>
      </c>
      <c r="U410" s="1" t="s">
        <v>36</v>
      </c>
      <c r="V410" s="1" t="s">
        <v>37</v>
      </c>
      <c r="W410" s="1">
        <v>2</v>
      </c>
      <c r="X410" s="1" t="s">
        <v>47</v>
      </c>
      <c r="Y410" s="1">
        <v>1</v>
      </c>
      <c r="Z410" s="1" t="s">
        <v>39</v>
      </c>
    </row>
    <row r="411" spans="1:26" x14ac:dyDescent="0.3">
      <c r="A411" s="1" t="s">
        <v>829</v>
      </c>
      <c r="B411" s="2">
        <v>45843</v>
      </c>
      <c r="C411" s="1" t="s">
        <v>830</v>
      </c>
      <c r="D411" s="1" t="s">
        <v>28</v>
      </c>
      <c r="E411" s="1" t="s">
        <v>43</v>
      </c>
      <c r="F411" s="1">
        <v>26</v>
      </c>
      <c r="G411" s="1" t="s">
        <v>67</v>
      </c>
      <c r="H411" s="1" t="s">
        <v>68</v>
      </c>
      <c r="I411" s="1" t="s">
        <v>67</v>
      </c>
      <c r="J411" s="1" t="s">
        <v>201</v>
      </c>
      <c r="K411" s="1">
        <v>2</v>
      </c>
      <c r="L411" s="1">
        <v>23299</v>
      </c>
      <c r="M411" s="1">
        <v>10</v>
      </c>
      <c r="N411" s="1">
        <v>4659.8</v>
      </c>
      <c r="O411" s="1">
        <v>7548.88</v>
      </c>
      <c r="P411" s="1">
        <v>416</v>
      </c>
      <c r="Q411" s="1">
        <v>49903.08</v>
      </c>
      <c r="R411" s="1" t="s">
        <v>33</v>
      </c>
      <c r="S411" s="1" t="s">
        <v>63</v>
      </c>
      <c r="T411" s="1" t="s">
        <v>84</v>
      </c>
      <c r="U411" s="1" t="s">
        <v>85</v>
      </c>
      <c r="V411" s="1" t="s">
        <v>86</v>
      </c>
      <c r="W411" s="1">
        <v>1</v>
      </c>
      <c r="X411" s="1" t="s">
        <v>47</v>
      </c>
      <c r="Y411" s="1">
        <v>2</v>
      </c>
      <c r="Z411" s="1" t="s">
        <v>58</v>
      </c>
    </row>
    <row r="412" spans="1:26" x14ac:dyDescent="0.3">
      <c r="A412" s="1" t="s">
        <v>831</v>
      </c>
      <c r="B412" s="2">
        <v>45895</v>
      </c>
      <c r="C412" s="1" t="s">
        <v>832</v>
      </c>
      <c r="D412" s="1" t="s">
        <v>50</v>
      </c>
      <c r="E412" s="1" t="s">
        <v>29</v>
      </c>
      <c r="F412" s="1">
        <v>32</v>
      </c>
      <c r="G412" s="1" t="s">
        <v>90</v>
      </c>
      <c r="H412" s="1" t="s">
        <v>31</v>
      </c>
      <c r="I412" s="1" t="s">
        <v>90</v>
      </c>
      <c r="J412" s="1" t="s">
        <v>53</v>
      </c>
      <c r="K412" s="1">
        <v>2</v>
      </c>
      <c r="L412" s="1">
        <v>32677</v>
      </c>
      <c r="M412" s="1">
        <v>10</v>
      </c>
      <c r="N412" s="1">
        <v>6535.4</v>
      </c>
      <c r="O412" s="1">
        <v>10587.35</v>
      </c>
      <c r="P412" s="1">
        <v>159</v>
      </c>
      <c r="Q412" s="1">
        <v>69564.95</v>
      </c>
      <c r="R412" s="1" t="s">
        <v>83</v>
      </c>
      <c r="S412" s="1" t="s">
        <v>34</v>
      </c>
      <c r="T412" s="1" t="s">
        <v>35</v>
      </c>
      <c r="U412" s="1" t="s">
        <v>36</v>
      </c>
      <c r="V412" s="1" t="s">
        <v>37</v>
      </c>
      <c r="W412" s="1">
        <v>3</v>
      </c>
      <c r="X412" s="1" t="s">
        <v>47</v>
      </c>
      <c r="Y412" s="1">
        <v>4</v>
      </c>
      <c r="Z412" s="1" t="s">
        <v>39</v>
      </c>
    </row>
    <row r="413" spans="1:26" x14ac:dyDescent="0.3">
      <c r="A413" s="1" t="s">
        <v>833</v>
      </c>
      <c r="B413" s="2">
        <v>45768</v>
      </c>
      <c r="C413" s="1" t="s">
        <v>834</v>
      </c>
      <c r="D413" s="1" t="s">
        <v>108</v>
      </c>
      <c r="E413" s="1" t="s">
        <v>29</v>
      </c>
      <c r="F413" s="1">
        <v>21</v>
      </c>
      <c r="G413" s="1" t="s">
        <v>51</v>
      </c>
      <c r="H413" s="1" t="s">
        <v>52</v>
      </c>
      <c r="I413" s="1" t="s">
        <v>51</v>
      </c>
      <c r="J413" s="1" t="s">
        <v>69</v>
      </c>
      <c r="K413" s="1">
        <v>2</v>
      </c>
      <c r="L413" s="1">
        <v>31723</v>
      </c>
      <c r="M413" s="1">
        <v>15</v>
      </c>
      <c r="N413" s="1">
        <v>9516.9</v>
      </c>
      <c r="O413" s="1">
        <v>9707.24</v>
      </c>
      <c r="P413" s="1">
        <v>178</v>
      </c>
      <c r="Q413" s="1">
        <v>63814.34</v>
      </c>
      <c r="R413" s="1" t="s">
        <v>45</v>
      </c>
      <c r="S413" s="1" t="s">
        <v>63</v>
      </c>
      <c r="T413" s="1" t="s">
        <v>95</v>
      </c>
      <c r="U413" s="1" t="s">
        <v>96</v>
      </c>
      <c r="V413" s="1" t="s">
        <v>57</v>
      </c>
      <c r="W413" s="1">
        <v>2</v>
      </c>
      <c r="X413" s="1" t="s">
        <v>38</v>
      </c>
      <c r="Y413" s="1">
        <v>2</v>
      </c>
      <c r="Z413" s="1" t="s">
        <v>47</v>
      </c>
    </row>
    <row r="414" spans="1:26" x14ac:dyDescent="0.3">
      <c r="A414" s="1" t="s">
        <v>835</v>
      </c>
      <c r="B414" s="2">
        <v>45836</v>
      </c>
      <c r="C414" s="1" t="s">
        <v>427</v>
      </c>
      <c r="D414" s="1" t="s">
        <v>42</v>
      </c>
      <c r="E414" s="1" t="s">
        <v>43</v>
      </c>
      <c r="F414" s="1">
        <v>18</v>
      </c>
      <c r="G414" s="1" t="s">
        <v>90</v>
      </c>
      <c r="H414" s="1" t="s">
        <v>31</v>
      </c>
      <c r="I414" s="1" t="s">
        <v>90</v>
      </c>
      <c r="J414" s="1" t="s">
        <v>102</v>
      </c>
      <c r="K414" s="1">
        <v>3</v>
      </c>
      <c r="L414" s="1">
        <v>32699</v>
      </c>
      <c r="M414" s="1">
        <v>15</v>
      </c>
      <c r="N414" s="1">
        <v>14714.55</v>
      </c>
      <c r="O414" s="1">
        <v>15008.84</v>
      </c>
      <c r="P414" s="1">
        <v>232</v>
      </c>
      <c r="Q414" s="1">
        <v>98623.29</v>
      </c>
      <c r="R414" s="1" t="s">
        <v>83</v>
      </c>
      <c r="S414" s="1" t="s">
        <v>34</v>
      </c>
      <c r="T414" s="1" t="s">
        <v>84</v>
      </c>
      <c r="U414" s="1" t="s">
        <v>85</v>
      </c>
      <c r="V414" s="1" t="s">
        <v>86</v>
      </c>
      <c r="W414" s="1">
        <v>4</v>
      </c>
      <c r="X414" s="1" t="s">
        <v>38</v>
      </c>
      <c r="Y414" s="1">
        <v>1</v>
      </c>
      <c r="Z414" s="1" t="s">
        <v>91</v>
      </c>
    </row>
    <row r="415" spans="1:26" x14ac:dyDescent="0.3">
      <c r="A415" s="1" t="s">
        <v>836</v>
      </c>
      <c r="B415" s="2">
        <v>45955</v>
      </c>
      <c r="C415" s="1" t="s">
        <v>650</v>
      </c>
      <c r="D415" s="1" t="s">
        <v>73</v>
      </c>
      <c r="E415" s="1" t="s">
        <v>43</v>
      </c>
      <c r="F415" s="1">
        <v>40</v>
      </c>
      <c r="G415" s="1" t="s">
        <v>67</v>
      </c>
      <c r="H415" s="1" t="s">
        <v>68</v>
      </c>
      <c r="I415" s="1" t="s">
        <v>67</v>
      </c>
      <c r="J415" s="1" t="s">
        <v>125</v>
      </c>
      <c r="K415" s="1">
        <v>5</v>
      </c>
      <c r="L415" s="1">
        <v>13093</v>
      </c>
      <c r="M415" s="1">
        <v>15</v>
      </c>
      <c r="N415" s="1">
        <v>9819.75</v>
      </c>
      <c r="O415" s="1">
        <v>10016.15</v>
      </c>
      <c r="P415" s="1">
        <v>119</v>
      </c>
      <c r="Q415" s="1">
        <v>65780.399999999994</v>
      </c>
      <c r="R415" s="1" t="s">
        <v>45</v>
      </c>
      <c r="S415" s="1" t="s">
        <v>34</v>
      </c>
      <c r="T415" s="1" t="s">
        <v>35</v>
      </c>
      <c r="U415" s="1" t="s">
        <v>36</v>
      </c>
      <c r="V415" s="1" t="s">
        <v>37</v>
      </c>
      <c r="W415" s="1">
        <v>9</v>
      </c>
      <c r="X415" s="1" t="s">
        <v>47</v>
      </c>
      <c r="Y415" s="1">
        <v>2</v>
      </c>
      <c r="Z415" s="1" t="s">
        <v>47</v>
      </c>
    </row>
    <row r="416" spans="1:26" x14ac:dyDescent="0.3">
      <c r="A416" s="1" t="s">
        <v>837</v>
      </c>
      <c r="B416" s="2">
        <v>45889</v>
      </c>
      <c r="C416" s="1" t="s">
        <v>838</v>
      </c>
      <c r="D416" s="1" t="s">
        <v>89</v>
      </c>
      <c r="E416" s="1" t="s">
        <v>29</v>
      </c>
      <c r="F416" s="1">
        <v>44</v>
      </c>
      <c r="G416" s="1" t="s">
        <v>139</v>
      </c>
      <c r="H416" s="1" t="s">
        <v>31</v>
      </c>
      <c r="I416" s="1" t="s">
        <v>139</v>
      </c>
      <c r="J416" s="1" t="s">
        <v>69</v>
      </c>
      <c r="K416" s="1">
        <v>1</v>
      </c>
      <c r="L416" s="1">
        <v>29058</v>
      </c>
      <c r="M416" s="1">
        <v>15</v>
      </c>
      <c r="N416" s="1">
        <v>4358.7</v>
      </c>
      <c r="O416" s="1">
        <v>4445.87</v>
      </c>
      <c r="P416" s="1">
        <v>483</v>
      </c>
      <c r="Q416" s="1">
        <v>29628.17</v>
      </c>
      <c r="R416" s="1" t="s">
        <v>33</v>
      </c>
      <c r="S416" s="1" t="s">
        <v>63</v>
      </c>
      <c r="T416" s="1" t="s">
        <v>70</v>
      </c>
      <c r="U416" s="1" t="s">
        <v>56</v>
      </c>
      <c r="V416" s="1" t="s">
        <v>57</v>
      </c>
      <c r="W416" s="1">
        <v>4</v>
      </c>
      <c r="X416" s="1" t="s">
        <v>47</v>
      </c>
      <c r="Y416" s="1">
        <v>2</v>
      </c>
      <c r="Z416" s="1" t="s">
        <v>58</v>
      </c>
    </row>
    <row r="417" spans="1:26" x14ac:dyDescent="0.3">
      <c r="A417" s="1" t="s">
        <v>839</v>
      </c>
      <c r="B417" s="2">
        <v>46085</v>
      </c>
      <c r="C417" s="1" t="s">
        <v>840</v>
      </c>
      <c r="D417" s="1" t="s">
        <v>50</v>
      </c>
      <c r="E417" s="1" t="s">
        <v>29</v>
      </c>
      <c r="F417" s="1">
        <v>34</v>
      </c>
      <c r="G417" s="1" t="s">
        <v>90</v>
      </c>
      <c r="H417" s="1" t="s">
        <v>31</v>
      </c>
      <c r="I417" s="1" t="s">
        <v>90</v>
      </c>
      <c r="J417" s="1" t="s">
        <v>112</v>
      </c>
      <c r="K417" s="1">
        <v>4</v>
      </c>
      <c r="L417" s="1">
        <v>893</v>
      </c>
      <c r="M417" s="1">
        <v>15</v>
      </c>
      <c r="N417" s="1">
        <v>535.79999999999995</v>
      </c>
      <c r="O417" s="1">
        <v>546.52</v>
      </c>
      <c r="P417" s="1">
        <v>235</v>
      </c>
      <c r="Q417" s="1">
        <v>3817.72</v>
      </c>
      <c r="R417" s="1" t="s">
        <v>45</v>
      </c>
      <c r="S417" s="1" t="s">
        <v>63</v>
      </c>
      <c r="T417" s="1" t="s">
        <v>95</v>
      </c>
      <c r="U417" s="1" t="s">
        <v>96</v>
      </c>
      <c r="V417" s="1" t="s">
        <v>57</v>
      </c>
      <c r="W417" s="1">
        <v>3</v>
      </c>
      <c r="X417" s="1" t="s">
        <v>38</v>
      </c>
      <c r="Y417" s="1">
        <v>5</v>
      </c>
      <c r="Z417" s="1" t="s">
        <v>58</v>
      </c>
    </row>
    <row r="418" spans="1:26" x14ac:dyDescent="0.3">
      <c r="A418" s="1" t="s">
        <v>841</v>
      </c>
      <c r="B418" s="2">
        <v>46012</v>
      </c>
      <c r="C418" s="1" t="s">
        <v>553</v>
      </c>
      <c r="D418" s="1" t="s">
        <v>89</v>
      </c>
      <c r="E418" s="1" t="s">
        <v>29</v>
      </c>
      <c r="F418" s="1">
        <v>43</v>
      </c>
      <c r="G418" s="1" t="s">
        <v>51</v>
      </c>
      <c r="H418" s="1" t="s">
        <v>52</v>
      </c>
      <c r="I418" s="1" t="s">
        <v>51</v>
      </c>
      <c r="J418" s="1" t="s">
        <v>62</v>
      </c>
      <c r="K418" s="1">
        <v>2</v>
      </c>
      <c r="L418" s="1">
        <v>30884</v>
      </c>
      <c r="M418" s="1">
        <v>15</v>
      </c>
      <c r="N418" s="1">
        <v>9265.2000000000007</v>
      </c>
      <c r="O418" s="1">
        <v>9450.5</v>
      </c>
      <c r="P418" s="1">
        <v>377</v>
      </c>
      <c r="Q418" s="1">
        <v>62330.3</v>
      </c>
      <c r="R418" s="1" t="s">
        <v>54</v>
      </c>
      <c r="S418" s="1" t="s">
        <v>34</v>
      </c>
      <c r="T418" s="1" t="s">
        <v>55</v>
      </c>
      <c r="U418" s="1" t="s">
        <v>56</v>
      </c>
      <c r="V418" s="1" t="s">
        <v>57</v>
      </c>
      <c r="W418" s="1">
        <v>4</v>
      </c>
      <c r="X418" s="1" t="s">
        <v>38</v>
      </c>
      <c r="Y418" s="1">
        <v>5</v>
      </c>
      <c r="Z418" s="1" t="s">
        <v>58</v>
      </c>
    </row>
    <row r="419" spans="1:26" x14ac:dyDescent="0.3">
      <c r="A419" s="1" t="s">
        <v>842</v>
      </c>
      <c r="B419" s="2">
        <v>46053</v>
      </c>
      <c r="C419" s="1" t="s">
        <v>120</v>
      </c>
      <c r="D419" s="1" t="s">
        <v>61</v>
      </c>
      <c r="E419" s="1" t="s">
        <v>29</v>
      </c>
      <c r="F419" s="1">
        <v>32</v>
      </c>
      <c r="G419" s="1" t="s">
        <v>94</v>
      </c>
      <c r="H419" s="1" t="s">
        <v>31</v>
      </c>
      <c r="I419" s="1" t="s">
        <v>94</v>
      </c>
      <c r="J419" s="1" t="s">
        <v>102</v>
      </c>
      <c r="K419" s="1">
        <v>1</v>
      </c>
      <c r="L419" s="1">
        <v>18649</v>
      </c>
      <c r="M419" s="1">
        <v>10</v>
      </c>
      <c r="N419" s="1">
        <v>1864.9</v>
      </c>
      <c r="O419" s="1">
        <v>3021.14</v>
      </c>
      <c r="P419" s="1">
        <v>223</v>
      </c>
      <c r="Q419" s="1">
        <v>20028.240000000002</v>
      </c>
      <c r="R419" s="1" t="s">
        <v>33</v>
      </c>
      <c r="S419" s="1" t="s">
        <v>63</v>
      </c>
      <c r="T419" s="1" t="s">
        <v>103</v>
      </c>
      <c r="U419" s="1" t="s">
        <v>103</v>
      </c>
      <c r="V419" s="1" t="s">
        <v>57</v>
      </c>
      <c r="W419" s="1">
        <v>2</v>
      </c>
      <c r="X419" s="1" t="s">
        <v>47</v>
      </c>
      <c r="Y419" s="1">
        <v>2</v>
      </c>
      <c r="Z419" s="1" t="s">
        <v>58</v>
      </c>
    </row>
    <row r="420" spans="1:26" x14ac:dyDescent="0.3">
      <c r="A420" s="1" t="s">
        <v>843</v>
      </c>
      <c r="B420" s="2">
        <v>45758</v>
      </c>
      <c r="C420" s="1" t="s">
        <v>844</v>
      </c>
      <c r="D420" s="1" t="s">
        <v>28</v>
      </c>
      <c r="E420" s="1" t="s">
        <v>43</v>
      </c>
      <c r="F420" s="1">
        <v>57</v>
      </c>
      <c r="G420" s="1" t="s">
        <v>30</v>
      </c>
      <c r="H420" s="1" t="s">
        <v>31</v>
      </c>
      <c r="I420" s="1" t="s">
        <v>30</v>
      </c>
      <c r="J420" s="1" t="s">
        <v>75</v>
      </c>
      <c r="K420" s="1">
        <v>4</v>
      </c>
      <c r="L420" s="1">
        <v>25831</v>
      </c>
      <c r="M420" s="1">
        <v>0</v>
      </c>
      <c r="N420" s="1">
        <v>0</v>
      </c>
      <c r="O420" s="1">
        <v>18598.32</v>
      </c>
      <c r="P420" s="1">
        <v>290</v>
      </c>
      <c r="Q420" s="1">
        <v>122212.32</v>
      </c>
      <c r="R420" s="1" t="s">
        <v>54</v>
      </c>
      <c r="S420" s="1" t="s">
        <v>63</v>
      </c>
      <c r="T420" s="1" t="s">
        <v>46</v>
      </c>
      <c r="U420" s="1" t="s">
        <v>36</v>
      </c>
      <c r="V420" s="1" t="s">
        <v>37</v>
      </c>
      <c r="W420" s="1">
        <v>9</v>
      </c>
      <c r="X420" s="1" t="s">
        <v>38</v>
      </c>
      <c r="Y420" s="1">
        <v>5</v>
      </c>
      <c r="Z420" s="1" t="s">
        <v>58</v>
      </c>
    </row>
    <row r="421" spans="1:26" x14ac:dyDescent="0.3">
      <c r="A421" s="1" t="s">
        <v>845</v>
      </c>
      <c r="B421" s="2">
        <v>45876</v>
      </c>
      <c r="C421" s="1" t="s">
        <v>846</v>
      </c>
      <c r="D421" s="1" t="s">
        <v>111</v>
      </c>
      <c r="E421" s="1" t="s">
        <v>43</v>
      </c>
      <c r="F421" s="1">
        <v>22</v>
      </c>
      <c r="G421" s="1" t="s">
        <v>99</v>
      </c>
      <c r="H421" s="1" t="s">
        <v>52</v>
      </c>
      <c r="I421" s="1" t="s">
        <v>99</v>
      </c>
      <c r="J421" s="1" t="s">
        <v>62</v>
      </c>
      <c r="K421" s="1">
        <v>3</v>
      </c>
      <c r="L421" s="1">
        <v>5184</v>
      </c>
      <c r="M421" s="1">
        <v>10</v>
      </c>
      <c r="N421" s="1">
        <v>1555.2</v>
      </c>
      <c r="O421" s="1">
        <v>2519.42</v>
      </c>
      <c r="P421" s="1">
        <v>384</v>
      </c>
      <c r="Q421" s="1">
        <v>16900.22</v>
      </c>
      <c r="R421" s="1" t="s">
        <v>33</v>
      </c>
      <c r="S421" s="1" t="s">
        <v>63</v>
      </c>
      <c r="T421" s="1" t="s">
        <v>70</v>
      </c>
      <c r="U421" s="1" t="s">
        <v>56</v>
      </c>
      <c r="V421" s="1" t="s">
        <v>57</v>
      </c>
      <c r="W421" s="1">
        <v>10</v>
      </c>
      <c r="X421" s="1" t="s">
        <v>47</v>
      </c>
      <c r="Y421" s="1">
        <v>3</v>
      </c>
      <c r="Z421" s="1" t="s">
        <v>91</v>
      </c>
    </row>
    <row r="422" spans="1:26" x14ac:dyDescent="0.3">
      <c r="A422" s="1" t="s">
        <v>847</v>
      </c>
      <c r="B422" s="2">
        <v>46108</v>
      </c>
      <c r="C422" s="1" t="s">
        <v>848</v>
      </c>
      <c r="D422" s="1" t="s">
        <v>50</v>
      </c>
      <c r="E422" s="1" t="s">
        <v>29</v>
      </c>
      <c r="F422" s="1">
        <v>30</v>
      </c>
      <c r="G422" s="1" t="s">
        <v>51</v>
      </c>
      <c r="H422" s="1" t="s">
        <v>52</v>
      </c>
      <c r="I422" s="1" t="s">
        <v>51</v>
      </c>
      <c r="J422" s="1" t="s">
        <v>102</v>
      </c>
      <c r="K422" s="1">
        <v>2</v>
      </c>
      <c r="L422" s="1">
        <v>6464</v>
      </c>
      <c r="M422" s="1">
        <v>5</v>
      </c>
      <c r="N422" s="1">
        <v>646.4</v>
      </c>
      <c r="O422" s="1">
        <v>2210.69</v>
      </c>
      <c r="P422" s="1">
        <v>494</v>
      </c>
      <c r="Q422" s="1">
        <v>14986.29</v>
      </c>
      <c r="R422" s="1" t="s">
        <v>45</v>
      </c>
      <c r="S422" s="1" t="s">
        <v>63</v>
      </c>
      <c r="T422" s="1" t="s">
        <v>70</v>
      </c>
      <c r="U422" s="1" t="s">
        <v>56</v>
      </c>
      <c r="V422" s="1" t="s">
        <v>57</v>
      </c>
      <c r="W422" s="1">
        <v>2</v>
      </c>
      <c r="X422" s="1" t="s">
        <v>38</v>
      </c>
      <c r="Y422" s="1">
        <v>1</v>
      </c>
      <c r="Z422" s="1" t="s">
        <v>91</v>
      </c>
    </row>
    <row r="423" spans="1:26" x14ac:dyDescent="0.3">
      <c r="A423" s="1" t="s">
        <v>849</v>
      </c>
      <c r="B423" s="2">
        <v>45916</v>
      </c>
      <c r="C423" s="1" t="s">
        <v>114</v>
      </c>
      <c r="D423" s="1" t="s">
        <v>28</v>
      </c>
      <c r="E423" s="1" t="s">
        <v>43</v>
      </c>
      <c r="F423" s="1">
        <v>19</v>
      </c>
      <c r="G423" s="1" t="s">
        <v>74</v>
      </c>
      <c r="H423" s="1" t="s">
        <v>31</v>
      </c>
      <c r="I423" s="1" t="s">
        <v>74</v>
      </c>
      <c r="J423" s="1" t="s">
        <v>125</v>
      </c>
      <c r="K423" s="1">
        <v>1</v>
      </c>
      <c r="L423" s="1">
        <v>41930</v>
      </c>
      <c r="M423" s="1">
        <v>20</v>
      </c>
      <c r="N423" s="1">
        <v>8386</v>
      </c>
      <c r="O423" s="1">
        <v>6037.92</v>
      </c>
      <c r="P423" s="1">
        <v>39</v>
      </c>
      <c r="Q423" s="1">
        <v>39620.92</v>
      </c>
      <c r="R423" s="1" t="s">
        <v>83</v>
      </c>
      <c r="S423" s="1" t="s">
        <v>63</v>
      </c>
      <c r="T423" s="1" t="s">
        <v>95</v>
      </c>
      <c r="U423" s="1" t="s">
        <v>96</v>
      </c>
      <c r="V423" s="1" t="s">
        <v>57</v>
      </c>
      <c r="W423" s="1">
        <v>1</v>
      </c>
      <c r="X423" s="1" t="s">
        <v>38</v>
      </c>
      <c r="Y423" s="1">
        <v>3</v>
      </c>
      <c r="Z423" s="1" t="s">
        <v>58</v>
      </c>
    </row>
    <row r="424" spans="1:26" x14ac:dyDescent="0.3">
      <c r="A424" s="1" t="s">
        <v>850</v>
      </c>
      <c r="B424" s="2">
        <v>46027</v>
      </c>
      <c r="C424" s="1" t="s">
        <v>851</v>
      </c>
      <c r="D424" s="1" t="s">
        <v>61</v>
      </c>
      <c r="E424" s="1" t="s">
        <v>29</v>
      </c>
      <c r="F424" s="1">
        <v>30</v>
      </c>
      <c r="G424" s="1" t="s">
        <v>99</v>
      </c>
      <c r="H424" s="1" t="s">
        <v>52</v>
      </c>
      <c r="I424" s="1" t="s">
        <v>99</v>
      </c>
      <c r="J424" s="1" t="s">
        <v>150</v>
      </c>
      <c r="K424" s="1">
        <v>2</v>
      </c>
      <c r="L424" s="1">
        <v>602</v>
      </c>
      <c r="M424" s="1">
        <v>5</v>
      </c>
      <c r="N424" s="1">
        <v>60.2</v>
      </c>
      <c r="O424" s="1">
        <v>205.88</v>
      </c>
      <c r="P424" s="1">
        <v>330</v>
      </c>
      <c r="Q424" s="1">
        <v>1679.68</v>
      </c>
      <c r="R424" s="1" t="s">
        <v>33</v>
      </c>
      <c r="S424" s="1" t="s">
        <v>63</v>
      </c>
      <c r="T424" s="1" t="s">
        <v>46</v>
      </c>
      <c r="U424" s="1" t="s">
        <v>36</v>
      </c>
      <c r="V424" s="1" t="s">
        <v>37</v>
      </c>
      <c r="W424" s="1">
        <v>4</v>
      </c>
      <c r="X424" s="1" t="s">
        <v>47</v>
      </c>
      <c r="Y424" s="1">
        <v>3</v>
      </c>
      <c r="Z424" s="1" t="s">
        <v>39</v>
      </c>
    </row>
    <row r="425" spans="1:26" x14ac:dyDescent="0.3">
      <c r="A425" s="1" t="s">
        <v>852</v>
      </c>
      <c r="B425" s="2">
        <v>45928</v>
      </c>
      <c r="C425" s="1" t="s">
        <v>853</v>
      </c>
      <c r="D425" s="1" t="s">
        <v>111</v>
      </c>
      <c r="E425" s="1" t="s">
        <v>29</v>
      </c>
      <c r="F425" s="1">
        <v>44</v>
      </c>
      <c r="G425" s="1" t="s">
        <v>67</v>
      </c>
      <c r="H425" s="1" t="s">
        <v>68</v>
      </c>
      <c r="I425" s="1" t="s">
        <v>67</v>
      </c>
      <c r="J425" s="1" t="s">
        <v>150</v>
      </c>
      <c r="K425" s="1">
        <v>4</v>
      </c>
      <c r="L425" s="1">
        <v>32958</v>
      </c>
      <c r="M425" s="1">
        <v>15</v>
      </c>
      <c r="N425" s="1">
        <v>19774.8</v>
      </c>
      <c r="O425" s="1">
        <v>20170.3</v>
      </c>
      <c r="P425" s="1">
        <v>359</v>
      </c>
      <c r="Q425" s="1">
        <v>132586.5</v>
      </c>
      <c r="R425" s="1" t="s">
        <v>33</v>
      </c>
      <c r="S425" s="1" t="s">
        <v>63</v>
      </c>
      <c r="T425" s="1" t="s">
        <v>103</v>
      </c>
      <c r="U425" s="1" t="s">
        <v>103</v>
      </c>
      <c r="V425" s="1" t="s">
        <v>57</v>
      </c>
      <c r="W425" s="1">
        <v>4</v>
      </c>
      <c r="X425" s="1" t="s">
        <v>38</v>
      </c>
      <c r="Y425" s="1">
        <v>3</v>
      </c>
      <c r="Z425" s="1" t="s">
        <v>47</v>
      </c>
    </row>
    <row r="426" spans="1:26" x14ac:dyDescent="0.3">
      <c r="A426" s="1" t="s">
        <v>854</v>
      </c>
      <c r="B426" s="2">
        <v>45836</v>
      </c>
      <c r="C426" s="1" t="s">
        <v>855</v>
      </c>
      <c r="D426" s="1" t="s">
        <v>66</v>
      </c>
      <c r="E426" s="1" t="s">
        <v>29</v>
      </c>
      <c r="F426" s="1">
        <v>29</v>
      </c>
      <c r="G426" s="1" t="s">
        <v>30</v>
      </c>
      <c r="H426" s="1" t="s">
        <v>31</v>
      </c>
      <c r="I426" s="1" t="s">
        <v>30</v>
      </c>
      <c r="J426" s="1" t="s">
        <v>32</v>
      </c>
      <c r="K426" s="1">
        <v>1</v>
      </c>
      <c r="L426" s="1">
        <v>22795</v>
      </c>
      <c r="M426" s="1">
        <v>20</v>
      </c>
      <c r="N426" s="1">
        <v>4559</v>
      </c>
      <c r="O426" s="1">
        <v>3282.48</v>
      </c>
      <c r="P426" s="1">
        <v>408</v>
      </c>
      <c r="Q426" s="1">
        <v>21926.48</v>
      </c>
      <c r="R426" s="1" t="s">
        <v>45</v>
      </c>
      <c r="S426" s="1" t="s">
        <v>63</v>
      </c>
      <c r="T426" s="1" t="s">
        <v>84</v>
      </c>
      <c r="U426" s="1" t="s">
        <v>85</v>
      </c>
      <c r="V426" s="1" t="s">
        <v>86</v>
      </c>
      <c r="W426" s="1">
        <v>10</v>
      </c>
      <c r="X426" s="1" t="s">
        <v>38</v>
      </c>
      <c r="Y426" s="1">
        <v>1</v>
      </c>
      <c r="Z426" s="1" t="s">
        <v>39</v>
      </c>
    </row>
    <row r="427" spans="1:26" x14ac:dyDescent="0.3">
      <c r="A427" s="1" t="s">
        <v>856</v>
      </c>
      <c r="B427" s="2">
        <v>45988</v>
      </c>
      <c r="C427" s="1" t="s">
        <v>410</v>
      </c>
      <c r="D427" s="1" t="s">
        <v>50</v>
      </c>
      <c r="E427" s="1" t="s">
        <v>43</v>
      </c>
      <c r="F427" s="1">
        <v>34</v>
      </c>
      <c r="G427" s="1" t="s">
        <v>134</v>
      </c>
      <c r="H427" s="1" t="s">
        <v>31</v>
      </c>
      <c r="I427" s="1" t="s">
        <v>134</v>
      </c>
      <c r="J427" s="1" t="s">
        <v>69</v>
      </c>
      <c r="K427" s="1">
        <v>2</v>
      </c>
      <c r="L427" s="1">
        <v>44955</v>
      </c>
      <c r="M427" s="1">
        <v>15</v>
      </c>
      <c r="N427" s="1">
        <v>13486.5</v>
      </c>
      <c r="O427" s="1">
        <v>13756.23</v>
      </c>
      <c r="P427" s="1">
        <v>122</v>
      </c>
      <c r="Q427" s="1">
        <v>90301.73</v>
      </c>
      <c r="R427" s="1" t="s">
        <v>33</v>
      </c>
      <c r="S427" s="1" t="s">
        <v>34</v>
      </c>
      <c r="T427" s="1" t="s">
        <v>55</v>
      </c>
      <c r="U427" s="1" t="s">
        <v>56</v>
      </c>
      <c r="V427" s="1" t="s">
        <v>57</v>
      </c>
      <c r="W427" s="1">
        <v>2</v>
      </c>
      <c r="X427" s="1" t="s">
        <v>38</v>
      </c>
      <c r="Y427" s="1">
        <v>3</v>
      </c>
      <c r="Z427" s="1" t="s">
        <v>39</v>
      </c>
    </row>
    <row r="428" spans="1:26" x14ac:dyDescent="0.3">
      <c r="A428" s="1" t="s">
        <v>857</v>
      </c>
      <c r="B428" s="2">
        <v>46067</v>
      </c>
      <c r="C428" s="1" t="s">
        <v>858</v>
      </c>
      <c r="D428" s="1" t="s">
        <v>73</v>
      </c>
      <c r="E428" s="1" t="s">
        <v>29</v>
      </c>
      <c r="F428" s="1">
        <v>32</v>
      </c>
      <c r="G428" s="1" t="s">
        <v>99</v>
      </c>
      <c r="H428" s="1" t="s">
        <v>52</v>
      </c>
      <c r="I428" s="1" t="s">
        <v>99</v>
      </c>
      <c r="J428" s="1" t="s">
        <v>69</v>
      </c>
      <c r="K428" s="1">
        <v>3</v>
      </c>
      <c r="L428" s="1">
        <v>29894</v>
      </c>
      <c r="M428" s="1">
        <v>5</v>
      </c>
      <c r="N428" s="1">
        <v>4484.1000000000004</v>
      </c>
      <c r="O428" s="1">
        <v>15335.62</v>
      </c>
      <c r="P428" s="1">
        <v>374</v>
      </c>
      <c r="Q428" s="1">
        <v>100907.52</v>
      </c>
      <c r="R428" s="1" t="s">
        <v>45</v>
      </c>
      <c r="S428" s="1" t="s">
        <v>34</v>
      </c>
      <c r="T428" s="1" t="s">
        <v>46</v>
      </c>
      <c r="U428" s="1" t="s">
        <v>36</v>
      </c>
      <c r="V428" s="1" t="s">
        <v>37</v>
      </c>
      <c r="W428" s="1">
        <v>2</v>
      </c>
      <c r="X428" s="1" t="s">
        <v>38</v>
      </c>
      <c r="Y428" s="1">
        <v>4</v>
      </c>
      <c r="Z428" s="1" t="s">
        <v>39</v>
      </c>
    </row>
    <row r="429" spans="1:26" x14ac:dyDescent="0.3">
      <c r="A429" s="1" t="s">
        <v>859</v>
      </c>
      <c r="B429" s="2">
        <v>46002</v>
      </c>
      <c r="C429" s="1" t="s">
        <v>860</v>
      </c>
      <c r="D429" s="1" t="s">
        <v>28</v>
      </c>
      <c r="E429" s="1" t="s">
        <v>29</v>
      </c>
      <c r="F429" s="1">
        <v>53</v>
      </c>
      <c r="G429" s="1" t="s">
        <v>139</v>
      </c>
      <c r="H429" s="1" t="s">
        <v>31</v>
      </c>
      <c r="I429" s="1" t="s">
        <v>139</v>
      </c>
      <c r="J429" s="1" t="s">
        <v>75</v>
      </c>
      <c r="K429" s="1">
        <v>1</v>
      </c>
      <c r="L429" s="1">
        <v>18999</v>
      </c>
      <c r="M429" s="1">
        <v>20</v>
      </c>
      <c r="N429" s="1">
        <v>3799.8</v>
      </c>
      <c r="O429" s="1">
        <v>2735.86</v>
      </c>
      <c r="P429" s="1">
        <v>252</v>
      </c>
      <c r="Q429" s="1">
        <v>18187.060000000001</v>
      </c>
      <c r="R429" s="1" t="s">
        <v>54</v>
      </c>
      <c r="S429" s="1" t="s">
        <v>34</v>
      </c>
      <c r="T429" s="1" t="s">
        <v>70</v>
      </c>
      <c r="U429" s="1" t="s">
        <v>56</v>
      </c>
      <c r="V429" s="1" t="s">
        <v>57</v>
      </c>
      <c r="W429" s="1">
        <v>1</v>
      </c>
      <c r="X429" s="1" t="s">
        <v>47</v>
      </c>
      <c r="Y429" s="1">
        <v>5</v>
      </c>
      <c r="Z429" s="1" t="s">
        <v>47</v>
      </c>
    </row>
    <row r="430" spans="1:26" x14ac:dyDescent="0.3">
      <c r="A430" s="1" t="s">
        <v>861</v>
      </c>
      <c r="B430" s="2">
        <v>45886</v>
      </c>
      <c r="C430" s="1" t="s">
        <v>855</v>
      </c>
      <c r="D430" s="1" t="s">
        <v>28</v>
      </c>
      <c r="E430" s="1" t="s">
        <v>29</v>
      </c>
      <c r="F430" s="1">
        <v>20</v>
      </c>
      <c r="G430" s="1" t="s">
        <v>51</v>
      </c>
      <c r="H430" s="1" t="s">
        <v>52</v>
      </c>
      <c r="I430" s="1" t="s">
        <v>51</v>
      </c>
      <c r="J430" s="1" t="s">
        <v>53</v>
      </c>
      <c r="K430" s="1">
        <v>2</v>
      </c>
      <c r="L430" s="1">
        <v>5211</v>
      </c>
      <c r="M430" s="1">
        <v>10</v>
      </c>
      <c r="N430" s="1">
        <v>1042.2</v>
      </c>
      <c r="O430" s="1">
        <v>1688.36</v>
      </c>
      <c r="P430" s="1">
        <v>185</v>
      </c>
      <c r="Q430" s="1">
        <v>11253.16</v>
      </c>
      <c r="R430" s="1" t="s">
        <v>54</v>
      </c>
      <c r="S430" s="1" t="s">
        <v>63</v>
      </c>
      <c r="T430" s="1" t="s">
        <v>95</v>
      </c>
      <c r="U430" s="1" t="s">
        <v>96</v>
      </c>
      <c r="V430" s="1" t="s">
        <v>57</v>
      </c>
      <c r="W430" s="1">
        <v>2</v>
      </c>
      <c r="X430" s="1" t="s">
        <v>38</v>
      </c>
      <c r="Y430" s="1">
        <v>3</v>
      </c>
      <c r="Z430" s="1" t="s">
        <v>91</v>
      </c>
    </row>
    <row r="431" spans="1:26" x14ac:dyDescent="0.3">
      <c r="A431" s="1" t="s">
        <v>862</v>
      </c>
      <c r="B431" s="2">
        <v>45899</v>
      </c>
      <c r="C431" s="1" t="s">
        <v>863</v>
      </c>
      <c r="D431" s="1" t="s">
        <v>42</v>
      </c>
      <c r="E431" s="1" t="s">
        <v>43</v>
      </c>
      <c r="F431" s="1">
        <v>26</v>
      </c>
      <c r="G431" s="1" t="s">
        <v>134</v>
      </c>
      <c r="H431" s="1" t="s">
        <v>31</v>
      </c>
      <c r="I431" s="1" t="s">
        <v>134</v>
      </c>
      <c r="J431" s="1" t="s">
        <v>62</v>
      </c>
      <c r="K431" s="1">
        <v>2</v>
      </c>
      <c r="L431" s="1">
        <v>35117</v>
      </c>
      <c r="M431" s="1">
        <v>20</v>
      </c>
      <c r="N431" s="1">
        <v>14046.8</v>
      </c>
      <c r="O431" s="1">
        <v>10113.700000000001</v>
      </c>
      <c r="P431" s="1">
        <v>188</v>
      </c>
      <c r="Q431" s="1">
        <v>66488.899999999994</v>
      </c>
      <c r="R431" s="1" t="s">
        <v>33</v>
      </c>
      <c r="S431" s="1" t="s">
        <v>34</v>
      </c>
      <c r="T431" s="1" t="s">
        <v>84</v>
      </c>
      <c r="U431" s="1" t="s">
        <v>85</v>
      </c>
      <c r="V431" s="1" t="s">
        <v>86</v>
      </c>
      <c r="W431" s="1">
        <v>8</v>
      </c>
      <c r="X431" s="1" t="s">
        <v>38</v>
      </c>
      <c r="Y431" s="1">
        <v>5</v>
      </c>
      <c r="Z431" s="1" t="s">
        <v>47</v>
      </c>
    </row>
    <row r="432" spans="1:26" x14ac:dyDescent="0.3">
      <c r="A432" s="1" t="s">
        <v>864</v>
      </c>
      <c r="B432" s="2">
        <v>46010</v>
      </c>
      <c r="C432" s="1" t="s">
        <v>865</v>
      </c>
      <c r="D432" s="1" t="s">
        <v>28</v>
      </c>
      <c r="E432" s="1" t="s">
        <v>43</v>
      </c>
      <c r="F432" s="1">
        <v>22</v>
      </c>
      <c r="G432" s="1" t="s">
        <v>30</v>
      </c>
      <c r="H432" s="1" t="s">
        <v>31</v>
      </c>
      <c r="I432" s="1" t="s">
        <v>30</v>
      </c>
      <c r="J432" s="1" t="s">
        <v>102</v>
      </c>
      <c r="K432" s="1">
        <v>5</v>
      </c>
      <c r="L432" s="1">
        <v>49331</v>
      </c>
      <c r="M432" s="1">
        <v>10</v>
      </c>
      <c r="N432" s="1">
        <v>24665.5</v>
      </c>
      <c r="O432" s="1">
        <v>39958.11</v>
      </c>
      <c r="P432" s="1">
        <v>272</v>
      </c>
      <c r="Q432" s="1">
        <v>262219.61</v>
      </c>
      <c r="R432" s="1" t="s">
        <v>45</v>
      </c>
      <c r="S432" s="1" t="s">
        <v>63</v>
      </c>
      <c r="T432" s="1" t="s">
        <v>103</v>
      </c>
      <c r="U432" s="1" t="s">
        <v>103</v>
      </c>
      <c r="V432" s="1" t="s">
        <v>57</v>
      </c>
      <c r="W432" s="1">
        <v>6</v>
      </c>
      <c r="X432" s="1" t="s">
        <v>38</v>
      </c>
      <c r="Y432" s="1">
        <v>2</v>
      </c>
      <c r="Z432" s="1" t="s">
        <v>39</v>
      </c>
    </row>
    <row r="433" spans="1:26" x14ac:dyDescent="0.3">
      <c r="A433" s="1" t="s">
        <v>866</v>
      </c>
      <c r="B433" s="2">
        <v>46103</v>
      </c>
      <c r="C433" s="1" t="s">
        <v>867</v>
      </c>
      <c r="D433" s="1" t="s">
        <v>61</v>
      </c>
      <c r="E433" s="1" t="s">
        <v>29</v>
      </c>
      <c r="F433" s="1">
        <v>22</v>
      </c>
      <c r="G433" s="1" t="s">
        <v>139</v>
      </c>
      <c r="H433" s="1" t="s">
        <v>31</v>
      </c>
      <c r="I433" s="1" t="s">
        <v>139</v>
      </c>
      <c r="J433" s="1" t="s">
        <v>112</v>
      </c>
      <c r="K433" s="1">
        <v>4</v>
      </c>
      <c r="L433" s="1">
        <v>41823</v>
      </c>
      <c r="M433" s="1">
        <v>5</v>
      </c>
      <c r="N433" s="1">
        <v>8364.6</v>
      </c>
      <c r="O433" s="1">
        <v>28606.93</v>
      </c>
      <c r="P433" s="1">
        <v>269</v>
      </c>
      <c r="Q433" s="1">
        <v>187803.33</v>
      </c>
      <c r="R433" s="1" t="s">
        <v>83</v>
      </c>
      <c r="S433" s="1" t="s">
        <v>34</v>
      </c>
      <c r="T433" s="1" t="s">
        <v>84</v>
      </c>
      <c r="U433" s="1" t="s">
        <v>85</v>
      </c>
      <c r="V433" s="1" t="s">
        <v>86</v>
      </c>
      <c r="W433" s="1">
        <v>3</v>
      </c>
      <c r="X433" s="1" t="s">
        <v>47</v>
      </c>
      <c r="Y433" s="1">
        <v>5</v>
      </c>
      <c r="Z433" s="1" t="s">
        <v>47</v>
      </c>
    </row>
    <row r="434" spans="1:26" x14ac:dyDescent="0.3">
      <c r="A434" s="1" t="s">
        <v>868</v>
      </c>
      <c r="B434" s="2">
        <v>46009</v>
      </c>
      <c r="C434" s="1" t="s">
        <v>174</v>
      </c>
      <c r="D434" s="1" t="s">
        <v>89</v>
      </c>
      <c r="E434" s="1" t="s">
        <v>43</v>
      </c>
      <c r="F434" s="1">
        <v>60</v>
      </c>
      <c r="G434" s="1" t="s">
        <v>74</v>
      </c>
      <c r="H434" s="1" t="s">
        <v>31</v>
      </c>
      <c r="I434" s="1" t="s">
        <v>74</v>
      </c>
      <c r="J434" s="1" t="s">
        <v>125</v>
      </c>
      <c r="K434" s="1">
        <v>2</v>
      </c>
      <c r="L434" s="1">
        <v>34809</v>
      </c>
      <c r="M434" s="1">
        <v>15</v>
      </c>
      <c r="N434" s="1">
        <v>10442.700000000001</v>
      </c>
      <c r="O434" s="1">
        <v>10651.55</v>
      </c>
      <c r="P434" s="1">
        <v>154</v>
      </c>
      <c r="Q434" s="1">
        <v>69980.850000000006</v>
      </c>
      <c r="R434" s="1" t="s">
        <v>33</v>
      </c>
      <c r="S434" s="1" t="s">
        <v>63</v>
      </c>
      <c r="T434" s="1" t="s">
        <v>70</v>
      </c>
      <c r="U434" s="1" t="s">
        <v>56</v>
      </c>
      <c r="V434" s="1" t="s">
        <v>57</v>
      </c>
      <c r="W434" s="1">
        <v>8</v>
      </c>
      <c r="X434" s="1" t="s">
        <v>38</v>
      </c>
      <c r="Y434" s="1">
        <v>5</v>
      </c>
      <c r="Z434" s="1" t="s">
        <v>47</v>
      </c>
    </row>
    <row r="435" spans="1:26" x14ac:dyDescent="0.3">
      <c r="A435" s="1" t="s">
        <v>869</v>
      </c>
      <c r="B435" s="2">
        <v>45784</v>
      </c>
      <c r="C435" s="1" t="s">
        <v>870</v>
      </c>
      <c r="D435" s="1" t="s">
        <v>80</v>
      </c>
      <c r="E435" s="1" t="s">
        <v>29</v>
      </c>
      <c r="F435" s="1">
        <v>50</v>
      </c>
      <c r="G435" s="1" t="s">
        <v>74</v>
      </c>
      <c r="H435" s="1" t="s">
        <v>31</v>
      </c>
      <c r="I435" s="1" t="s">
        <v>74</v>
      </c>
      <c r="J435" s="1" t="s">
        <v>102</v>
      </c>
      <c r="K435" s="1">
        <v>3</v>
      </c>
      <c r="L435" s="1">
        <v>4209</v>
      </c>
      <c r="M435" s="1">
        <v>10</v>
      </c>
      <c r="N435" s="1">
        <v>1262.7</v>
      </c>
      <c r="O435" s="1">
        <v>2045.57</v>
      </c>
      <c r="P435" s="1">
        <v>362</v>
      </c>
      <c r="Q435" s="1">
        <v>13771.87</v>
      </c>
      <c r="R435" s="1" t="s">
        <v>33</v>
      </c>
      <c r="S435" s="1" t="s">
        <v>34</v>
      </c>
      <c r="T435" s="1" t="s">
        <v>55</v>
      </c>
      <c r="U435" s="1" t="s">
        <v>56</v>
      </c>
      <c r="V435" s="1" t="s">
        <v>57</v>
      </c>
      <c r="W435" s="1">
        <v>9</v>
      </c>
      <c r="X435" s="1" t="s">
        <v>47</v>
      </c>
      <c r="Y435" s="1">
        <v>4</v>
      </c>
      <c r="Z435" s="1" t="s">
        <v>91</v>
      </c>
    </row>
    <row r="436" spans="1:26" x14ac:dyDescent="0.3">
      <c r="A436" s="1" t="s">
        <v>871</v>
      </c>
      <c r="B436" s="2">
        <v>46083</v>
      </c>
      <c r="C436" s="1" t="s">
        <v>872</v>
      </c>
      <c r="D436" s="1" t="s">
        <v>42</v>
      </c>
      <c r="E436" s="1" t="s">
        <v>43</v>
      </c>
      <c r="F436" s="1">
        <v>44</v>
      </c>
      <c r="G436" s="1" t="s">
        <v>44</v>
      </c>
      <c r="H436" s="1" t="s">
        <v>31</v>
      </c>
      <c r="I436" s="1" t="s">
        <v>44</v>
      </c>
      <c r="J436" s="1" t="s">
        <v>75</v>
      </c>
      <c r="K436" s="1">
        <v>1</v>
      </c>
      <c r="L436" s="1">
        <v>42001</v>
      </c>
      <c r="M436" s="1">
        <v>5</v>
      </c>
      <c r="N436" s="1">
        <v>2100.0500000000002</v>
      </c>
      <c r="O436" s="1">
        <v>7182.17</v>
      </c>
      <c r="P436" s="1">
        <v>105</v>
      </c>
      <c r="Q436" s="1">
        <v>47188.12</v>
      </c>
      <c r="R436" s="1" t="s">
        <v>33</v>
      </c>
      <c r="S436" s="1" t="s">
        <v>34</v>
      </c>
      <c r="T436" s="1" t="s">
        <v>84</v>
      </c>
      <c r="U436" s="1" t="s">
        <v>85</v>
      </c>
      <c r="V436" s="1" t="s">
        <v>86</v>
      </c>
      <c r="W436" s="1">
        <v>2</v>
      </c>
      <c r="X436" s="1" t="s">
        <v>38</v>
      </c>
      <c r="Y436" s="1">
        <v>4</v>
      </c>
      <c r="Z436" s="1" t="s">
        <v>58</v>
      </c>
    </row>
    <row r="437" spans="1:26" x14ac:dyDescent="0.3">
      <c r="A437" s="1" t="s">
        <v>873</v>
      </c>
      <c r="B437" s="2">
        <v>45910</v>
      </c>
      <c r="C437" s="1" t="s">
        <v>874</v>
      </c>
      <c r="D437" s="1" t="s">
        <v>61</v>
      </c>
      <c r="E437" s="1" t="s">
        <v>43</v>
      </c>
      <c r="F437" s="1">
        <v>18</v>
      </c>
      <c r="G437" s="1" t="s">
        <v>94</v>
      </c>
      <c r="H437" s="1" t="s">
        <v>31</v>
      </c>
      <c r="I437" s="1" t="s">
        <v>94</v>
      </c>
      <c r="J437" s="1" t="s">
        <v>53</v>
      </c>
      <c r="K437" s="1">
        <v>3</v>
      </c>
      <c r="L437" s="1">
        <v>49226</v>
      </c>
      <c r="M437" s="1">
        <v>20</v>
      </c>
      <c r="N437" s="1">
        <v>29535.599999999999</v>
      </c>
      <c r="O437" s="1">
        <v>21265.63</v>
      </c>
      <c r="P437" s="1">
        <v>215</v>
      </c>
      <c r="Q437" s="1">
        <v>139623.03</v>
      </c>
      <c r="R437" s="1" t="s">
        <v>54</v>
      </c>
      <c r="S437" s="1" t="s">
        <v>63</v>
      </c>
      <c r="T437" s="1" t="s">
        <v>55</v>
      </c>
      <c r="U437" s="1" t="s">
        <v>56</v>
      </c>
      <c r="V437" s="1" t="s">
        <v>57</v>
      </c>
      <c r="W437" s="1">
        <v>7</v>
      </c>
      <c r="X437" s="1" t="s">
        <v>47</v>
      </c>
      <c r="Y437" s="1">
        <v>5</v>
      </c>
      <c r="Z437" s="1" t="s">
        <v>58</v>
      </c>
    </row>
    <row r="438" spans="1:26" x14ac:dyDescent="0.3">
      <c r="A438" s="1" t="s">
        <v>875</v>
      </c>
      <c r="B438" s="2">
        <v>45995</v>
      </c>
      <c r="C438" s="1" t="s">
        <v>876</v>
      </c>
      <c r="D438" s="1" t="s">
        <v>80</v>
      </c>
      <c r="E438" s="1" t="s">
        <v>29</v>
      </c>
      <c r="F438" s="1">
        <v>21</v>
      </c>
      <c r="G438" s="1" t="s">
        <v>90</v>
      </c>
      <c r="H438" s="1" t="s">
        <v>31</v>
      </c>
      <c r="I438" s="1" t="s">
        <v>90</v>
      </c>
      <c r="J438" s="1" t="s">
        <v>69</v>
      </c>
      <c r="K438" s="1">
        <v>1</v>
      </c>
      <c r="L438" s="1">
        <v>5104</v>
      </c>
      <c r="M438" s="1">
        <v>20</v>
      </c>
      <c r="N438" s="1">
        <v>1020.8</v>
      </c>
      <c r="O438" s="1">
        <v>734.98</v>
      </c>
      <c r="P438" s="1">
        <v>17</v>
      </c>
      <c r="Q438" s="1">
        <v>4835.18</v>
      </c>
      <c r="R438" s="1" t="s">
        <v>33</v>
      </c>
      <c r="S438" s="1" t="s">
        <v>34</v>
      </c>
      <c r="T438" s="1" t="s">
        <v>55</v>
      </c>
      <c r="U438" s="1" t="s">
        <v>56</v>
      </c>
      <c r="V438" s="1" t="s">
        <v>57</v>
      </c>
      <c r="W438" s="1">
        <v>2</v>
      </c>
      <c r="X438" s="1" t="s">
        <v>47</v>
      </c>
      <c r="Y438" s="1">
        <v>5</v>
      </c>
      <c r="Z438" s="1" t="s">
        <v>91</v>
      </c>
    </row>
    <row r="439" spans="1:26" x14ac:dyDescent="0.3">
      <c r="A439" s="1" t="s">
        <v>877</v>
      </c>
      <c r="B439" s="2">
        <v>45964</v>
      </c>
      <c r="C439" s="1" t="s">
        <v>469</v>
      </c>
      <c r="D439" s="1" t="s">
        <v>28</v>
      </c>
      <c r="E439" s="1" t="s">
        <v>29</v>
      </c>
      <c r="F439" s="1">
        <v>38</v>
      </c>
      <c r="G439" s="1" t="s">
        <v>139</v>
      </c>
      <c r="H439" s="1" t="s">
        <v>31</v>
      </c>
      <c r="I439" s="1" t="s">
        <v>139</v>
      </c>
      <c r="J439" s="1" t="s">
        <v>62</v>
      </c>
      <c r="K439" s="1">
        <v>5</v>
      </c>
      <c r="L439" s="1">
        <v>27737</v>
      </c>
      <c r="M439" s="1">
        <v>5</v>
      </c>
      <c r="N439" s="1">
        <v>6934.25</v>
      </c>
      <c r="O439" s="1">
        <v>23715.13</v>
      </c>
      <c r="P439" s="1">
        <v>280</v>
      </c>
      <c r="Q439" s="1">
        <v>155745.89000000001</v>
      </c>
      <c r="R439" s="1" t="s">
        <v>45</v>
      </c>
      <c r="S439" s="1" t="s">
        <v>63</v>
      </c>
      <c r="T439" s="1" t="s">
        <v>46</v>
      </c>
      <c r="U439" s="1" t="s">
        <v>36</v>
      </c>
      <c r="V439" s="1" t="s">
        <v>37</v>
      </c>
      <c r="W439" s="1">
        <v>1</v>
      </c>
      <c r="X439" s="1" t="s">
        <v>47</v>
      </c>
      <c r="Y439" s="1">
        <v>3</v>
      </c>
      <c r="Z439" s="1" t="s">
        <v>39</v>
      </c>
    </row>
    <row r="440" spans="1:26" x14ac:dyDescent="0.3">
      <c r="A440" s="1" t="s">
        <v>878</v>
      </c>
      <c r="B440" s="2">
        <v>45961</v>
      </c>
      <c r="C440" s="1" t="s">
        <v>879</v>
      </c>
      <c r="D440" s="1" t="s">
        <v>61</v>
      </c>
      <c r="E440" s="1" t="s">
        <v>43</v>
      </c>
      <c r="F440" s="1">
        <v>31</v>
      </c>
      <c r="G440" s="1" t="s">
        <v>30</v>
      </c>
      <c r="H440" s="1" t="s">
        <v>31</v>
      </c>
      <c r="I440" s="1" t="s">
        <v>30</v>
      </c>
      <c r="J440" s="1" t="s">
        <v>69</v>
      </c>
      <c r="K440" s="1">
        <v>2</v>
      </c>
      <c r="L440" s="1">
        <v>2476</v>
      </c>
      <c r="M440" s="1">
        <v>5</v>
      </c>
      <c r="N440" s="1">
        <v>247.6</v>
      </c>
      <c r="O440" s="1">
        <v>846.79</v>
      </c>
      <c r="P440" s="1">
        <v>332</v>
      </c>
      <c r="Q440" s="1">
        <v>5883.19</v>
      </c>
      <c r="R440" s="1" t="s">
        <v>83</v>
      </c>
      <c r="S440" s="1" t="s">
        <v>34</v>
      </c>
      <c r="T440" s="1" t="s">
        <v>55</v>
      </c>
      <c r="U440" s="1" t="s">
        <v>56</v>
      </c>
      <c r="V440" s="1" t="s">
        <v>57</v>
      </c>
      <c r="W440" s="1">
        <v>10</v>
      </c>
      <c r="X440" s="1" t="s">
        <v>38</v>
      </c>
      <c r="Y440" s="1">
        <v>4</v>
      </c>
      <c r="Z440" s="1" t="s">
        <v>47</v>
      </c>
    </row>
    <row r="441" spans="1:26" x14ac:dyDescent="0.3">
      <c r="A441" s="1" t="s">
        <v>880</v>
      </c>
      <c r="B441" s="2">
        <v>46044</v>
      </c>
      <c r="C441" s="1" t="s">
        <v>881</v>
      </c>
      <c r="D441" s="1" t="s">
        <v>66</v>
      </c>
      <c r="E441" s="1" t="s">
        <v>43</v>
      </c>
      <c r="F441" s="1">
        <v>46</v>
      </c>
      <c r="G441" s="1" t="s">
        <v>51</v>
      </c>
      <c r="H441" s="1" t="s">
        <v>52</v>
      </c>
      <c r="I441" s="1" t="s">
        <v>51</v>
      </c>
      <c r="J441" s="1" t="s">
        <v>75</v>
      </c>
      <c r="K441" s="1">
        <v>5</v>
      </c>
      <c r="L441" s="1">
        <v>41823</v>
      </c>
      <c r="M441" s="1">
        <v>10</v>
      </c>
      <c r="N441" s="1">
        <v>20911.5</v>
      </c>
      <c r="O441" s="1">
        <v>33876.629999999997</v>
      </c>
      <c r="P441" s="1">
        <v>228</v>
      </c>
      <c r="Q441" s="1">
        <v>222308.13</v>
      </c>
      <c r="R441" s="1" t="s">
        <v>54</v>
      </c>
      <c r="S441" s="1" t="s">
        <v>34</v>
      </c>
      <c r="T441" s="1" t="s">
        <v>76</v>
      </c>
      <c r="U441" s="1" t="s">
        <v>77</v>
      </c>
      <c r="V441" s="1" t="s">
        <v>57</v>
      </c>
      <c r="W441" s="1">
        <v>1</v>
      </c>
      <c r="X441" s="1" t="s">
        <v>38</v>
      </c>
      <c r="Y441" s="1">
        <v>5</v>
      </c>
      <c r="Z441" s="1" t="s">
        <v>58</v>
      </c>
    </row>
    <row r="442" spans="1:26" x14ac:dyDescent="0.3">
      <c r="A442" s="1" t="s">
        <v>882</v>
      </c>
      <c r="B442" s="2">
        <v>45986</v>
      </c>
      <c r="C442" s="1" t="s">
        <v>883</v>
      </c>
      <c r="D442" s="1" t="s">
        <v>73</v>
      </c>
      <c r="E442" s="1" t="s">
        <v>29</v>
      </c>
      <c r="F442" s="1">
        <v>28</v>
      </c>
      <c r="G442" s="1" t="s">
        <v>30</v>
      </c>
      <c r="H442" s="1" t="s">
        <v>31</v>
      </c>
      <c r="I442" s="1" t="s">
        <v>30</v>
      </c>
      <c r="J442" s="1" t="s">
        <v>112</v>
      </c>
      <c r="K442" s="1">
        <v>4</v>
      </c>
      <c r="L442" s="1">
        <v>24006</v>
      </c>
      <c r="M442" s="1">
        <v>0</v>
      </c>
      <c r="N442" s="1">
        <v>0</v>
      </c>
      <c r="O442" s="1">
        <v>17284.32</v>
      </c>
      <c r="P442" s="1">
        <v>134</v>
      </c>
      <c r="Q442" s="1">
        <v>113442.32</v>
      </c>
      <c r="R442" s="1" t="s">
        <v>45</v>
      </c>
      <c r="S442" s="1" t="s">
        <v>34</v>
      </c>
      <c r="T442" s="1" t="s">
        <v>46</v>
      </c>
      <c r="U442" s="1" t="s">
        <v>36</v>
      </c>
      <c r="V442" s="1" t="s">
        <v>37</v>
      </c>
      <c r="W442" s="1">
        <v>2</v>
      </c>
      <c r="X442" s="1" t="s">
        <v>47</v>
      </c>
      <c r="Y442" s="1">
        <v>5</v>
      </c>
      <c r="Z442" s="1" t="s">
        <v>39</v>
      </c>
    </row>
    <row r="443" spans="1:26" x14ac:dyDescent="0.3">
      <c r="A443" s="1" t="s">
        <v>884</v>
      </c>
      <c r="B443" s="2">
        <v>45868</v>
      </c>
      <c r="C443" s="1" t="s">
        <v>713</v>
      </c>
      <c r="D443" s="1" t="s">
        <v>28</v>
      </c>
      <c r="E443" s="1" t="s">
        <v>43</v>
      </c>
      <c r="F443" s="1">
        <v>44</v>
      </c>
      <c r="G443" s="1" t="s">
        <v>90</v>
      </c>
      <c r="H443" s="1" t="s">
        <v>31</v>
      </c>
      <c r="I443" s="1" t="s">
        <v>90</v>
      </c>
      <c r="J443" s="1" t="s">
        <v>32</v>
      </c>
      <c r="K443" s="1">
        <v>5</v>
      </c>
      <c r="L443" s="1">
        <v>23260</v>
      </c>
      <c r="M443" s="1">
        <v>10</v>
      </c>
      <c r="N443" s="1">
        <v>11630</v>
      </c>
      <c r="O443" s="1">
        <v>18840.599999999999</v>
      </c>
      <c r="P443" s="1">
        <v>403</v>
      </c>
      <c r="Q443" s="1">
        <v>123913.60000000001</v>
      </c>
      <c r="R443" s="1" t="s">
        <v>83</v>
      </c>
      <c r="S443" s="1" t="s">
        <v>34</v>
      </c>
      <c r="T443" s="1" t="s">
        <v>70</v>
      </c>
      <c r="U443" s="1" t="s">
        <v>56</v>
      </c>
      <c r="V443" s="1" t="s">
        <v>57</v>
      </c>
      <c r="W443" s="1">
        <v>10</v>
      </c>
      <c r="X443" s="1" t="s">
        <v>47</v>
      </c>
      <c r="Y443" s="1">
        <v>2</v>
      </c>
      <c r="Z443" s="1" t="s">
        <v>58</v>
      </c>
    </row>
    <row r="444" spans="1:26" x14ac:dyDescent="0.3">
      <c r="A444" s="1" t="s">
        <v>885</v>
      </c>
      <c r="B444" s="2">
        <v>46020</v>
      </c>
      <c r="C444" s="1" t="s">
        <v>886</v>
      </c>
      <c r="D444" s="1" t="s">
        <v>42</v>
      </c>
      <c r="E444" s="1" t="s">
        <v>43</v>
      </c>
      <c r="F444" s="1">
        <v>36</v>
      </c>
      <c r="G444" s="1" t="s">
        <v>44</v>
      </c>
      <c r="H444" s="1" t="s">
        <v>31</v>
      </c>
      <c r="I444" s="1" t="s">
        <v>44</v>
      </c>
      <c r="J444" s="1" t="s">
        <v>150</v>
      </c>
      <c r="K444" s="1">
        <v>5</v>
      </c>
      <c r="L444" s="1">
        <v>3544</v>
      </c>
      <c r="M444" s="1">
        <v>0</v>
      </c>
      <c r="N444" s="1">
        <v>0</v>
      </c>
      <c r="O444" s="1">
        <v>3189.6</v>
      </c>
      <c r="P444" s="1">
        <v>294</v>
      </c>
      <c r="Q444" s="1">
        <v>21203.599999999999</v>
      </c>
      <c r="R444" s="1" t="s">
        <v>33</v>
      </c>
      <c r="S444" s="1" t="s">
        <v>63</v>
      </c>
      <c r="T444" s="1" t="s">
        <v>84</v>
      </c>
      <c r="U444" s="1" t="s">
        <v>85</v>
      </c>
      <c r="V444" s="1" t="s">
        <v>86</v>
      </c>
      <c r="W444" s="1">
        <v>2</v>
      </c>
      <c r="X444" s="1" t="s">
        <v>47</v>
      </c>
      <c r="Y444" s="1">
        <v>1</v>
      </c>
      <c r="Z444" s="1" t="s">
        <v>91</v>
      </c>
    </row>
    <row r="445" spans="1:26" x14ac:dyDescent="0.3">
      <c r="A445" s="1" t="s">
        <v>887</v>
      </c>
      <c r="B445" s="2">
        <v>46023</v>
      </c>
      <c r="C445" s="1" t="s">
        <v>888</v>
      </c>
      <c r="D445" s="1" t="s">
        <v>89</v>
      </c>
      <c r="E445" s="1" t="s">
        <v>43</v>
      </c>
      <c r="F445" s="1">
        <v>57</v>
      </c>
      <c r="G445" s="1" t="s">
        <v>74</v>
      </c>
      <c r="H445" s="1" t="s">
        <v>31</v>
      </c>
      <c r="I445" s="1" t="s">
        <v>74</v>
      </c>
      <c r="J445" s="1" t="s">
        <v>125</v>
      </c>
      <c r="K445" s="1">
        <v>3</v>
      </c>
      <c r="L445" s="1">
        <v>45381</v>
      </c>
      <c r="M445" s="1">
        <v>15</v>
      </c>
      <c r="N445" s="1">
        <v>20421.45</v>
      </c>
      <c r="O445" s="1">
        <v>20829.88</v>
      </c>
      <c r="P445" s="1">
        <v>110</v>
      </c>
      <c r="Q445" s="1">
        <v>136661.43</v>
      </c>
      <c r="R445" s="1" t="s">
        <v>54</v>
      </c>
      <c r="S445" s="1" t="s">
        <v>34</v>
      </c>
      <c r="T445" s="1" t="s">
        <v>95</v>
      </c>
      <c r="U445" s="1" t="s">
        <v>96</v>
      </c>
      <c r="V445" s="1" t="s">
        <v>57</v>
      </c>
      <c r="W445" s="1">
        <v>6</v>
      </c>
      <c r="X445" s="1" t="s">
        <v>47</v>
      </c>
      <c r="Y445" s="1">
        <v>3</v>
      </c>
      <c r="Z445" s="1" t="s">
        <v>47</v>
      </c>
    </row>
    <row r="446" spans="1:26" x14ac:dyDescent="0.3">
      <c r="A446" s="1" t="s">
        <v>889</v>
      </c>
      <c r="B446" s="2">
        <v>46010</v>
      </c>
      <c r="C446" s="1" t="s">
        <v>890</v>
      </c>
      <c r="D446" s="1" t="s">
        <v>28</v>
      </c>
      <c r="E446" s="1" t="s">
        <v>29</v>
      </c>
      <c r="F446" s="1">
        <v>52</v>
      </c>
      <c r="G446" s="1" t="s">
        <v>134</v>
      </c>
      <c r="H446" s="1" t="s">
        <v>31</v>
      </c>
      <c r="I446" s="1" t="s">
        <v>134</v>
      </c>
      <c r="J446" s="1" t="s">
        <v>201</v>
      </c>
      <c r="K446" s="1">
        <v>1</v>
      </c>
      <c r="L446" s="1">
        <v>12252</v>
      </c>
      <c r="M446" s="1">
        <v>5</v>
      </c>
      <c r="N446" s="1">
        <v>612.6</v>
      </c>
      <c r="O446" s="1">
        <v>2095.09</v>
      </c>
      <c r="P446" s="1">
        <v>379</v>
      </c>
      <c r="Q446" s="1">
        <v>14113.49</v>
      </c>
      <c r="R446" s="1" t="s">
        <v>33</v>
      </c>
      <c r="S446" s="1" t="s">
        <v>63</v>
      </c>
      <c r="T446" s="1" t="s">
        <v>35</v>
      </c>
      <c r="U446" s="1" t="s">
        <v>36</v>
      </c>
      <c r="V446" s="1" t="s">
        <v>37</v>
      </c>
      <c r="W446" s="1">
        <v>8</v>
      </c>
      <c r="X446" s="1" t="s">
        <v>38</v>
      </c>
      <c r="Y446" s="1">
        <v>1</v>
      </c>
      <c r="Z446" s="1" t="s">
        <v>91</v>
      </c>
    </row>
    <row r="447" spans="1:26" x14ac:dyDescent="0.3">
      <c r="A447" s="1" t="s">
        <v>891</v>
      </c>
      <c r="B447" s="2">
        <v>45914</v>
      </c>
      <c r="C447" s="1" t="s">
        <v>233</v>
      </c>
      <c r="D447" s="1" t="s">
        <v>73</v>
      </c>
      <c r="E447" s="1" t="s">
        <v>43</v>
      </c>
      <c r="F447" s="1">
        <v>47</v>
      </c>
      <c r="G447" s="1" t="s">
        <v>67</v>
      </c>
      <c r="H447" s="1" t="s">
        <v>68</v>
      </c>
      <c r="I447" s="1" t="s">
        <v>67</v>
      </c>
      <c r="J447" s="1" t="s">
        <v>125</v>
      </c>
      <c r="K447" s="1">
        <v>4</v>
      </c>
      <c r="L447" s="1">
        <v>30619</v>
      </c>
      <c r="M447" s="1">
        <v>0</v>
      </c>
      <c r="N447" s="1">
        <v>0</v>
      </c>
      <c r="O447" s="1">
        <v>22045.68</v>
      </c>
      <c r="P447" s="1">
        <v>231</v>
      </c>
      <c r="Q447" s="1">
        <v>144752.68</v>
      </c>
      <c r="R447" s="1" t="s">
        <v>45</v>
      </c>
      <c r="S447" s="1" t="s">
        <v>34</v>
      </c>
      <c r="T447" s="1" t="s">
        <v>70</v>
      </c>
      <c r="U447" s="1" t="s">
        <v>56</v>
      </c>
      <c r="V447" s="1" t="s">
        <v>57</v>
      </c>
      <c r="W447" s="1">
        <v>4</v>
      </c>
      <c r="X447" s="1" t="s">
        <v>38</v>
      </c>
      <c r="Y447" s="1">
        <v>2</v>
      </c>
      <c r="Z447" s="1" t="s">
        <v>47</v>
      </c>
    </row>
    <row r="448" spans="1:26" x14ac:dyDescent="0.3">
      <c r="A448" s="1" t="s">
        <v>892</v>
      </c>
      <c r="B448" s="2">
        <v>46084</v>
      </c>
      <c r="C448" s="1" t="s">
        <v>521</v>
      </c>
      <c r="D448" s="1" t="s">
        <v>42</v>
      </c>
      <c r="E448" s="1" t="s">
        <v>43</v>
      </c>
      <c r="F448" s="1">
        <v>20</v>
      </c>
      <c r="G448" s="1" t="s">
        <v>30</v>
      </c>
      <c r="H448" s="1" t="s">
        <v>31</v>
      </c>
      <c r="I448" s="1" t="s">
        <v>30</v>
      </c>
      <c r="J448" s="1" t="s">
        <v>53</v>
      </c>
      <c r="K448" s="1">
        <v>1</v>
      </c>
      <c r="L448" s="1">
        <v>23553</v>
      </c>
      <c r="M448" s="1">
        <v>20</v>
      </c>
      <c r="N448" s="1">
        <v>4710.6000000000004</v>
      </c>
      <c r="O448" s="1">
        <v>3391.63</v>
      </c>
      <c r="P448" s="1">
        <v>243</v>
      </c>
      <c r="Q448" s="1">
        <v>22477.03</v>
      </c>
      <c r="R448" s="1" t="s">
        <v>45</v>
      </c>
      <c r="S448" s="1" t="s">
        <v>34</v>
      </c>
      <c r="T448" s="1" t="s">
        <v>35</v>
      </c>
      <c r="U448" s="1" t="s">
        <v>36</v>
      </c>
      <c r="V448" s="1" t="s">
        <v>37</v>
      </c>
      <c r="W448" s="1">
        <v>8</v>
      </c>
      <c r="X448" s="1" t="s">
        <v>47</v>
      </c>
      <c r="Y448" s="1">
        <v>4</v>
      </c>
      <c r="Z448" s="1" t="s">
        <v>91</v>
      </c>
    </row>
    <row r="449" spans="1:26" x14ac:dyDescent="0.3">
      <c r="A449" s="1" t="s">
        <v>893</v>
      </c>
      <c r="B449" s="2">
        <v>45863</v>
      </c>
      <c r="C449" s="1" t="s">
        <v>894</v>
      </c>
      <c r="D449" s="1" t="s">
        <v>89</v>
      </c>
      <c r="E449" s="1" t="s">
        <v>43</v>
      </c>
      <c r="F449" s="1">
        <v>52</v>
      </c>
      <c r="G449" s="1" t="s">
        <v>44</v>
      </c>
      <c r="H449" s="1" t="s">
        <v>31</v>
      </c>
      <c r="I449" s="1" t="s">
        <v>44</v>
      </c>
      <c r="J449" s="1" t="s">
        <v>53</v>
      </c>
      <c r="K449" s="1">
        <v>2</v>
      </c>
      <c r="L449" s="1">
        <v>6603</v>
      </c>
      <c r="M449" s="1">
        <v>5</v>
      </c>
      <c r="N449" s="1">
        <v>660.3</v>
      </c>
      <c r="O449" s="1">
        <v>2258.23</v>
      </c>
      <c r="P449" s="1">
        <v>343</v>
      </c>
      <c r="Q449" s="1">
        <v>15146.93</v>
      </c>
      <c r="R449" s="1" t="s">
        <v>45</v>
      </c>
      <c r="S449" s="1" t="s">
        <v>34</v>
      </c>
      <c r="T449" s="1" t="s">
        <v>46</v>
      </c>
      <c r="U449" s="1" t="s">
        <v>36</v>
      </c>
      <c r="V449" s="1" t="s">
        <v>37</v>
      </c>
      <c r="W449" s="1">
        <v>7</v>
      </c>
      <c r="X449" s="1" t="s">
        <v>47</v>
      </c>
      <c r="Y449" s="1">
        <v>3</v>
      </c>
      <c r="Z449" s="1" t="s">
        <v>47</v>
      </c>
    </row>
    <row r="450" spans="1:26" x14ac:dyDescent="0.3">
      <c r="A450" s="1" t="s">
        <v>895</v>
      </c>
      <c r="B450" s="2">
        <v>45929</v>
      </c>
      <c r="C450" s="1" t="s">
        <v>523</v>
      </c>
      <c r="D450" s="1" t="s">
        <v>50</v>
      </c>
      <c r="E450" s="1" t="s">
        <v>43</v>
      </c>
      <c r="F450" s="1">
        <v>28</v>
      </c>
      <c r="G450" s="1" t="s">
        <v>67</v>
      </c>
      <c r="H450" s="1" t="s">
        <v>68</v>
      </c>
      <c r="I450" s="1" t="s">
        <v>67</v>
      </c>
      <c r="J450" s="1" t="s">
        <v>53</v>
      </c>
      <c r="K450" s="1">
        <v>4</v>
      </c>
      <c r="L450" s="1">
        <v>22851</v>
      </c>
      <c r="M450" s="1">
        <v>20</v>
      </c>
      <c r="N450" s="1">
        <v>18280.8</v>
      </c>
      <c r="O450" s="1">
        <v>13162.18</v>
      </c>
      <c r="P450" s="1">
        <v>359</v>
      </c>
      <c r="Q450" s="1">
        <v>86644.38</v>
      </c>
      <c r="R450" s="1" t="s">
        <v>45</v>
      </c>
      <c r="S450" s="1" t="s">
        <v>34</v>
      </c>
      <c r="T450" s="1" t="s">
        <v>84</v>
      </c>
      <c r="U450" s="1" t="s">
        <v>85</v>
      </c>
      <c r="V450" s="1" t="s">
        <v>86</v>
      </c>
      <c r="W450" s="1">
        <v>7</v>
      </c>
      <c r="X450" s="1" t="s">
        <v>47</v>
      </c>
      <c r="Y450" s="1">
        <v>3</v>
      </c>
      <c r="Z450" s="1" t="s">
        <v>47</v>
      </c>
    </row>
    <row r="451" spans="1:26" x14ac:dyDescent="0.3">
      <c r="A451" s="1" t="s">
        <v>896</v>
      </c>
      <c r="B451" s="2">
        <v>45761</v>
      </c>
      <c r="C451" s="1" t="s">
        <v>897</v>
      </c>
      <c r="D451" s="1" t="s">
        <v>28</v>
      </c>
      <c r="E451" s="1" t="s">
        <v>29</v>
      </c>
      <c r="F451" s="1">
        <v>36</v>
      </c>
      <c r="G451" s="1" t="s">
        <v>134</v>
      </c>
      <c r="H451" s="1" t="s">
        <v>31</v>
      </c>
      <c r="I451" s="1" t="s">
        <v>134</v>
      </c>
      <c r="J451" s="1" t="s">
        <v>69</v>
      </c>
      <c r="K451" s="1">
        <v>1</v>
      </c>
      <c r="L451" s="1">
        <v>25609</v>
      </c>
      <c r="M451" s="1">
        <v>5</v>
      </c>
      <c r="N451" s="1">
        <v>1280.45</v>
      </c>
      <c r="O451" s="1">
        <v>4379.1400000000003</v>
      </c>
      <c r="P451" s="1">
        <v>97</v>
      </c>
      <c r="Q451" s="1">
        <v>28804.69</v>
      </c>
      <c r="R451" s="1" t="s">
        <v>54</v>
      </c>
      <c r="S451" s="1" t="s">
        <v>34</v>
      </c>
      <c r="T451" s="1" t="s">
        <v>70</v>
      </c>
      <c r="U451" s="1" t="s">
        <v>56</v>
      </c>
      <c r="V451" s="1" t="s">
        <v>57</v>
      </c>
      <c r="W451" s="1">
        <v>1</v>
      </c>
      <c r="X451" s="1" t="s">
        <v>38</v>
      </c>
      <c r="Y451" s="1">
        <v>5</v>
      </c>
      <c r="Z451" s="1" t="s">
        <v>47</v>
      </c>
    </row>
    <row r="452" spans="1:26" x14ac:dyDescent="0.3">
      <c r="A452" s="1" t="s">
        <v>898</v>
      </c>
      <c r="B452" s="2">
        <v>45938</v>
      </c>
      <c r="C452" s="1" t="s">
        <v>899</v>
      </c>
      <c r="D452" s="1" t="s">
        <v>28</v>
      </c>
      <c r="E452" s="1" t="s">
        <v>43</v>
      </c>
      <c r="F452" s="1">
        <v>39</v>
      </c>
      <c r="G452" s="1" t="s">
        <v>30</v>
      </c>
      <c r="H452" s="1" t="s">
        <v>31</v>
      </c>
      <c r="I452" s="1" t="s">
        <v>30</v>
      </c>
      <c r="J452" s="1" t="s">
        <v>102</v>
      </c>
      <c r="K452" s="1">
        <v>2</v>
      </c>
      <c r="L452" s="1">
        <v>14636</v>
      </c>
      <c r="M452" s="1">
        <v>5</v>
      </c>
      <c r="N452" s="1">
        <v>1463.6</v>
      </c>
      <c r="O452" s="1">
        <v>5005.51</v>
      </c>
      <c r="P452" s="1">
        <v>189</v>
      </c>
      <c r="Q452" s="1">
        <v>33002.910000000003</v>
      </c>
      <c r="R452" s="1" t="s">
        <v>83</v>
      </c>
      <c r="S452" s="1" t="s">
        <v>63</v>
      </c>
      <c r="T452" s="1" t="s">
        <v>35</v>
      </c>
      <c r="U452" s="1" t="s">
        <v>36</v>
      </c>
      <c r="V452" s="1" t="s">
        <v>37</v>
      </c>
      <c r="W452" s="1">
        <v>2</v>
      </c>
      <c r="X452" s="1" t="s">
        <v>38</v>
      </c>
      <c r="Y452" s="1">
        <v>4</v>
      </c>
      <c r="Z452" s="1" t="s">
        <v>47</v>
      </c>
    </row>
    <row r="453" spans="1:26" x14ac:dyDescent="0.3">
      <c r="A453" s="1" t="s">
        <v>900</v>
      </c>
      <c r="B453" s="2">
        <v>45938</v>
      </c>
      <c r="C453" s="1" t="s">
        <v>901</v>
      </c>
      <c r="D453" s="1" t="s">
        <v>66</v>
      </c>
      <c r="E453" s="1" t="s">
        <v>43</v>
      </c>
      <c r="F453" s="1">
        <v>47</v>
      </c>
      <c r="G453" s="1" t="s">
        <v>44</v>
      </c>
      <c r="H453" s="1" t="s">
        <v>31</v>
      </c>
      <c r="I453" s="1" t="s">
        <v>44</v>
      </c>
      <c r="J453" s="1" t="s">
        <v>62</v>
      </c>
      <c r="K453" s="1">
        <v>2</v>
      </c>
      <c r="L453" s="1">
        <v>38206</v>
      </c>
      <c r="M453" s="1">
        <v>0</v>
      </c>
      <c r="N453" s="1">
        <v>0</v>
      </c>
      <c r="O453" s="1">
        <v>13754.16</v>
      </c>
      <c r="P453" s="1">
        <v>460</v>
      </c>
      <c r="Q453" s="1">
        <v>90626.16</v>
      </c>
      <c r="R453" s="1" t="s">
        <v>33</v>
      </c>
      <c r="S453" s="1" t="s">
        <v>34</v>
      </c>
      <c r="T453" s="1" t="s">
        <v>103</v>
      </c>
      <c r="U453" s="1" t="s">
        <v>103</v>
      </c>
      <c r="V453" s="1" t="s">
        <v>57</v>
      </c>
      <c r="W453" s="1">
        <v>7</v>
      </c>
      <c r="X453" s="1" t="s">
        <v>38</v>
      </c>
      <c r="Y453" s="1">
        <v>5</v>
      </c>
      <c r="Z453" s="1" t="s">
        <v>47</v>
      </c>
    </row>
    <row r="454" spans="1:26" x14ac:dyDescent="0.3">
      <c r="A454" s="1" t="s">
        <v>902</v>
      </c>
      <c r="B454" s="2">
        <v>45831</v>
      </c>
      <c r="C454" s="1" t="s">
        <v>235</v>
      </c>
      <c r="D454" s="1" t="s">
        <v>50</v>
      </c>
      <c r="E454" s="1" t="s">
        <v>43</v>
      </c>
      <c r="F454" s="1">
        <v>52</v>
      </c>
      <c r="G454" s="1" t="s">
        <v>30</v>
      </c>
      <c r="H454" s="1" t="s">
        <v>31</v>
      </c>
      <c r="I454" s="1" t="s">
        <v>30</v>
      </c>
      <c r="J454" s="1" t="s">
        <v>62</v>
      </c>
      <c r="K454" s="1">
        <v>4</v>
      </c>
      <c r="L454" s="1">
        <v>16160</v>
      </c>
      <c r="M454" s="1">
        <v>20</v>
      </c>
      <c r="N454" s="1">
        <v>12928</v>
      </c>
      <c r="O454" s="1">
        <v>9308.16</v>
      </c>
      <c r="P454" s="1">
        <v>422</v>
      </c>
      <c r="Q454" s="1">
        <v>61442.16</v>
      </c>
      <c r="R454" s="1" t="s">
        <v>33</v>
      </c>
      <c r="S454" s="1" t="s">
        <v>63</v>
      </c>
      <c r="T454" s="1" t="s">
        <v>84</v>
      </c>
      <c r="U454" s="1" t="s">
        <v>85</v>
      </c>
      <c r="V454" s="1" t="s">
        <v>86</v>
      </c>
      <c r="W454" s="1">
        <v>5</v>
      </c>
      <c r="X454" s="1" t="s">
        <v>38</v>
      </c>
      <c r="Y454" s="1">
        <v>1</v>
      </c>
      <c r="Z454" s="1" t="s">
        <v>58</v>
      </c>
    </row>
    <row r="455" spans="1:26" x14ac:dyDescent="0.3">
      <c r="A455" s="1" t="s">
        <v>903</v>
      </c>
      <c r="B455" s="2">
        <v>45998</v>
      </c>
      <c r="C455" s="1" t="s">
        <v>904</v>
      </c>
      <c r="D455" s="1" t="s">
        <v>108</v>
      </c>
      <c r="E455" s="1" t="s">
        <v>29</v>
      </c>
      <c r="F455" s="1">
        <v>32</v>
      </c>
      <c r="G455" s="1" t="s">
        <v>139</v>
      </c>
      <c r="H455" s="1" t="s">
        <v>31</v>
      </c>
      <c r="I455" s="1" t="s">
        <v>139</v>
      </c>
      <c r="J455" s="1" t="s">
        <v>125</v>
      </c>
      <c r="K455" s="1">
        <v>5</v>
      </c>
      <c r="L455" s="1">
        <v>31197</v>
      </c>
      <c r="M455" s="1">
        <v>15</v>
      </c>
      <c r="N455" s="1">
        <v>23397.75</v>
      </c>
      <c r="O455" s="1">
        <v>23865.7</v>
      </c>
      <c r="P455" s="1">
        <v>389</v>
      </c>
      <c r="Q455" s="1">
        <v>156841.95000000001</v>
      </c>
      <c r="R455" s="1" t="s">
        <v>33</v>
      </c>
      <c r="S455" s="1" t="s">
        <v>63</v>
      </c>
      <c r="T455" s="1" t="s">
        <v>95</v>
      </c>
      <c r="U455" s="1" t="s">
        <v>96</v>
      </c>
      <c r="V455" s="1" t="s">
        <v>57</v>
      </c>
      <c r="W455" s="1">
        <v>6</v>
      </c>
      <c r="X455" s="1" t="s">
        <v>38</v>
      </c>
      <c r="Y455" s="1">
        <v>2</v>
      </c>
      <c r="Z455" s="1" t="s">
        <v>39</v>
      </c>
    </row>
    <row r="456" spans="1:26" x14ac:dyDescent="0.3">
      <c r="A456" s="1" t="s">
        <v>905</v>
      </c>
      <c r="B456" s="2">
        <v>45911</v>
      </c>
      <c r="C456" s="1" t="s">
        <v>906</v>
      </c>
      <c r="D456" s="1" t="s">
        <v>108</v>
      </c>
      <c r="E456" s="1" t="s">
        <v>29</v>
      </c>
      <c r="F456" s="1">
        <v>29</v>
      </c>
      <c r="G456" s="1" t="s">
        <v>30</v>
      </c>
      <c r="H456" s="1" t="s">
        <v>31</v>
      </c>
      <c r="I456" s="1" t="s">
        <v>30</v>
      </c>
      <c r="J456" s="1" t="s">
        <v>62</v>
      </c>
      <c r="K456" s="1">
        <v>4</v>
      </c>
      <c r="L456" s="1">
        <v>10812</v>
      </c>
      <c r="M456" s="1">
        <v>0</v>
      </c>
      <c r="N456" s="1">
        <v>0</v>
      </c>
      <c r="O456" s="1">
        <v>7784.64</v>
      </c>
      <c r="P456" s="1">
        <v>76</v>
      </c>
      <c r="Q456" s="1">
        <v>51108.639999999999</v>
      </c>
      <c r="R456" s="1" t="s">
        <v>33</v>
      </c>
      <c r="S456" s="1" t="s">
        <v>34</v>
      </c>
      <c r="T456" s="1" t="s">
        <v>103</v>
      </c>
      <c r="U456" s="1" t="s">
        <v>103</v>
      </c>
      <c r="V456" s="1" t="s">
        <v>57</v>
      </c>
      <c r="W456" s="1">
        <v>6</v>
      </c>
      <c r="X456" s="1" t="s">
        <v>47</v>
      </c>
      <c r="Y456" s="1">
        <v>3</v>
      </c>
      <c r="Z456" s="1" t="s">
        <v>58</v>
      </c>
    </row>
    <row r="457" spans="1:26" x14ac:dyDescent="0.3">
      <c r="A457" s="1" t="s">
        <v>907</v>
      </c>
      <c r="B457" s="2">
        <v>46057</v>
      </c>
      <c r="C457" s="1" t="s">
        <v>890</v>
      </c>
      <c r="D457" s="1" t="s">
        <v>28</v>
      </c>
      <c r="E457" s="1" t="s">
        <v>29</v>
      </c>
      <c r="F457" s="1">
        <v>40</v>
      </c>
      <c r="G457" s="1" t="s">
        <v>139</v>
      </c>
      <c r="H457" s="1" t="s">
        <v>31</v>
      </c>
      <c r="I457" s="1" t="s">
        <v>139</v>
      </c>
      <c r="J457" s="1" t="s">
        <v>201</v>
      </c>
      <c r="K457" s="1">
        <v>1</v>
      </c>
      <c r="L457" s="1">
        <v>13238</v>
      </c>
      <c r="M457" s="1">
        <v>20</v>
      </c>
      <c r="N457" s="1">
        <v>2647.6</v>
      </c>
      <c r="O457" s="1">
        <v>1906.27</v>
      </c>
      <c r="P457" s="1">
        <v>33</v>
      </c>
      <c r="Q457" s="1">
        <v>12529.67</v>
      </c>
      <c r="R457" s="1" t="s">
        <v>33</v>
      </c>
      <c r="S457" s="1" t="s">
        <v>63</v>
      </c>
      <c r="T457" s="1" t="s">
        <v>84</v>
      </c>
      <c r="U457" s="1" t="s">
        <v>85</v>
      </c>
      <c r="V457" s="1" t="s">
        <v>86</v>
      </c>
      <c r="W457" s="1">
        <v>7</v>
      </c>
      <c r="X457" s="1" t="s">
        <v>47</v>
      </c>
      <c r="Y457" s="1">
        <v>1</v>
      </c>
      <c r="Z457" s="1" t="s">
        <v>58</v>
      </c>
    </row>
    <row r="458" spans="1:26" x14ac:dyDescent="0.3">
      <c r="A458" s="1" t="s">
        <v>908</v>
      </c>
      <c r="B458" s="2">
        <v>46047</v>
      </c>
      <c r="C458" s="1" t="s">
        <v>909</v>
      </c>
      <c r="D458" s="1" t="s">
        <v>80</v>
      </c>
      <c r="E458" s="1" t="s">
        <v>43</v>
      </c>
      <c r="F458" s="1">
        <v>44</v>
      </c>
      <c r="G458" s="1" t="s">
        <v>94</v>
      </c>
      <c r="H458" s="1" t="s">
        <v>31</v>
      </c>
      <c r="I458" s="1" t="s">
        <v>94</v>
      </c>
      <c r="J458" s="1" t="s">
        <v>69</v>
      </c>
      <c r="K458" s="1">
        <v>2</v>
      </c>
      <c r="L458" s="1">
        <v>19330</v>
      </c>
      <c r="M458" s="1">
        <v>5</v>
      </c>
      <c r="N458" s="1">
        <v>1933</v>
      </c>
      <c r="O458" s="1">
        <v>6610.86</v>
      </c>
      <c r="P458" s="1">
        <v>455</v>
      </c>
      <c r="Q458" s="1">
        <v>43792.86</v>
      </c>
      <c r="R458" s="1" t="s">
        <v>83</v>
      </c>
      <c r="S458" s="1" t="s">
        <v>34</v>
      </c>
      <c r="T458" s="1" t="s">
        <v>95</v>
      </c>
      <c r="U458" s="1" t="s">
        <v>96</v>
      </c>
      <c r="V458" s="1" t="s">
        <v>57</v>
      </c>
      <c r="W458" s="1">
        <v>10</v>
      </c>
      <c r="X458" s="1" t="s">
        <v>47</v>
      </c>
      <c r="Y458" s="1">
        <v>3</v>
      </c>
      <c r="Z458" s="1" t="s">
        <v>39</v>
      </c>
    </row>
    <row r="459" spans="1:26" x14ac:dyDescent="0.3">
      <c r="A459" s="1" t="s">
        <v>910</v>
      </c>
      <c r="B459" s="2">
        <v>45810</v>
      </c>
      <c r="C459" s="1" t="s">
        <v>911</v>
      </c>
      <c r="D459" s="1" t="s">
        <v>89</v>
      </c>
      <c r="E459" s="1" t="s">
        <v>29</v>
      </c>
      <c r="F459" s="1">
        <v>26</v>
      </c>
      <c r="G459" s="1" t="s">
        <v>74</v>
      </c>
      <c r="H459" s="1" t="s">
        <v>31</v>
      </c>
      <c r="I459" s="1" t="s">
        <v>74</v>
      </c>
      <c r="J459" s="1" t="s">
        <v>53</v>
      </c>
      <c r="K459" s="1">
        <v>5</v>
      </c>
      <c r="L459" s="1">
        <v>36209</v>
      </c>
      <c r="M459" s="1">
        <v>10</v>
      </c>
      <c r="N459" s="1">
        <v>18104.5</v>
      </c>
      <c r="O459" s="1">
        <v>29329.29</v>
      </c>
      <c r="P459" s="1">
        <v>361</v>
      </c>
      <c r="Q459" s="1">
        <v>192630.79</v>
      </c>
      <c r="R459" s="1" t="s">
        <v>45</v>
      </c>
      <c r="S459" s="1" t="s">
        <v>63</v>
      </c>
      <c r="T459" s="1" t="s">
        <v>76</v>
      </c>
      <c r="U459" s="1" t="s">
        <v>77</v>
      </c>
      <c r="V459" s="1" t="s">
        <v>57</v>
      </c>
      <c r="W459" s="1">
        <v>3</v>
      </c>
      <c r="X459" s="1" t="s">
        <v>38</v>
      </c>
      <c r="Y459" s="1">
        <v>3</v>
      </c>
      <c r="Z459" s="1" t="s">
        <v>91</v>
      </c>
    </row>
    <row r="460" spans="1:26" x14ac:dyDescent="0.3">
      <c r="A460" s="1" t="s">
        <v>912</v>
      </c>
      <c r="B460" s="2">
        <v>45970</v>
      </c>
      <c r="C460" s="1" t="s">
        <v>913</v>
      </c>
      <c r="D460" s="1" t="s">
        <v>28</v>
      </c>
      <c r="E460" s="1" t="s">
        <v>43</v>
      </c>
      <c r="F460" s="1">
        <v>48</v>
      </c>
      <c r="G460" s="1" t="s">
        <v>51</v>
      </c>
      <c r="H460" s="1" t="s">
        <v>52</v>
      </c>
      <c r="I460" s="1" t="s">
        <v>51</v>
      </c>
      <c r="J460" s="1" t="s">
        <v>75</v>
      </c>
      <c r="K460" s="1">
        <v>1</v>
      </c>
      <c r="L460" s="1">
        <v>29971</v>
      </c>
      <c r="M460" s="1">
        <v>10</v>
      </c>
      <c r="N460" s="1">
        <v>2997.1</v>
      </c>
      <c r="O460" s="1">
        <v>4855.3</v>
      </c>
      <c r="P460" s="1">
        <v>401</v>
      </c>
      <c r="Q460" s="1">
        <v>32230.2</v>
      </c>
      <c r="R460" s="1" t="s">
        <v>83</v>
      </c>
      <c r="S460" s="1" t="s">
        <v>63</v>
      </c>
      <c r="T460" s="1" t="s">
        <v>35</v>
      </c>
      <c r="U460" s="1" t="s">
        <v>36</v>
      </c>
      <c r="V460" s="1" t="s">
        <v>37</v>
      </c>
      <c r="W460" s="1">
        <v>3</v>
      </c>
      <c r="X460" s="1" t="s">
        <v>47</v>
      </c>
      <c r="Y460" s="1">
        <v>5</v>
      </c>
      <c r="Z460" s="1" t="s">
        <v>91</v>
      </c>
    </row>
    <row r="461" spans="1:26" x14ac:dyDescent="0.3">
      <c r="A461" s="1" t="s">
        <v>914</v>
      </c>
      <c r="B461" s="2">
        <v>45903</v>
      </c>
      <c r="C461" s="1" t="s">
        <v>915</v>
      </c>
      <c r="D461" s="1" t="s">
        <v>108</v>
      </c>
      <c r="E461" s="1" t="s">
        <v>43</v>
      </c>
      <c r="F461" s="1">
        <v>24</v>
      </c>
      <c r="G461" s="1" t="s">
        <v>139</v>
      </c>
      <c r="H461" s="1" t="s">
        <v>31</v>
      </c>
      <c r="I461" s="1" t="s">
        <v>139</v>
      </c>
      <c r="J461" s="1" t="s">
        <v>69</v>
      </c>
      <c r="K461" s="1">
        <v>2</v>
      </c>
      <c r="L461" s="1">
        <v>32711</v>
      </c>
      <c r="M461" s="1">
        <v>10</v>
      </c>
      <c r="N461" s="1">
        <v>6542.2</v>
      </c>
      <c r="O461" s="1">
        <v>10598.36</v>
      </c>
      <c r="P461" s="1">
        <v>374</v>
      </c>
      <c r="Q461" s="1">
        <v>69852.160000000003</v>
      </c>
      <c r="R461" s="1" t="s">
        <v>54</v>
      </c>
      <c r="S461" s="1" t="s">
        <v>63</v>
      </c>
      <c r="T461" s="1" t="s">
        <v>95</v>
      </c>
      <c r="U461" s="1" t="s">
        <v>96</v>
      </c>
      <c r="V461" s="1" t="s">
        <v>57</v>
      </c>
      <c r="W461" s="1">
        <v>9</v>
      </c>
      <c r="X461" s="1" t="s">
        <v>47</v>
      </c>
      <c r="Y461" s="1">
        <v>5</v>
      </c>
      <c r="Z461" s="1" t="s">
        <v>58</v>
      </c>
    </row>
    <row r="462" spans="1:26" x14ac:dyDescent="0.3">
      <c r="A462" s="1" t="s">
        <v>916</v>
      </c>
      <c r="B462" s="2">
        <v>45904</v>
      </c>
      <c r="C462" s="1" t="s">
        <v>917</v>
      </c>
      <c r="D462" s="1" t="s">
        <v>108</v>
      </c>
      <c r="E462" s="1" t="s">
        <v>29</v>
      </c>
      <c r="F462" s="1">
        <v>38</v>
      </c>
      <c r="G462" s="1" t="s">
        <v>139</v>
      </c>
      <c r="H462" s="1" t="s">
        <v>31</v>
      </c>
      <c r="I462" s="1" t="s">
        <v>139</v>
      </c>
      <c r="J462" s="1" t="s">
        <v>62</v>
      </c>
      <c r="K462" s="1">
        <v>2</v>
      </c>
      <c r="L462" s="1">
        <v>8328</v>
      </c>
      <c r="M462" s="1">
        <v>5</v>
      </c>
      <c r="N462" s="1">
        <v>832.8</v>
      </c>
      <c r="O462" s="1">
        <v>2848.18</v>
      </c>
      <c r="P462" s="1">
        <v>251</v>
      </c>
      <c r="Q462" s="1">
        <v>18922.38</v>
      </c>
      <c r="R462" s="1" t="s">
        <v>33</v>
      </c>
      <c r="S462" s="1" t="s">
        <v>63</v>
      </c>
      <c r="T462" s="1" t="s">
        <v>84</v>
      </c>
      <c r="U462" s="1" t="s">
        <v>85</v>
      </c>
      <c r="V462" s="1" t="s">
        <v>86</v>
      </c>
      <c r="W462" s="1">
        <v>3</v>
      </c>
      <c r="X462" s="1" t="s">
        <v>47</v>
      </c>
      <c r="Y462" s="1">
        <v>3</v>
      </c>
      <c r="Z462" s="1" t="s">
        <v>91</v>
      </c>
    </row>
    <row r="463" spans="1:26" x14ac:dyDescent="0.3">
      <c r="A463" s="1" t="s">
        <v>918</v>
      </c>
      <c r="B463" s="2">
        <v>46049</v>
      </c>
      <c r="C463" s="1" t="s">
        <v>919</v>
      </c>
      <c r="D463" s="1" t="s">
        <v>66</v>
      </c>
      <c r="E463" s="1" t="s">
        <v>29</v>
      </c>
      <c r="F463" s="1">
        <v>31</v>
      </c>
      <c r="G463" s="1" t="s">
        <v>94</v>
      </c>
      <c r="H463" s="1" t="s">
        <v>31</v>
      </c>
      <c r="I463" s="1" t="s">
        <v>94</v>
      </c>
      <c r="J463" s="1" t="s">
        <v>201</v>
      </c>
      <c r="K463" s="1">
        <v>4</v>
      </c>
      <c r="L463" s="1">
        <v>35256</v>
      </c>
      <c r="M463" s="1">
        <v>10</v>
      </c>
      <c r="N463" s="1">
        <v>14102.4</v>
      </c>
      <c r="O463" s="1">
        <v>22845.89</v>
      </c>
      <c r="P463" s="1">
        <v>104</v>
      </c>
      <c r="Q463" s="1">
        <v>149871.49</v>
      </c>
      <c r="R463" s="1" t="s">
        <v>83</v>
      </c>
      <c r="S463" s="1" t="s">
        <v>63</v>
      </c>
      <c r="T463" s="1" t="s">
        <v>70</v>
      </c>
      <c r="U463" s="1" t="s">
        <v>56</v>
      </c>
      <c r="V463" s="1" t="s">
        <v>57</v>
      </c>
      <c r="W463" s="1">
        <v>9</v>
      </c>
      <c r="X463" s="1" t="s">
        <v>47</v>
      </c>
      <c r="Y463" s="1">
        <v>5</v>
      </c>
      <c r="Z463" s="1" t="s">
        <v>47</v>
      </c>
    </row>
    <row r="464" spans="1:26" x14ac:dyDescent="0.3">
      <c r="A464" s="1" t="s">
        <v>920</v>
      </c>
      <c r="B464" s="2">
        <v>45878</v>
      </c>
      <c r="C464" s="1" t="s">
        <v>921</v>
      </c>
      <c r="D464" s="1" t="s">
        <v>80</v>
      </c>
      <c r="E464" s="1" t="s">
        <v>43</v>
      </c>
      <c r="F464" s="1">
        <v>28</v>
      </c>
      <c r="G464" s="1" t="s">
        <v>30</v>
      </c>
      <c r="H464" s="1" t="s">
        <v>31</v>
      </c>
      <c r="I464" s="1" t="s">
        <v>30</v>
      </c>
      <c r="J464" s="1" t="s">
        <v>69</v>
      </c>
      <c r="K464" s="1">
        <v>2</v>
      </c>
      <c r="L464" s="1">
        <v>45154</v>
      </c>
      <c r="M464" s="1">
        <v>20</v>
      </c>
      <c r="N464" s="1">
        <v>18061.599999999999</v>
      </c>
      <c r="O464" s="1">
        <v>13004.35</v>
      </c>
      <c r="P464" s="1">
        <v>214</v>
      </c>
      <c r="Q464" s="1">
        <v>85464.75</v>
      </c>
      <c r="R464" s="1" t="s">
        <v>83</v>
      </c>
      <c r="S464" s="1" t="s">
        <v>34</v>
      </c>
      <c r="T464" s="1" t="s">
        <v>35</v>
      </c>
      <c r="U464" s="1" t="s">
        <v>36</v>
      </c>
      <c r="V464" s="1" t="s">
        <v>37</v>
      </c>
      <c r="W464" s="1">
        <v>6</v>
      </c>
      <c r="X464" s="1" t="s">
        <v>38</v>
      </c>
      <c r="Y464" s="1">
        <v>3</v>
      </c>
      <c r="Z464" s="1" t="s">
        <v>39</v>
      </c>
    </row>
    <row r="465" spans="1:26" x14ac:dyDescent="0.3">
      <c r="A465" s="1" t="s">
        <v>922</v>
      </c>
      <c r="B465" s="2">
        <v>45828</v>
      </c>
      <c r="C465" s="1" t="s">
        <v>713</v>
      </c>
      <c r="D465" s="1" t="s">
        <v>89</v>
      </c>
      <c r="E465" s="1" t="s">
        <v>29</v>
      </c>
      <c r="F465" s="1">
        <v>41</v>
      </c>
      <c r="G465" s="1" t="s">
        <v>30</v>
      </c>
      <c r="H465" s="1" t="s">
        <v>31</v>
      </c>
      <c r="I465" s="1" t="s">
        <v>30</v>
      </c>
      <c r="J465" s="1" t="s">
        <v>53</v>
      </c>
      <c r="K465" s="1">
        <v>4</v>
      </c>
      <c r="L465" s="1">
        <v>12691</v>
      </c>
      <c r="M465" s="1">
        <v>5</v>
      </c>
      <c r="N465" s="1">
        <v>2538.1999999999998</v>
      </c>
      <c r="O465" s="1">
        <v>8680.64</v>
      </c>
      <c r="P465" s="1">
        <v>366</v>
      </c>
      <c r="Q465" s="1">
        <v>57272.44</v>
      </c>
      <c r="R465" s="1" t="s">
        <v>45</v>
      </c>
      <c r="S465" s="1" t="s">
        <v>63</v>
      </c>
      <c r="T465" s="1" t="s">
        <v>84</v>
      </c>
      <c r="U465" s="1" t="s">
        <v>85</v>
      </c>
      <c r="V465" s="1" t="s">
        <v>86</v>
      </c>
      <c r="W465" s="1">
        <v>3</v>
      </c>
      <c r="X465" s="1" t="s">
        <v>47</v>
      </c>
      <c r="Y465" s="1">
        <v>4</v>
      </c>
      <c r="Z465" s="1" t="s">
        <v>91</v>
      </c>
    </row>
    <row r="466" spans="1:26" x14ac:dyDescent="0.3">
      <c r="A466" s="1" t="s">
        <v>923</v>
      </c>
      <c r="B466" s="2">
        <v>45804</v>
      </c>
      <c r="C466" s="1" t="s">
        <v>509</v>
      </c>
      <c r="D466" s="1" t="s">
        <v>28</v>
      </c>
      <c r="E466" s="1" t="s">
        <v>29</v>
      </c>
      <c r="F466" s="1">
        <v>57</v>
      </c>
      <c r="G466" s="1" t="s">
        <v>51</v>
      </c>
      <c r="H466" s="1" t="s">
        <v>52</v>
      </c>
      <c r="I466" s="1" t="s">
        <v>51</v>
      </c>
      <c r="J466" s="1" t="s">
        <v>150</v>
      </c>
      <c r="K466" s="1">
        <v>1</v>
      </c>
      <c r="L466" s="1">
        <v>34542</v>
      </c>
      <c r="M466" s="1">
        <v>20</v>
      </c>
      <c r="N466" s="1">
        <v>6908.4</v>
      </c>
      <c r="O466" s="1">
        <v>4974.05</v>
      </c>
      <c r="P466" s="1">
        <v>179</v>
      </c>
      <c r="Q466" s="1">
        <v>32786.65</v>
      </c>
      <c r="R466" s="1" t="s">
        <v>83</v>
      </c>
      <c r="S466" s="1" t="s">
        <v>63</v>
      </c>
      <c r="T466" s="1" t="s">
        <v>76</v>
      </c>
      <c r="U466" s="1" t="s">
        <v>77</v>
      </c>
      <c r="V466" s="1" t="s">
        <v>57</v>
      </c>
      <c r="W466" s="1">
        <v>8</v>
      </c>
      <c r="X466" s="1" t="s">
        <v>38</v>
      </c>
      <c r="Y466" s="1">
        <v>2</v>
      </c>
      <c r="Z466" s="1" t="s">
        <v>58</v>
      </c>
    </row>
    <row r="467" spans="1:26" x14ac:dyDescent="0.3">
      <c r="A467" s="1" t="s">
        <v>924</v>
      </c>
      <c r="B467" s="2">
        <v>46017</v>
      </c>
      <c r="C467" s="1" t="s">
        <v>925</v>
      </c>
      <c r="D467" s="1" t="s">
        <v>89</v>
      </c>
      <c r="E467" s="1" t="s">
        <v>43</v>
      </c>
      <c r="F467" s="1">
        <v>21</v>
      </c>
      <c r="G467" s="1" t="s">
        <v>139</v>
      </c>
      <c r="H467" s="1" t="s">
        <v>31</v>
      </c>
      <c r="I467" s="1" t="s">
        <v>139</v>
      </c>
      <c r="J467" s="1" t="s">
        <v>75</v>
      </c>
      <c r="K467" s="1">
        <v>2</v>
      </c>
      <c r="L467" s="1">
        <v>43091</v>
      </c>
      <c r="M467" s="1">
        <v>5</v>
      </c>
      <c r="N467" s="1">
        <v>4309.1000000000004</v>
      </c>
      <c r="O467" s="1">
        <v>14737.12</v>
      </c>
      <c r="P467" s="1">
        <v>410</v>
      </c>
      <c r="Q467" s="1">
        <v>97020.02</v>
      </c>
      <c r="R467" s="1" t="s">
        <v>45</v>
      </c>
      <c r="S467" s="1" t="s">
        <v>63</v>
      </c>
      <c r="T467" s="1" t="s">
        <v>46</v>
      </c>
      <c r="U467" s="1" t="s">
        <v>36</v>
      </c>
      <c r="V467" s="1" t="s">
        <v>37</v>
      </c>
      <c r="W467" s="1">
        <v>1</v>
      </c>
      <c r="X467" s="1" t="s">
        <v>47</v>
      </c>
      <c r="Y467" s="1">
        <v>2</v>
      </c>
      <c r="Z467" s="1" t="s">
        <v>91</v>
      </c>
    </row>
    <row r="468" spans="1:26" x14ac:dyDescent="0.3">
      <c r="A468" s="1" t="s">
        <v>926</v>
      </c>
      <c r="B468" s="2">
        <v>46018</v>
      </c>
      <c r="C468" s="1" t="s">
        <v>746</v>
      </c>
      <c r="D468" s="1" t="s">
        <v>28</v>
      </c>
      <c r="E468" s="1" t="s">
        <v>29</v>
      </c>
      <c r="F468" s="1">
        <v>53</v>
      </c>
      <c r="G468" s="1" t="s">
        <v>99</v>
      </c>
      <c r="H468" s="1" t="s">
        <v>52</v>
      </c>
      <c r="I468" s="1" t="s">
        <v>99</v>
      </c>
      <c r="J468" s="1" t="s">
        <v>53</v>
      </c>
      <c r="K468" s="1">
        <v>4</v>
      </c>
      <c r="L468" s="1">
        <v>8212</v>
      </c>
      <c r="M468" s="1">
        <v>5</v>
      </c>
      <c r="N468" s="1">
        <v>1642.4</v>
      </c>
      <c r="O468" s="1">
        <v>5617.01</v>
      </c>
      <c r="P468" s="1">
        <v>456</v>
      </c>
      <c r="Q468" s="1">
        <v>37278.61</v>
      </c>
      <c r="R468" s="1" t="s">
        <v>83</v>
      </c>
      <c r="S468" s="1" t="s">
        <v>34</v>
      </c>
      <c r="T468" s="1" t="s">
        <v>70</v>
      </c>
      <c r="U468" s="1" t="s">
        <v>56</v>
      </c>
      <c r="V468" s="1" t="s">
        <v>57</v>
      </c>
      <c r="W468" s="1">
        <v>5</v>
      </c>
      <c r="X468" s="1" t="s">
        <v>47</v>
      </c>
      <c r="Y468" s="1">
        <v>2</v>
      </c>
      <c r="Z468" s="1" t="s">
        <v>39</v>
      </c>
    </row>
    <row r="469" spans="1:26" x14ac:dyDescent="0.3">
      <c r="A469" s="1" t="s">
        <v>927</v>
      </c>
      <c r="B469" s="2">
        <v>45900</v>
      </c>
      <c r="C469" s="1" t="s">
        <v>928</v>
      </c>
      <c r="D469" s="1" t="s">
        <v>61</v>
      </c>
      <c r="E469" s="1" t="s">
        <v>29</v>
      </c>
      <c r="F469" s="1">
        <v>41</v>
      </c>
      <c r="G469" s="1" t="s">
        <v>99</v>
      </c>
      <c r="H469" s="1" t="s">
        <v>52</v>
      </c>
      <c r="I469" s="1" t="s">
        <v>99</v>
      </c>
      <c r="J469" s="1" t="s">
        <v>32</v>
      </c>
      <c r="K469" s="1">
        <v>2</v>
      </c>
      <c r="L469" s="1">
        <v>20842</v>
      </c>
      <c r="M469" s="1">
        <v>5</v>
      </c>
      <c r="N469" s="1">
        <v>2084.1999999999998</v>
      </c>
      <c r="O469" s="1">
        <v>7127.96</v>
      </c>
      <c r="P469" s="1">
        <v>476</v>
      </c>
      <c r="Q469" s="1">
        <v>47203.76</v>
      </c>
      <c r="R469" s="1" t="s">
        <v>83</v>
      </c>
      <c r="S469" s="1" t="s">
        <v>34</v>
      </c>
      <c r="T469" s="1" t="s">
        <v>76</v>
      </c>
      <c r="U469" s="1" t="s">
        <v>77</v>
      </c>
      <c r="V469" s="1" t="s">
        <v>57</v>
      </c>
      <c r="W469" s="1">
        <v>6</v>
      </c>
      <c r="X469" s="1" t="s">
        <v>38</v>
      </c>
      <c r="Y469" s="1">
        <v>5</v>
      </c>
      <c r="Z469" s="1" t="s">
        <v>39</v>
      </c>
    </row>
    <row r="470" spans="1:26" x14ac:dyDescent="0.3">
      <c r="A470" s="1" t="s">
        <v>929</v>
      </c>
      <c r="B470" s="2">
        <v>46020</v>
      </c>
      <c r="C470" s="1" t="s">
        <v>127</v>
      </c>
      <c r="D470" s="1" t="s">
        <v>73</v>
      </c>
      <c r="E470" s="1" t="s">
        <v>29</v>
      </c>
      <c r="F470" s="1">
        <v>24</v>
      </c>
      <c r="G470" s="1" t="s">
        <v>44</v>
      </c>
      <c r="H470" s="1" t="s">
        <v>31</v>
      </c>
      <c r="I470" s="1" t="s">
        <v>44</v>
      </c>
      <c r="J470" s="1" t="s">
        <v>53</v>
      </c>
      <c r="K470" s="1">
        <v>1</v>
      </c>
      <c r="L470" s="1">
        <v>47724</v>
      </c>
      <c r="M470" s="1">
        <v>0</v>
      </c>
      <c r="N470" s="1">
        <v>0</v>
      </c>
      <c r="O470" s="1">
        <v>8590.32</v>
      </c>
      <c r="P470" s="1">
        <v>1</v>
      </c>
      <c r="Q470" s="1">
        <v>56315.32</v>
      </c>
      <c r="R470" s="1" t="s">
        <v>33</v>
      </c>
      <c r="S470" s="1" t="s">
        <v>63</v>
      </c>
      <c r="T470" s="1" t="s">
        <v>103</v>
      </c>
      <c r="U470" s="1" t="s">
        <v>103</v>
      </c>
      <c r="V470" s="1" t="s">
        <v>57</v>
      </c>
      <c r="W470" s="1">
        <v>9</v>
      </c>
      <c r="X470" s="1" t="s">
        <v>47</v>
      </c>
      <c r="Y470" s="1">
        <v>5</v>
      </c>
      <c r="Z470" s="1" t="s">
        <v>47</v>
      </c>
    </row>
    <row r="471" spans="1:26" x14ac:dyDescent="0.3">
      <c r="A471" s="1" t="s">
        <v>930</v>
      </c>
      <c r="B471" s="2">
        <v>45924</v>
      </c>
      <c r="C471" s="1" t="s">
        <v>314</v>
      </c>
      <c r="D471" s="1" t="s">
        <v>28</v>
      </c>
      <c r="E471" s="1" t="s">
        <v>29</v>
      </c>
      <c r="F471" s="1">
        <v>40</v>
      </c>
      <c r="G471" s="1" t="s">
        <v>90</v>
      </c>
      <c r="H471" s="1" t="s">
        <v>31</v>
      </c>
      <c r="I471" s="1" t="s">
        <v>90</v>
      </c>
      <c r="J471" s="1" t="s">
        <v>125</v>
      </c>
      <c r="K471" s="1">
        <v>4</v>
      </c>
      <c r="L471" s="1">
        <v>10839</v>
      </c>
      <c r="M471" s="1">
        <v>0</v>
      </c>
      <c r="N471" s="1">
        <v>0</v>
      </c>
      <c r="O471" s="1">
        <v>7804.08</v>
      </c>
      <c r="P471" s="1">
        <v>263</v>
      </c>
      <c r="Q471" s="1">
        <v>51423.08</v>
      </c>
      <c r="R471" s="1" t="s">
        <v>83</v>
      </c>
      <c r="S471" s="1" t="s">
        <v>63</v>
      </c>
      <c r="T471" s="1" t="s">
        <v>70</v>
      </c>
      <c r="U471" s="1" t="s">
        <v>56</v>
      </c>
      <c r="V471" s="1" t="s">
        <v>57</v>
      </c>
      <c r="W471" s="1">
        <v>10</v>
      </c>
      <c r="X471" s="1" t="s">
        <v>47</v>
      </c>
      <c r="Y471" s="1">
        <v>2</v>
      </c>
      <c r="Z471" s="1" t="s">
        <v>39</v>
      </c>
    </row>
    <row r="472" spans="1:26" x14ac:dyDescent="0.3">
      <c r="A472" s="1" t="s">
        <v>931</v>
      </c>
      <c r="B472" s="2">
        <v>45940</v>
      </c>
      <c r="C472" s="1" t="s">
        <v>491</v>
      </c>
      <c r="D472" s="1" t="s">
        <v>80</v>
      </c>
      <c r="E472" s="1" t="s">
        <v>29</v>
      </c>
      <c r="F472" s="1">
        <v>59</v>
      </c>
      <c r="G472" s="1" t="s">
        <v>30</v>
      </c>
      <c r="H472" s="1" t="s">
        <v>31</v>
      </c>
      <c r="I472" s="1" t="s">
        <v>30</v>
      </c>
      <c r="J472" s="1" t="s">
        <v>69</v>
      </c>
      <c r="K472" s="1">
        <v>3</v>
      </c>
      <c r="L472" s="1">
        <v>26534</v>
      </c>
      <c r="M472" s="1">
        <v>20</v>
      </c>
      <c r="N472" s="1">
        <v>15920.4</v>
      </c>
      <c r="O472" s="1">
        <v>11462.69</v>
      </c>
      <c r="P472" s="1">
        <v>204</v>
      </c>
      <c r="Q472" s="1">
        <v>75348.289999999994</v>
      </c>
      <c r="R472" s="1" t="s">
        <v>45</v>
      </c>
      <c r="S472" s="1" t="s">
        <v>34</v>
      </c>
      <c r="T472" s="1" t="s">
        <v>70</v>
      </c>
      <c r="U472" s="1" t="s">
        <v>56</v>
      </c>
      <c r="V472" s="1" t="s">
        <v>57</v>
      </c>
      <c r="W472" s="1">
        <v>1</v>
      </c>
      <c r="X472" s="1" t="s">
        <v>38</v>
      </c>
      <c r="Y472" s="1">
        <v>3</v>
      </c>
      <c r="Z472" s="1" t="s">
        <v>91</v>
      </c>
    </row>
    <row r="473" spans="1:26" x14ac:dyDescent="0.3">
      <c r="A473" s="1" t="s">
        <v>932</v>
      </c>
      <c r="B473" s="2">
        <v>45795</v>
      </c>
      <c r="C473" s="1" t="s">
        <v>332</v>
      </c>
      <c r="D473" s="1" t="s">
        <v>80</v>
      </c>
      <c r="E473" s="1" t="s">
        <v>29</v>
      </c>
      <c r="F473" s="1">
        <v>30</v>
      </c>
      <c r="G473" s="1" t="s">
        <v>134</v>
      </c>
      <c r="H473" s="1" t="s">
        <v>31</v>
      </c>
      <c r="I473" s="1" t="s">
        <v>134</v>
      </c>
      <c r="J473" s="1" t="s">
        <v>62</v>
      </c>
      <c r="K473" s="1">
        <v>4</v>
      </c>
      <c r="L473" s="1">
        <v>31580</v>
      </c>
      <c r="M473" s="1">
        <v>0</v>
      </c>
      <c r="N473" s="1">
        <v>0</v>
      </c>
      <c r="O473" s="1">
        <v>22737.599999999999</v>
      </c>
      <c r="P473" s="1">
        <v>323</v>
      </c>
      <c r="Q473" s="1">
        <v>149380.6</v>
      </c>
      <c r="R473" s="1" t="s">
        <v>83</v>
      </c>
      <c r="S473" s="1" t="s">
        <v>63</v>
      </c>
      <c r="T473" s="1" t="s">
        <v>35</v>
      </c>
      <c r="U473" s="1" t="s">
        <v>36</v>
      </c>
      <c r="V473" s="1" t="s">
        <v>37</v>
      </c>
      <c r="W473" s="1">
        <v>9</v>
      </c>
      <c r="X473" s="1" t="s">
        <v>47</v>
      </c>
      <c r="Y473" s="1">
        <v>4</v>
      </c>
      <c r="Z473" s="1" t="s">
        <v>47</v>
      </c>
    </row>
    <row r="474" spans="1:26" x14ac:dyDescent="0.3">
      <c r="A474" s="1" t="s">
        <v>933</v>
      </c>
      <c r="B474" s="2">
        <v>45864</v>
      </c>
      <c r="C474" s="1" t="s">
        <v>934</v>
      </c>
      <c r="D474" s="1" t="s">
        <v>61</v>
      </c>
      <c r="E474" s="1" t="s">
        <v>43</v>
      </c>
      <c r="F474" s="1">
        <v>42</v>
      </c>
      <c r="G474" s="1" t="s">
        <v>44</v>
      </c>
      <c r="H474" s="1" t="s">
        <v>31</v>
      </c>
      <c r="I474" s="1" t="s">
        <v>44</v>
      </c>
      <c r="J474" s="1" t="s">
        <v>125</v>
      </c>
      <c r="K474" s="1">
        <v>2</v>
      </c>
      <c r="L474" s="1">
        <v>35161</v>
      </c>
      <c r="M474" s="1">
        <v>15</v>
      </c>
      <c r="N474" s="1">
        <v>10548.3</v>
      </c>
      <c r="O474" s="1">
        <v>10759.27</v>
      </c>
      <c r="P474" s="1">
        <v>349</v>
      </c>
      <c r="Q474" s="1">
        <v>70881.97</v>
      </c>
      <c r="R474" s="1" t="s">
        <v>45</v>
      </c>
      <c r="S474" s="1" t="s">
        <v>63</v>
      </c>
      <c r="T474" s="1" t="s">
        <v>76</v>
      </c>
      <c r="U474" s="1" t="s">
        <v>77</v>
      </c>
      <c r="V474" s="1" t="s">
        <v>57</v>
      </c>
      <c r="W474" s="1">
        <v>3</v>
      </c>
      <c r="X474" s="1" t="s">
        <v>38</v>
      </c>
      <c r="Y474" s="1">
        <v>2</v>
      </c>
      <c r="Z474" s="1" t="s">
        <v>58</v>
      </c>
    </row>
    <row r="475" spans="1:26" x14ac:dyDescent="0.3">
      <c r="A475" s="1" t="s">
        <v>935</v>
      </c>
      <c r="B475" s="2">
        <v>46034</v>
      </c>
      <c r="C475" s="1" t="s">
        <v>936</v>
      </c>
      <c r="D475" s="1" t="s">
        <v>108</v>
      </c>
      <c r="E475" s="1" t="s">
        <v>29</v>
      </c>
      <c r="F475" s="1">
        <v>46</v>
      </c>
      <c r="G475" s="1" t="s">
        <v>134</v>
      </c>
      <c r="H475" s="1" t="s">
        <v>31</v>
      </c>
      <c r="I475" s="1" t="s">
        <v>134</v>
      </c>
      <c r="J475" s="1" t="s">
        <v>75</v>
      </c>
      <c r="K475" s="1">
        <v>3</v>
      </c>
      <c r="L475" s="1">
        <v>48636</v>
      </c>
      <c r="M475" s="1">
        <v>0</v>
      </c>
      <c r="N475" s="1">
        <v>0</v>
      </c>
      <c r="O475" s="1">
        <v>26263.439999999999</v>
      </c>
      <c r="P475" s="1">
        <v>268</v>
      </c>
      <c r="Q475" s="1">
        <v>172439.44</v>
      </c>
      <c r="R475" s="1" t="s">
        <v>54</v>
      </c>
      <c r="S475" s="1" t="s">
        <v>34</v>
      </c>
      <c r="T475" s="1" t="s">
        <v>46</v>
      </c>
      <c r="U475" s="1" t="s">
        <v>36</v>
      </c>
      <c r="V475" s="1" t="s">
        <v>37</v>
      </c>
      <c r="W475" s="1">
        <v>6</v>
      </c>
      <c r="X475" s="1" t="s">
        <v>38</v>
      </c>
      <c r="Y475" s="1">
        <v>3</v>
      </c>
      <c r="Z475" s="1" t="s">
        <v>58</v>
      </c>
    </row>
    <row r="476" spans="1:26" x14ac:dyDescent="0.3">
      <c r="A476" s="1" t="s">
        <v>937</v>
      </c>
      <c r="B476" s="2">
        <v>46088</v>
      </c>
      <c r="C476" s="1" t="s">
        <v>938</v>
      </c>
      <c r="D476" s="1" t="s">
        <v>108</v>
      </c>
      <c r="E476" s="1" t="s">
        <v>43</v>
      </c>
      <c r="F476" s="1">
        <v>31</v>
      </c>
      <c r="G476" s="1" t="s">
        <v>67</v>
      </c>
      <c r="H476" s="1" t="s">
        <v>68</v>
      </c>
      <c r="I476" s="1" t="s">
        <v>67</v>
      </c>
      <c r="J476" s="1" t="s">
        <v>75</v>
      </c>
      <c r="K476" s="1">
        <v>2</v>
      </c>
      <c r="L476" s="1">
        <v>31744</v>
      </c>
      <c r="M476" s="1">
        <v>20</v>
      </c>
      <c r="N476" s="1">
        <v>12697.6</v>
      </c>
      <c r="O476" s="1">
        <v>9142.27</v>
      </c>
      <c r="P476" s="1">
        <v>209</v>
      </c>
      <c r="Q476" s="1">
        <v>60141.67</v>
      </c>
      <c r="R476" s="1" t="s">
        <v>83</v>
      </c>
      <c r="S476" s="1" t="s">
        <v>34</v>
      </c>
      <c r="T476" s="1" t="s">
        <v>55</v>
      </c>
      <c r="U476" s="1" t="s">
        <v>56</v>
      </c>
      <c r="V476" s="1" t="s">
        <v>57</v>
      </c>
      <c r="W476" s="1">
        <v>7</v>
      </c>
      <c r="X476" s="1" t="s">
        <v>38</v>
      </c>
      <c r="Y476" s="1">
        <v>5</v>
      </c>
      <c r="Z476" s="1" t="s">
        <v>91</v>
      </c>
    </row>
    <row r="477" spans="1:26" x14ac:dyDescent="0.3">
      <c r="A477" s="1" t="s">
        <v>939</v>
      </c>
      <c r="B477" s="2">
        <v>46051</v>
      </c>
      <c r="C477" s="1" t="s">
        <v>940</v>
      </c>
      <c r="D477" s="1" t="s">
        <v>61</v>
      </c>
      <c r="E477" s="1" t="s">
        <v>43</v>
      </c>
      <c r="F477" s="1">
        <v>32</v>
      </c>
      <c r="G477" s="1" t="s">
        <v>30</v>
      </c>
      <c r="H477" s="1" t="s">
        <v>31</v>
      </c>
      <c r="I477" s="1" t="s">
        <v>30</v>
      </c>
      <c r="J477" s="1" t="s">
        <v>102</v>
      </c>
      <c r="K477" s="1">
        <v>4</v>
      </c>
      <c r="L477" s="1">
        <v>31822</v>
      </c>
      <c r="M477" s="1">
        <v>0</v>
      </c>
      <c r="N477" s="1">
        <v>0</v>
      </c>
      <c r="O477" s="1">
        <v>22911.84</v>
      </c>
      <c r="P477" s="1">
        <v>60</v>
      </c>
      <c r="Q477" s="1">
        <v>150259.84</v>
      </c>
      <c r="R477" s="1" t="s">
        <v>45</v>
      </c>
      <c r="S477" s="1" t="s">
        <v>63</v>
      </c>
      <c r="T477" s="1" t="s">
        <v>95</v>
      </c>
      <c r="U477" s="1" t="s">
        <v>96</v>
      </c>
      <c r="V477" s="1" t="s">
        <v>57</v>
      </c>
      <c r="W477" s="1">
        <v>1</v>
      </c>
      <c r="X477" s="1" t="s">
        <v>38</v>
      </c>
      <c r="Y477" s="1">
        <v>3</v>
      </c>
      <c r="Z477" s="1" t="s">
        <v>47</v>
      </c>
    </row>
    <row r="478" spans="1:26" x14ac:dyDescent="0.3">
      <c r="A478" s="1" t="s">
        <v>941</v>
      </c>
      <c r="B478" s="2">
        <v>45832</v>
      </c>
      <c r="C478" s="1" t="s">
        <v>942</v>
      </c>
      <c r="D478" s="1" t="s">
        <v>111</v>
      </c>
      <c r="E478" s="1" t="s">
        <v>29</v>
      </c>
      <c r="F478" s="1">
        <v>33</v>
      </c>
      <c r="G478" s="1" t="s">
        <v>99</v>
      </c>
      <c r="H478" s="1" t="s">
        <v>52</v>
      </c>
      <c r="I478" s="1" t="s">
        <v>99</v>
      </c>
      <c r="J478" s="1" t="s">
        <v>53</v>
      </c>
      <c r="K478" s="1">
        <v>4</v>
      </c>
      <c r="L478" s="1">
        <v>2368</v>
      </c>
      <c r="M478" s="1">
        <v>20</v>
      </c>
      <c r="N478" s="1">
        <v>1894.4</v>
      </c>
      <c r="O478" s="1">
        <v>1363.97</v>
      </c>
      <c r="P478" s="1">
        <v>373</v>
      </c>
      <c r="Q478" s="1">
        <v>9314.57</v>
      </c>
      <c r="R478" s="1" t="s">
        <v>45</v>
      </c>
      <c r="S478" s="1" t="s">
        <v>34</v>
      </c>
      <c r="T478" s="1" t="s">
        <v>76</v>
      </c>
      <c r="U478" s="1" t="s">
        <v>77</v>
      </c>
      <c r="V478" s="1" t="s">
        <v>57</v>
      </c>
      <c r="W478" s="1">
        <v>6</v>
      </c>
      <c r="X478" s="1" t="s">
        <v>47</v>
      </c>
      <c r="Y478" s="1">
        <v>1</v>
      </c>
      <c r="Z478" s="1" t="s">
        <v>47</v>
      </c>
    </row>
    <row r="479" spans="1:26" x14ac:dyDescent="0.3">
      <c r="A479" s="1" t="s">
        <v>943</v>
      </c>
      <c r="B479" s="2">
        <v>46109</v>
      </c>
      <c r="C479" s="1" t="s">
        <v>944</v>
      </c>
      <c r="D479" s="1" t="s">
        <v>61</v>
      </c>
      <c r="E479" s="1" t="s">
        <v>29</v>
      </c>
      <c r="F479" s="1">
        <v>20</v>
      </c>
      <c r="G479" s="1" t="s">
        <v>99</v>
      </c>
      <c r="H479" s="1" t="s">
        <v>52</v>
      </c>
      <c r="I479" s="1" t="s">
        <v>99</v>
      </c>
      <c r="J479" s="1" t="s">
        <v>32</v>
      </c>
      <c r="K479" s="1">
        <v>5</v>
      </c>
      <c r="L479" s="1">
        <v>48760</v>
      </c>
      <c r="M479" s="1">
        <v>5</v>
      </c>
      <c r="N479" s="1">
        <v>12190</v>
      </c>
      <c r="O479" s="1">
        <v>41689.800000000003</v>
      </c>
      <c r="P479" s="1">
        <v>420</v>
      </c>
      <c r="Q479" s="1">
        <v>273719.8</v>
      </c>
      <c r="R479" s="1" t="s">
        <v>33</v>
      </c>
      <c r="S479" s="1" t="s">
        <v>34</v>
      </c>
      <c r="T479" s="1" t="s">
        <v>95</v>
      </c>
      <c r="U479" s="1" t="s">
        <v>96</v>
      </c>
      <c r="V479" s="1" t="s">
        <v>57</v>
      </c>
      <c r="W479" s="1">
        <v>7</v>
      </c>
      <c r="X479" s="1" t="s">
        <v>47</v>
      </c>
      <c r="Y479" s="1">
        <v>4</v>
      </c>
      <c r="Z479" s="1" t="s">
        <v>47</v>
      </c>
    </row>
    <row r="480" spans="1:26" x14ac:dyDescent="0.3">
      <c r="A480" s="1" t="s">
        <v>945</v>
      </c>
      <c r="B480" s="2">
        <v>45804</v>
      </c>
      <c r="C480" s="1" t="s">
        <v>143</v>
      </c>
      <c r="D480" s="1" t="s">
        <v>80</v>
      </c>
      <c r="E480" s="1" t="s">
        <v>43</v>
      </c>
      <c r="F480" s="1">
        <v>38</v>
      </c>
      <c r="G480" s="1" t="s">
        <v>30</v>
      </c>
      <c r="H480" s="1" t="s">
        <v>31</v>
      </c>
      <c r="I480" s="1" t="s">
        <v>30</v>
      </c>
      <c r="J480" s="1" t="s">
        <v>62</v>
      </c>
      <c r="K480" s="1">
        <v>5</v>
      </c>
      <c r="L480" s="1">
        <v>39991</v>
      </c>
      <c r="M480" s="1">
        <v>10</v>
      </c>
      <c r="N480" s="1">
        <v>19995.5</v>
      </c>
      <c r="O480" s="1">
        <v>32392.71</v>
      </c>
      <c r="P480" s="1">
        <v>310</v>
      </c>
      <c r="Q480" s="1">
        <v>212662.21</v>
      </c>
      <c r="R480" s="1" t="s">
        <v>33</v>
      </c>
      <c r="S480" s="1" t="s">
        <v>34</v>
      </c>
      <c r="T480" s="1" t="s">
        <v>46</v>
      </c>
      <c r="U480" s="1" t="s">
        <v>36</v>
      </c>
      <c r="V480" s="1" t="s">
        <v>37</v>
      </c>
      <c r="W480" s="1">
        <v>8</v>
      </c>
      <c r="X480" s="1" t="s">
        <v>38</v>
      </c>
      <c r="Y480" s="1">
        <v>5</v>
      </c>
      <c r="Z480" s="1" t="s">
        <v>47</v>
      </c>
    </row>
    <row r="481" spans="1:26" x14ac:dyDescent="0.3">
      <c r="A481" s="1" t="s">
        <v>946</v>
      </c>
      <c r="B481" s="2">
        <v>45909</v>
      </c>
      <c r="C481" s="1" t="s">
        <v>665</v>
      </c>
      <c r="D481" s="1" t="s">
        <v>66</v>
      </c>
      <c r="E481" s="1" t="s">
        <v>43</v>
      </c>
      <c r="F481" s="1">
        <v>53</v>
      </c>
      <c r="G481" s="1" t="s">
        <v>90</v>
      </c>
      <c r="H481" s="1" t="s">
        <v>31</v>
      </c>
      <c r="I481" s="1" t="s">
        <v>90</v>
      </c>
      <c r="J481" s="1" t="s">
        <v>112</v>
      </c>
      <c r="K481" s="1">
        <v>1</v>
      </c>
      <c r="L481" s="1">
        <v>47402</v>
      </c>
      <c r="M481" s="1">
        <v>5</v>
      </c>
      <c r="N481" s="1">
        <v>2370.1</v>
      </c>
      <c r="O481" s="1">
        <v>8105.74</v>
      </c>
      <c r="P481" s="1">
        <v>192</v>
      </c>
      <c r="Q481" s="1">
        <v>53329.64</v>
      </c>
      <c r="R481" s="1" t="s">
        <v>54</v>
      </c>
      <c r="S481" s="1" t="s">
        <v>63</v>
      </c>
      <c r="T481" s="1" t="s">
        <v>55</v>
      </c>
      <c r="U481" s="1" t="s">
        <v>56</v>
      </c>
      <c r="V481" s="1" t="s">
        <v>57</v>
      </c>
      <c r="W481" s="1">
        <v>5</v>
      </c>
      <c r="X481" s="1" t="s">
        <v>38</v>
      </c>
      <c r="Y481" s="1">
        <v>2</v>
      </c>
      <c r="Z481" s="1" t="s">
        <v>58</v>
      </c>
    </row>
    <row r="482" spans="1:26" x14ac:dyDescent="0.3">
      <c r="A482" s="1" t="s">
        <v>947</v>
      </c>
      <c r="B482" s="2">
        <v>46034</v>
      </c>
      <c r="C482" s="1" t="s">
        <v>948</v>
      </c>
      <c r="D482" s="1" t="s">
        <v>61</v>
      </c>
      <c r="E482" s="1" t="s">
        <v>43</v>
      </c>
      <c r="F482" s="1">
        <v>34</v>
      </c>
      <c r="G482" s="1" t="s">
        <v>94</v>
      </c>
      <c r="H482" s="1" t="s">
        <v>31</v>
      </c>
      <c r="I482" s="1" t="s">
        <v>94</v>
      </c>
      <c r="J482" s="1" t="s">
        <v>150</v>
      </c>
      <c r="K482" s="1">
        <v>3</v>
      </c>
      <c r="L482" s="1">
        <v>42924</v>
      </c>
      <c r="M482" s="1">
        <v>20</v>
      </c>
      <c r="N482" s="1">
        <v>25754.400000000001</v>
      </c>
      <c r="O482" s="1">
        <v>18543.169999999998</v>
      </c>
      <c r="P482" s="1">
        <v>373</v>
      </c>
      <c r="Q482" s="1">
        <v>121933.77</v>
      </c>
      <c r="R482" s="1" t="s">
        <v>54</v>
      </c>
      <c r="S482" s="1" t="s">
        <v>34</v>
      </c>
      <c r="T482" s="1" t="s">
        <v>70</v>
      </c>
      <c r="U482" s="1" t="s">
        <v>56</v>
      </c>
      <c r="V482" s="1" t="s">
        <v>57</v>
      </c>
      <c r="W482" s="1">
        <v>2</v>
      </c>
      <c r="X482" s="1" t="s">
        <v>47</v>
      </c>
      <c r="Y482" s="1">
        <v>4</v>
      </c>
      <c r="Z482" s="1" t="s">
        <v>91</v>
      </c>
    </row>
    <row r="483" spans="1:26" x14ac:dyDescent="0.3">
      <c r="A483" s="1" t="s">
        <v>949</v>
      </c>
      <c r="B483" s="2">
        <v>46000</v>
      </c>
      <c r="C483" s="1" t="s">
        <v>950</v>
      </c>
      <c r="D483" s="1" t="s">
        <v>108</v>
      </c>
      <c r="E483" s="1" t="s">
        <v>43</v>
      </c>
      <c r="F483" s="1">
        <v>29</v>
      </c>
      <c r="G483" s="1" t="s">
        <v>44</v>
      </c>
      <c r="H483" s="1" t="s">
        <v>31</v>
      </c>
      <c r="I483" s="1" t="s">
        <v>44</v>
      </c>
      <c r="J483" s="1" t="s">
        <v>62</v>
      </c>
      <c r="K483" s="1">
        <v>2</v>
      </c>
      <c r="L483" s="1">
        <v>43493</v>
      </c>
      <c r="M483" s="1">
        <v>5</v>
      </c>
      <c r="N483" s="1">
        <v>4349.3</v>
      </c>
      <c r="O483" s="1">
        <v>14874.61</v>
      </c>
      <c r="P483" s="1">
        <v>499</v>
      </c>
      <c r="Q483" s="1">
        <v>98010.31</v>
      </c>
      <c r="R483" s="1" t="s">
        <v>83</v>
      </c>
      <c r="S483" s="1" t="s">
        <v>63</v>
      </c>
      <c r="T483" s="1" t="s">
        <v>35</v>
      </c>
      <c r="U483" s="1" t="s">
        <v>36</v>
      </c>
      <c r="V483" s="1" t="s">
        <v>37</v>
      </c>
      <c r="W483" s="1">
        <v>10</v>
      </c>
      <c r="X483" s="1" t="s">
        <v>47</v>
      </c>
      <c r="Y483" s="1">
        <v>4</v>
      </c>
      <c r="Z483" s="1" t="s">
        <v>39</v>
      </c>
    </row>
    <row r="484" spans="1:26" x14ac:dyDescent="0.3">
      <c r="A484" s="1" t="s">
        <v>951</v>
      </c>
      <c r="B484" s="2">
        <v>46087</v>
      </c>
      <c r="C484" s="1" t="s">
        <v>952</v>
      </c>
      <c r="D484" s="1" t="s">
        <v>42</v>
      </c>
      <c r="E484" s="1" t="s">
        <v>29</v>
      </c>
      <c r="F484" s="1">
        <v>52</v>
      </c>
      <c r="G484" s="1" t="s">
        <v>99</v>
      </c>
      <c r="H484" s="1" t="s">
        <v>52</v>
      </c>
      <c r="I484" s="1" t="s">
        <v>99</v>
      </c>
      <c r="J484" s="1" t="s">
        <v>75</v>
      </c>
      <c r="K484" s="1">
        <v>1</v>
      </c>
      <c r="L484" s="1">
        <v>23370</v>
      </c>
      <c r="M484" s="1">
        <v>0</v>
      </c>
      <c r="N484" s="1">
        <v>0</v>
      </c>
      <c r="O484" s="1">
        <v>4206.6000000000004</v>
      </c>
      <c r="P484" s="1">
        <v>413</v>
      </c>
      <c r="Q484" s="1">
        <v>27989.599999999999</v>
      </c>
      <c r="R484" s="1" t="s">
        <v>83</v>
      </c>
      <c r="S484" s="1" t="s">
        <v>63</v>
      </c>
      <c r="T484" s="1" t="s">
        <v>84</v>
      </c>
      <c r="U484" s="1" t="s">
        <v>85</v>
      </c>
      <c r="V484" s="1" t="s">
        <v>86</v>
      </c>
      <c r="W484" s="1">
        <v>6</v>
      </c>
      <c r="X484" s="1" t="s">
        <v>38</v>
      </c>
      <c r="Y484" s="1">
        <v>4</v>
      </c>
      <c r="Z484" s="1" t="s">
        <v>47</v>
      </c>
    </row>
    <row r="485" spans="1:26" x14ac:dyDescent="0.3">
      <c r="A485" s="1" t="s">
        <v>953</v>
      </c>
      <c r="B485" s="2">
        <v>46070</v>
      </c>
      <c r="C485" s="1" t="s">
        <v>954</v>
      </c>
      <c r="D485" s="1" t="s">
        <v>42</v>
      </c>
      <c r="E485" s="1" t="s">
        <v>43</v>
      </c>
      <c r="F485" s="1">
        <v>58</v>
      </c>
      <c r="G485" s="1" t="s">
        <v>30</v>
      </c>
      <c r="H485" s="1" t="s">
        <v>31</v>
      </c>
      <c r="I485" s="1" t="s">
        <v>30</v>
      </c>
      <c r="J485" s="1" t="s">
        <v>53</v>
      </c>
      <c r="K485" s="1">
        <v>3</v>
      </c>
      <c r="L485" s="1">
        <v>47124</v>
      </c>
      <c r="M485" s="1">
        <v>10</v>
      </c>
      <c r="N485" s="1">
        <v>14137.2</v>
      </c>
      <c r="O485" s="1">
        <v>22902.26</v>
      </c>
      <c r="P485" s="1">
        <v>40</v>
      </c>
      <c r="Q485" s="1">
        <v>150177.06</v>
      </c>
      <c r="R485" s="1" t="s">
        <v>54</v>
      </c>
      <c r="S485" s="1" t="s">
        <v>63</v>
      </c>
      <c r="T485" s="1" t="s">
        <v>103</v>
      </c>
      <c r="U485" s="1" t="s">
        <v>103</v>
      </c>
      <c r="V485" s="1" t="s">
        <v>57</v>
      </c>
      <c r="W485" s="1">
        <v>4</v>
      </c>
      <c r="X485" s="1" t="s">
        <v>38</v>
      </c>
      <c r="Y485" s="1">
        <v>3</v>
      </c>
      <c r="Z485" s="1" t="s">
        <v>91</v>
      </c>
    </row>
    <row r="486" spans="1:26" x14ac:dyDescent="0.3">
      <c r="A486" s="1" t="s">
        <v>955</v>
      </c>
      <c r="B486" s="2">
        <v>46062</v>
      </c>
      <c r="C486" s="1" t="s">
        <v>956</v>
      </c>
      <c r="D486" s="1" t="s">
        <v>89</v>
      </c>
      <c r="E486" s="1" t="s">
        <v>29</v>
      </c>
      <c r="F486" s="1">
        <v>30</v>
      </c>
      <c r="G486" s="1" t="s">
        <v>139</v>
      </c>
      <c r="H486" s="1" t="s">
        <v>31</v>
      </c>
      <c r="I486" s="1" t="s">
        <v>139</v>
      </c>
      <c r="J486" s="1" t="s">
        <v>201</v>
      </c>
      <c r="K486" s="1">
        <v>1</v>
      </c>
      <c r="L486" s="1">
        <v>27733</v>
      </c>
      <c r="M486" s="1">
        <v>5</v>
      </c>
      <c r="N486" s="1">
        <v>1386.65</v>
      </c>
      <c r="O486" s="1">
        <v>4742.34</v>
      </c>
      <c r="P486" s="1">
        <v>481</v>
      </c>
      <c r="Q486" s="1">
        <v>31569.69</v>
      </c>
      <c r="R486" s="1" t="s">
        <v>83</v>
      </c>
      <c r="S486" s="1" t="s">
        <v>34</v>
      </c>
      <c r="T486" s="1" t="s">
        <v>46</v>
      </c>
      <c r="U486" s="1" t="s">
        <v>36</v>
      </c>
      <c r="V486" s="1" t="s">
        <v>37</v>
      </c>
      <c r="W486" s="1">
        <v>8</v>
      </c>
      <c r="X486" s="1" t="s">
        <v>38</v>
      </c>
      <c r="Y486" s="1">
        <v>3</v>
      </c>
      <c r="Z486" s="1" t="s">
        <v>39</v>
      </c>
    </row>
    <row r="487" spans="1:26" x14ac:dyDescent="0.3">
      <c r="A487" s="1" t="s">
        <v>957</v>
      </c>
      <c r="B487" s="2">
        <v>45913</v>
      </c>
      <c r="C487" s="1" t="s">
        <v>742</v>
      </c>
      <c r="D487" s="1" t="s">
        <v>42</v>
      </c>
      <c r="E487" s="1" t="s">
        <v>29</v>
      </c>
      <c r="F487" s="1">
        <v>26</v>
      </c>
      <c r="G487" s="1" t="s">
        <v>74</v>
      </c>
      <c r="H487" s="1" t="s">
        <v>31</v>
      </c>
      <c r="I487" s="1" t="s">
        <v>74</v>
      </c>
      <c r="J487" s="1" t="s">
        <v>201</v>
      </c>
      <c r="K487" s="1">
        <v>1</v>
      </c>
      <c r="L487" s="1">
        <v>16619</v>
      </c>
      <c r="M487" s="1">
        <v>5</v>
      </c>
      <c r="N487" s="1">
        <v>830.95</v>
      </c>
      <c r="O487" s="1">
        <v>2841.85</v>
      </c>
      <c r="P487" s="1">
        <v>416</v>
      </c>
      <c r="Q487" s="1">
        <v>19045.900000000001</v>
      </c>
      <c r="R487" s="1" t="s">
        <v>54</v>
      </c>
      <c r="S487" s="1" t="s">
        <v>34</v>
      </c>
      <c r="T487" s="1" t="s">
        <v>84</v>
      </c>
      <c r="U487" s="1" t="s">
        <v>85</v>
      </c>
      <c r="V487" s="1" t="s">
        <v>86</v>
      </c>
      <c r="W487" s="1">
        <v>4</v>
      </c>
      <c r="X487" s="1" t="s">
        <v>38</v>
      </c>
      <c r="Y487" s="1">
        <v>1</v>
      </c>
      <c r="Z487" s="1" t="s">
        <v>47</v>
      </c>
    </row>
    <row r="488" spans="1:26" x14ac:dyDescent="0.3">
      <c r="A488" s="1" t="s">
        <v>958</v>
      </c>
      <c r="B488" s="2">
        <v>45939</v>
      </c>
      <c r="C488" s="1" t="s">
        <v>172</v>
      </c>
      <c r="D488" s="1" t="s">
        <v>28</v>
      </c>
      <c r="E488" s="1" t="s">
        <v>43</v>
      </c>
      <c r="F488" s="1">
        <v>39</v>
      </c>
      <c r="G488" s="1" t="s">
        <v>99</v>
      </c>
      <c r="H488" s="1" t="s">
        <v>52</v>
      </c>
      <c r="I488" s="1" t="s">
        <v>99</v>
      </c>
      <c r="J488" s="1" t="s">
        <v>112</v>
      </c>
      <c r="K488" s="1">
        <v>3</v>
      </c>
      <c r="L488" s="1">
        <v>16882</v>
      </c>
      <c r="M488" s="1">
        <v>10</v>
      </c>
      <c r="N488" s="1">
        <v>5064.6000000000004</v>
      </c>
      <c r="O488" s="1">
        <v>8204.65</v>
      </c>
      <c r="P488" s="1">
        <v>146</v>
      </c>
      <c r="Q488" s="1">
        <v>53932.05</v>
      </c>
      <c r="R488" s="1" t="s">
        <v>33</v>
      </c>
      <c r="S488" s="1" t="s">
        <v>63</v>
      </c>
      <c r="T488" s="1" t="s">
        <v>103</v>
      </c>
      <c r="U488" s="1" t="s">
        <v>103</v>
      </c>
      <c r="V488" s="1" t="s">
        <v>57</v>
      </c>
      <c r="W488" s="1">
        <v>2</v>
      </c>
      <c r="X488" s="1" t="s">
        <v>38</v>
      </c>
      <c r="Y488" s="1">
        <v>5</v>
      </c>
      <c r="Z488" s="1" t="s">
        <v>91</v>
      </c>
    </row>
    <row r="489" spans="1:26" x14ac:dyDescent="0.3">
      <c r="A489" s="1" t="s">
        <v>959</v>
      </c>
      <c r="B489" s="2">
        <v>46009</v>
      </c>
      <c r="C489" s="1" t="s">
        <v>960</v>
      </c>
      <c r="D489" s="1" t="s">
        <v>80</v>
      </c>
      <c r="E489" s="1" t="s">
        <v>29</v>
      </c>
      <c r="F489" s="1">
        <v>52</v>
      </c>
      <c r="G489" s="1" t="s">
        <v>74</v>
      </c>
      <c r="H489" s="1" t="s">
        <v>31</v>
      </c>
      <c r="I489" s="1" t="s">
        <v>74</v>
      </c>
      <c r="J489" s="1" t="s">
        <v>125</v>
      </c>
      <c r="K489" s="1">
        <v>3</v>
      </c>
      <c r="L489" s="1">
        <v>42848</v>
      </c>
      <c r="M489" s="1">
        <v>15</v>
      </c>
      <c r="N489" s="1">
        <v>19281.599999999999</v>
      </c>
      <c r="O489" s="1">
        <v>19667.23</v>
      </c>
      <c r="P489" s="1">
        <v>22</v>
      </c>
      <c r="Q489" s="1">
        <v>128951.63</v>
      </c>
      <c r="R489" s="1" t="s">
        <v>54</v>
      </c>
      <c r="S489" s="1" t="s">
        <v>34</v>
      </c>
      <c r="T489" s="1" t="s">
        <v>70</v>
      </c>
      <c r="U489" s="1" t="s">
        <v>56</v>
      </c>
      <c r="V489" s="1" t="s">
        <v>57</v>
      </c>
      <c r="W489" s="1">
        <v>3</v>
      </c>
      <c r="X489" s="1" t="s">
        <v>38</v>
      </c>
      <c r="Y489" s="1">
        <v>2</v>
      </c>
      <c r="Z489" s="1" t="s">
        <v>47</v>
      </c>
    </row>
    <row r="490" spans="1:26" x14ac:dyDescent="0.3">
      <c r="A490" s="1" t="s">
        <v>961</v>
      </c>
      <c r="B490" s="2">
        <v>45860</v>
      </c>
      <c r="C490" s="1" t="s">
        <v>962</v>
      </c>
      <c r="D490" s="1" t="s">
        <v>73</v>
      </c>
      <c r="E490" s="1" t="s">
        <v>43</v>
      </c>
      <c r="F490" s="1">
        <v>25</v>
      </c>
      <c r="G490" s="1" t="s">
        <v>67</v>
      </c>
      <c r="H490" s="1" t="s">
        <v>68</v>
      </c>
      <c r="I490" s="1" t="s">
        <v>67</v>
      </c>
      <c r="J490" s="1" t="s">
        <v>62</v>
      </c>
      <c r="K490" s="1">
        <v>3</v>
      </c>
      <c r="L490" s="1">
        <v>17988</v>
      </c>
      <c r="M490" s="1">
        <v>10</v>
      </c>
      <c r="N490" s="1">
        <v>5396.4</v>
      </c>
      <c r="O490" s="1">
        <v>8742.17</v>
      </c>
      <c r="P490" s="1">
        <v>462</v>
      </c>
      <c r="Q490" s="1">
        <v>57771.77</v>
      </c>
      <c r="R490" s="1" t="s">
        <v>83</v>
      </c>
      <c r="S490" s="1" t="s">
        <v>34</v>
      </c>
      <c r="T490" s="1" t="s">
        <v>76</v>
      </c>
      <c r="U490" s="1" t="s">
        <v>77</v>
      </c>
      <c r="V490" s="1" t="s">
        <v>57</v>
      </c>
      <c r="W490" s="1">
        <v>10</v>
      </c>
      <c r="X490" s="1" t="s">
        <v>38</v>
      </c>
      <c r="Y490" s="1">
        <v>2</v>
      </c>
      <c r="Z490" s="1" t="s">
        <v>91</v>
      </c>
    </row>
    <row r="491" spans="1:26" x14ac:dyDescent="0.3">
      <c r="A491" s="1" t="s">
        <v>963</v>
      </c>
      <c r="B491" s="2">
        <v>45807</v>
      </c>
      <c r="C491" s="1" t="s">
        <v>203</v>
      </c>
      <c r="D491" s="1" t="s">
        <v>66</v>
      </c>
      <c r="E491" s="1" t="s">
        <v>43</v>
      </c>
      <c r="F491" s="1">
        <v>51</v>
      </c>
      <c r="G491" s="1" t="s">
        <v>99</v>
      </c>
      <c r="H491" s="1" t="s">
        <v>52</v>
      </c>
      <c r="I491" s="1" t="s">
        <v>99</v>
      </c>
      <c r="J491" s="1" t="s">
        <v>102</v>
      </c>
      <c r="K491" s="1">
        <v>4</v>
      </c>
      <c r="L491" s="1">
        <v>20757</v>
      </c>
      <c r="M491" s="1">
        <v>0</v>
      </c>
      <c r="N491" s="1">
        <v>0</v>
      </c>
      <c r="O491" s="1">
        <v>14945.04</v>
      </c>
      <c r="P491" s="1">
        <v>65</v>
      </c>
      <c r="Q491" s="1">
        <v>98038.04</v>
      </c>
      <c r="R491" s="1" t="s">
        <v>54</v>
      </c>
      <c r="S491" s="1" t="s">
        <v>34</v>
      </c>
      <c r="T491" s="1" t="s">
        <v>70</v>
      </c>
      <c r="U491" s="1" t="s">
        <v>56</v>
      </c>
      <c r="V491" s="1" t="s">
        <v>57</v>
      </c>
      <c r="W491" s="1">
        <v>6</v>
      </c>
      <c r="X491" s="1" t="s">
        <v>47</v>
      </c>
      <c r="Y491" s="1">
        <v>4</v>
      </c>
      <c r="Z491" s="1" t="s">
        <v>58</v>
      </c>
    </row>
    <row r="492" spans="1:26" x14ac:dyDescent="0.3">
      <c r="A492" s="1" t="s">
        <v>964</v>
      </c>
      <c r="B492" s="2">
        <v>45868</v>
      </c>
      <c r="C492" s="1" t="s">
        <v>965</v>
      </c>
      <c r="D492" s="1" t="s">
        <v>50</v>
      </c>
      <c r="E492" s="1" t="s">
        <v>43</v>
      </c>
      <c r="F492" s="1">
        <v>54</v>
      </c>
      <c r="G492" s="1" t="s">
        <v>134</v>
      </c>
      <c r="H492" s="1" t="s">
        <v>31</v>
      </c>
      <c r="I492" s="1" t="s">
        <v>134</v>
      </c>
      <c r="J492" s="1" t="s">
        <v>75</v>
      </c>
      <c r="K492" s="1">
        <v>2</v>
      </c>
      <c r="L492" s="1">
        <v>36202</v>
      </c>
      <c r="M492" s="1">
        <v>10</v>
      </c>
      <c r="N492" s="1">
        <v>7240.4</v>
      </c>
      <c r="O492" s="1">
        <v>11729.45</v>
      </c>
      <c r="P492" s="1">
        <v>49</v>
      </c>
      <c r="Q492" s="1">
        <v>76942.05</v>
      </c>
      <c r="R492" s="1" t="s">
        <v>54</v>
      </c>
      <c r="S492" s="1" t="s">
        <v>63</v>
      </c>
      <c r="T492" s="1" t="s">
        <v>103</v>
      </c>
      <c r="U492" s="1" t="s">
        <v>103</v>
      </c>
      <c r="V492" s="1" t="s">
        <v>57</v>
      </c>
      <c r="W492" s="1">
        <v>10</v>
      </c>
      <c r="X492" s="1" t="s">
        <v>47</v>
      </c>
      <c r="Y492" s="1">
        <v>3</v>
      </c>
      <c r="Z492" s="1" t="s">
        <v>58</v>
      </c>
    </row>
    <row r="493" spans="1:26" x14ac:dyDescent="0.3">
      <c r="A493" s="1" t="s">
        <v>966</v>
      </c>
      <c r="B493" s="2">
        <v>46089</v>
      </c>
      <c r="C493" s="1" t="s">
        <v>777</v>
      </c>
      <c r="D493" s="1" t="s">
        <v>80</v>
      </c>
      <c r="E493" s="1" t="s">
        <v>43</v>
      </c>
      <c r="F493" s="1">
        <v>55</v>
      </c>
      <c r="G493" s="1" t="s">
        <v>90</v>
      </c>
      <c r="H493" s="1" t="s">
        <v>31</v>
      </c>
      <c r="I493" s="1" t="s">
        <v>90</v>
      </c>
      <c r="J493" s="1" t="s">
        <v>62</v>
      </c>
      <c r="K493" s="1">
        <v>5</v>
      </c>
      <c r="L493" s="1">
        <v>8252</v>
      </c>
      <c r="M493" s="1">
        <v>20</v>
      </c>
      <c r="N493" s="1">
        <v>8252</v>
      </c>
      <c r="O493" s="1">
        <v>5941.44</v>
      </c>
      <c r="P493" s="1">
        <v>389</v>
      </c>
      <c r="Q493" s="1">
        <v>39338.44</v>
      </c>
      <c r="R493" s="1" t="s">
        <v>54</v>
      </c>
      <c r="S493" s="1" t="s">
        <v>34</v>
      </c>
      <c r="T493" s="1" t="s">
        <v>46</v>
      </c>
      <c r="U493" s="1" t="s">
        <v>36</v>
      </c>
      <c r="V493" s="1" t="s">
        <v>37</v>
      </c>
      <c r="W493" s="1">
        <v>5</v>
      </c>
      <c r="X493" s="1" t="s">
        <v>47</v>
      </c>
      <c r="Y493" s="1">
        <v>3</v>
      </c>
      <c r="Z493" s="1" t="s">
        <v>91</v>
      </c>
    </row>
    <row r="494" spans="1:26" x14ac:dyDescent="0.3">
      <c r="A494" s="1" t="s">
        <v>967</v>
      </c>
      <c r="B494" s="2">
        <v>45776</v>
      </c>
      <c r="C494" s="1" t="s">
        <v>203</v>
      </c>
      <c r="D494" s="1" t="s">
        <v>80</v>
      </c>
      <c r="E494" s="1" t="s">
        <v>29</v>
      </c>
      <c r="F494" s="1">
        <v>50</v>
      </c>
      <c r="G494" s="1" t="s">
        <v>67</v>
      </c>
      <c r="H494" s="1" t="s">
        <v>68</v>
      </c>
      <c r="I494" s="1" t="s">
        <v>67</v>
      </c>
      <c r="J494" s="1" t="s">
        <v>62</v>
      </c>
      <c r="K494" s="1">
        <v>1</v>
      </c>
      <c r="L494" s="1">
        <v>49467</v>
      </c>
      <c r="M494" s="1">
        <v>20</v>
      </c>
      <c r="N494" s="1">
        <v>9893.4</v>
      </c>
      <c r="O494" s="1">
        <v>7123.25</v>
      </c>
      <c r="P494" s="1">
        <v>217</v>
      </c>
      <c r="Q494" s="1">
        <v>46913.85</v>
      </c>
      <c r="R494" s="1" t="s">
        <v>54</v>
      </c>
      <c r="S494" s="1" t="s">
        <v>63</v>
      </c>
      <c r="T494" s="1" t="s">
        <v>84</v>
      </c>
      <c r="U494" s="1" t="s">
        <v>85</v>
      </c>
      <c r="V494" s="1" t="s">
        <v>86</v>
      </c>
      <c r="W494" s="1">
        <v>5</v>
      </c>
      <c r="X494" s="1" t="s">
        <v>38</v>
      </c>
      <c r="Y494" s="1">
        <v>3</v>
      </c>
      <c r="Z494" s="1" t="s">
        <v>58</v>
      </c>
    </row>
    <row r="495" spans="1:26" x14ac:dyDescent="0.3">
      <c r="A495" s="1" t="s">
        <v>968</v>
      </c>
      <c r="B495" s="2">
        <v>45941</v>
      </c>
      <c r="C495" s="1" t="s">
        <v>388</v>
      </c>
      <c r="D495" s="1" t="s">
        <v>42</v>
      </c>
      <c r="E495" s="1" t="s">
        <v>29</v>
      </c>
      <c r="F495" s="1">
        <v>55</v>
      </c>
      <c r="G495" s="1" t="s">
        <v>51</v>
      </c>
      <c r="H495" s="1" t="s">
        <v>52</v>
      </c>
      <c r="I495" s="1" t="s">
        <v>51</v>
      </c>
      <c r="J495" s="1" t="s">
        <v>102</v>
      </c>
      <c r="K495" s="1">
        <v>4</v>
      </c>
      <c r="L495" s="1">
        <v>21774</v>
      </c>
      <c r="M495" s="1">
        <v>20</v>
      </c>
      <c r="N495" s="1">
        <v>17419.2</v>
      </c>
      <c r="O495" s="1">
        <v>12541.82</v>
      </c>
      <c r="P495" s="1">
        <v>11</v>
      </c>
      <c r="Q495" s="1">
        <v>82229.62</v>
      </c>
      <c r="R495" s="1" t="s">
        <v>54</v>
      </c>
      <c r="S495" s="1" t="s">
        <v>63</v>
      </c>
      <c r="T495" s="1" t="s">
        <v>95</v>
      </c>
      <c r="U495" s="1" t="s">
        <v>96</v>
      </c>
      <c r="V495" s="1" t="s">
        <v>57</v>
      </c>
      <c r="W495" s="1">
        <v>5</v>
      </c>
      <c r="X495" s="1" t="s">
        <v>47</v>
      </c>
      <c r="Y495" s="1">
        <v>1</v>
      </c>
      <c r="Z495" s="1" t="s">
        <v>91</v>
      </c>
    </row>
    <row r="496" spans="1:26" x14ac:dyDescent="0.3">
      <c r="A496" s="1" t="s">
        <v>969</v>
      </c>
      <c r="B496" s="2">
        <v>45994</v>
      </c>
      <c r="C496" s="1" t="s">
        <v>283</v>
      </c>
      <c r="D496" s="1" t="s">
        <v>80</v>
      </c>
      <c r="E496" s="1" t="s">
        <v>43</v>
      </c>
      <c r="F496" s="1">
        <v>54</v>
      </c>
      <c r="G496" s="1" t="s">
        <v>74</v>
      </c>
      <c r="H496" s="1" t="s">
        <v>31</v>
      </c>
      <c r="I496" s="1" t="s">
        <v>74</v>
      </c>
      <c r="J496" s="1" t="s">
        <v>112</v>
      </c>
      <c r="K496" s="1">
        <v>4</v>
      </c>
      <c r="L496" s="1">
        <v>47507</v>
      </c>
      <c r="M496" s="1">
        <v>5</v>
      </c>
      <c r="N496" s="1">
        <v>9501.4</v>
      </c>
      <c r="O496" s="1">
        <v>32494.79</v>
      </c>
      <c r="P496" s="1">
        <v>181</v>
      </c>
      <c r="Q496" s="1">
        <v>213202.39</v>
      </c>
      <c r="R496" s="1" t="s">
        <v>33</v>
      </c>
      <c r="S496" s="1" t="s">
        <v>63</v>
      </c>
      <c r="T496" s="1" t="s">
        <v>95</v>
      </c>
      <c r="U496" s="1" t="s">
        <v>96</v>
      </c>
      <c r="V496" s="1" t="s">
        <v>57</v>
      </c>
      <c r="W496" s="1">
        <v>7</v>
      </c>
      <c r="X496" s="1" t="s">
        <v>47</v>
      </c>
      <c r="Y496" s="1">
        <v>2</v>
      </c>
      <c r="Z496" s="1" t="s">
        <v>91</v>
      </c>
    </row>
    <row r="497" spans="1:26" x14ac:dyDescent="0.3">
      <c r="A497" s="1" t="s">
        <v>970</v>
      </c>
      <c r="B497" s="2">
        <v>45961</v>
      </c>
      <c r="C497" s="1" t="s">
        <v>971</v>
      </c>
      <c r="D497" s="1" t="s">
        <v>73</v>
      </c>
      <c r="E497" s="1" t="s">
        <v>43</v>
      </c>
      <c r="F497" s="1">
        <v>29</v>
      </c>
      <c r="G497" s="1" t="s">
        <v>139</v>
      </c>
      <c r="H497" s="1" t="s">
        <v>31</v>
      </c>
      <c r="I497" s="1" t="s">
        <v>139</v>
      </c>
      <c r="J497" s="1" t="s">
        <v>112</v>
      </c>
      <c r="K497" s="1">
        <v>3</v>
      </c>
      <c r="L497" s="1">
        <v>36790</v>
      </c>
      <c r="M497" s="1">
        <v>10</v>
      </c>
      <c r="N497" s="1">
        <v>11037</v>
      </c>
      <c r="O497" s="1">
        <v>17879.939999999999</v>
      </c>
      <c r="P497" s="1">
        <v>0</v>
      </c>
      <c r="Q497" s="1">
        <v>117212.94</v>
      </c>
      <c r="R497" s="1" t="s">
        <v>33</v>
      </c>
      <c r="S497" s="1" t="s">
        <v>63</v>
      </c>
      <c r="T497" s="1" t="s">
        <v>95</v>
      </c>
      <c r="U497" s="1" t="s">
        <v>96</v>
      </c>
      <c r="V497" s="1" t="s">
        <v>57</v>
      </c>
      <c r="W497" s="1">
        <v>7</v>
      </c>
      <c r="X497" s="1" t="s">
        <v>38</v>
      </c>
      <c r="Y497" s="1">
        <v>1</v>
      </c>
      <c r="Z497" s="1" t="s">
        <v>91</v>
      </c>
    </row>
    <row r="498" spans="1:26" x14ac:dyDescent="0.3">
      <c r="A498" s="1" t="s">
        <v>972</v>
      </c>
      <c r="B498" s="2">
        <v>45831</v>
      </c>
      <c r="C498" s="1" t="s">
        <v>973</v>
      </c>
      <c r="D498" s="1" t="s">
        <v>66</v>
      </c>
      <c r="E498" s="1" t="s">
        <v>29</v>
      </c>
      <c r="F498" s="1">
        <v>22</v>
      </c>
      <c r="G498" s="1" t="s">
        <v>74</v>
      </c>
      <c r="H498" s="1" t="s">
        <v>31</v>
      </c>
      <c r="I498" s="1" t="s">
        <v>74</v>
      </c>
      <c r="J498" s="1" t="s">
        <v>62</v>
      </c>
      <c r="K498" s="1">
        <v>1</v>
      </c>
      <c r="L498" s="1">
        <v>29785</v>
      </c>
      <c r="M498" s="1">
        <v>20</v>
      </c>
      <c r="N498" s="1">
        <v>5957</v>
      </c>
      <c r="O498" s="1">
        <v>4289.04</v>
      </c>
      <c r="P498" s="1">
        <v>223</v>
      </c>
      <c r="Q498" s="1">
        <v>28340.04</v>
      </c>
      <c r="R498" s="1" t="s">
        <v>33</v>
      </c>
      <c r="S498" s="1" t="s">
        <v>63</v>
      </c>
      <c r="T498" s="1" t="s">
        <v>46</v>
      </c>
      <c r="U498" s="1" t="s">
        <v>36</v>
      </c>
      <c r="V498" s="1" t="s">
        <v>37</v>
      </c>
      <c r="W498" s="1">
        <v>1</v>
      </c>
      <c r="X498" s="1" t="s">
        <v>47</v>
      </c>
      <c r="Y498" s="1">
        <v>1</v>
      </c>
      <c r="Z498" s="1" t="s">
        <v>91</v>
      </c>
    </row>
    <row r="499" spans="1:26" x14ac:dyDescent="0.3">
      <c r="A499" s="1" t="s">
        <v>974</v>
      </c>
      <c r="B499" s="2">
        <v>46019</v>
      </c>
      <c r="C499" s="1" t="s">
        <v>975</v>
      </c>
      <c r="D499" s="1" t="s">
        <v>73</v>
      </c>
      <c r="E499" s="1" t="s">
        <v>29</v>
      </c>
      <c r="F499" s="1">
        <v>21</v>
      </c>
      <c r="G499" s="1" t="s">
        <v>94</v>
      </c>
      <c r="H499" s="1" t="s">
        <v>31</v>
      </c>
      <c r="I499" s="1" t="s">
        <v>94</v>
      </c>
      <c r="J499" s="1" t="s">
        <v>75</v>
      </c>
      <c r="K499" s="1">
        <v>3</v>
      </c>
      <c r="L499" s="1">
        <v>44354</v>
      </c>
      <c r="M499" s="1">
        <v>0</v>
      </c>
      <c r="N499" s="1">
        <v>0</v>
      </c>
      <c r="O499" s="1">
        <v>23951.16</v>
      </c>
      <c r="P499" s="1">
        <v>395</v>
      </c>
      <c r="Q499" s="1">
        <v>157408.16</v>
      </c>
      <c r="R499" s="1" t="s">
        <v>54</v>
      </c>
      <c r="S499" s="1" t="s">
        <v>34</v>
      </c>
      <c r="T499" s="1" t="s">
        <v>70</v>
      </c>
      <c r="U499" s="1" t="s">
        <v>56</v>
      </c>
      <c r="V499" s="1" t="s">
        <v>57</v>
      </c>
      <c r="W499" s="1">
        <v>4</v>
      </c>
      <c r="X499" s="1" t="s">
        <v>47</v>
      </c>
      <c r="Y499" s="1">
        <v>3</v>
      </c>
      <c r="Z499" s="1" t="s">
        <v>47</v>
      </c>
    </row>
    <row r="500" spans="1:26" x14ac:dyDescent="0.3">
      <c r="A500" s="1" t="s">
        <v>976</v>
      </c>
      <c r="B500" s="2">
        <v>45921</v>
      </c>
      <c r="C500" s="1" t="s">
        <v>977</v>
      </c>
      <c r="D500" s="1" t="s">
        <v>80</v>
      </c>
      <c r="E500" s="1" t="s">
        <v>29</v>
      </c>
      <c r="F500" s="1">
        <v>26</v>
      </c>
      <c r="G500" s="1" t="s">
        <v>67</v>
      </c>
      <c r="H500" s="1" t="s">
        <v>68</v>
      </c>
      <c r="I500" s="1" t="s">
        <v>67</v>
      </c>
      <c r="J500" s="1" t="s">
        <v>69</v>
      </c>
      <c r="K500" s="1">
        <v>4</v>
      </c>
      <c r="L500" s="1">
        <v>42490</v>
      </c>
      <c r="M500" s="1">
        <v>10</v>
      </c>
      <c r="N500" s="1">
        <v>16996</v>
      </c>
      <c r="O500" s="1">
        <v>27533.52</v>
      </c>
      <c r="P500" s="1">
        <v>135</v>
      </c>
      <c r="Q500" s="1">
        <v>180632.52</v>
      </c>
      <c r="R500" s="1" t="s">
        <v>54</v>
      </c>
      <c r="S500" s="1" t="s">
        <v>63</v>
      </c>
      <c r="T500" s="1" t="s">
        <v>103</v>
      </c>
      <c r="U500" s="1" t="s">
        <v>103</v>
      </c>
      <c r="V500" s="1" t="s">
        <v>57</v>
      </c>
      <c r="W500" s="1">
        <v>3</v>
      </c>
      <c r="X500" s="1" t="s">
        <v>38</v>
      </c>
      <c r="Y500" s="1">
        <v>3</v>
      </c>
      <c r="Z500" s="1" t="s">
        <v>91</v>
      </c>
    </row>
    <row r="501" spans="1:26" x14ac:dyDescent="0.3">
      <c r="A501" s="1" t="s">
        <v>978</v>
      </c>
      <c r="B501" s="2">
        <v>46014</v>
      </c>
      <c r="C501" s="1" t="s">
        <v>631</v>
      </c>
      <c r="D501" s="1" t="s">
        <v>111</v>
      </c>
      <c r="E501" s="1" t="s">
        <v>43</v>
      </c>
      <c r="F501" s="1">
        <v>28</v>
      </c>
      <c r="G501" s="1" t="s">
        <v>94</v>
      </c>
      <c r="H501" s="1" t="s">
        <v>31</v>
      </c>
      <c r="I501" s="1" t="s">
        <v>94</v>
      </c>
      <c r="J501" s="1" t="s">
        <v>150</v>
      </c>
      <c r="K501" s="1">
        <v>1</v>
      </c>
      <c r="L501" s="1">
        <v>7815</v>
      </c>
      <c r="M501" s="1">
        <v>0</v>
      </c>
      <c r="N501" s="1">
        <v>0</v>
      </c>
      <c r="O501" s="1">
        <v>1406.7</v>
      </c>
      <c r="P501" s="1">
        <v>306</v>
      </c>
      <c r="Q501" s="1">
        <v>9527.7000000000007</v>
      </c>
      <c r="R501" s="1" t="s">
        <v>45</v>
      </c>
      <c r="S501" s="1" t="s">
        <v>63</v>
      </c>
      <c r="T501" s="1" t="s">
        <v>103</v>
      </c>
      <c r="U501" s="1" t="s">
        <v>103</v>
      </c>
      <c r="V501" s="1" t="s">
        <v>57</v>
      </c>
      <c r="W501" s="1">
        <v>7</v>
      </c>
      <c r="X501" s="1" t="s">
        <v>47</v>
      </c>
      <c r="Y501" s="1">
        <v>1</v>
      </c>
      <c r="Z501" s="1" t="s">
        <v>39</v>
      </c>
    </row>
    <row r="502" spans="1:26" x14ac:dyDescent="0.3">
      <c r="A502" s="1" t="s">
        <v>979</v>
      </c>
      <c r="B502" s="2">
        <v>45949</v>
      </c>
      <c r="C502" s="1" t="s">
        <v>980</v>
      </c>
      <c r="D502" s="1" t="s">
        <v>108</v>
      </c>
      <c r="E502" s="1" t="s">
        <v>29</v>
      </c>
      <c r="F502" s="1">
        <v>47</v>
      </c>
      <c r="G502" s="1" t="s">
        <v>94</v>
      </c>
      <c r="H502" s="1" t="s">
        <v>31</v>
      </c>
      <c r="I502" s="1" t="s">
        <v>94</v>
      </c>
      <c r="J502" s="1" t="s">
        <v>112</v>
      </c>
      <c r="K502" s="1">
        <v>1</v>
      </c>
      <c r="L502" s="1">
        <v>36934</v>
      </c>
      <c r="M502" s="1">
        <v>20</v>
      </c>
      <c r="N502" s="1">
        <v>7386.8</v>
      </c>
      <c r="O502" s="1">
        <v>5318.5</v>
      </c>
      <c r="P502" s="1">
        <v>83</v>
      </c>
      <c r="Q502" s="1">
        <v>34948.699999999997</v>
      </c>
      <c r="R502" s="1" t="s">
        <v>54</v>
      </c>
      <c r="S502" s="1" t="s">
        <v>34</v>
      </c>
      <c r="T502" s="1" t="s">
        <v>46</v>
      </c>
      <c r="U502" s="1" t="s">
        <v>36</v>
      </c>
      <c r="V502" s="1" t="s">
        <v>37</v>
      </c>
      <c r="W502" s="1">
        <v>4</v>
      </c>
      <c r="X502" s="1" t="s">
        <v>38</v>
      </c>
      <c r="Y502" s="1">
        <v>3</v>
      </c>
      <c r="Z502" s="1" t="s">
        <v>47</v>
      </c>
    </row>
    <row r="503" spans="1:26" x14ac:dyDescent="0.3">
      <c r="A503" s="1" t="s">
        <v>981</v>
      </c>
      <c r="B503" s="2">
        <v>46005</v>
      </c>
      <c r="C503" s="1" t="s">
        <v>810</v>
      </c>
      <c r="D503" s="1" t="s">
        <v>66</v>
      </c>
      <c r="E503" s="1" t="s">
        <v>43</v>
      </c>
      <c r="F503" s="1">
        <v>25</v>
      </c>
      <c r="G503" s="1" t="s">
        <v>90</v>
      </c>
      <c r="H503" s="1" t="s">
        <v>31</v>
      </c>
      <c r="I503" s="1" t="s">
        <v>90</v>
      </c>
      <c r="J503" s="1" t="s">
        <v>32</v>
      </c>
      <c r="K503" s="1">
        <v>4</v>
      </c>
      <c r="L503" s="1">
        <v>22888</v>
      </c>
      <c r="M503" s="1">
        <v>0</v>
      </c>
      <c r="N503" s="1">
        <v>0</v>
      </c>
      <c r="O503" s="1">
        <v>16479.36</v>
      </c>
      <c r="P503" s="1">
        <v>377</v>
      </c>
      <c r="Q503" s="1">
        <v>108408.36</v>
      </c>
      <c r="R503" s="1" t="s">
        <v>83</v>
      </c>
      <c r="S503" s="1" t="s">
        <v>34</v>
      </c>
      <c r="T503" s="1" t="s">
        <v>70</v>
      </c>
      <c r="U503" s="1" t="s">
        <v>56</v>
      </c>
      <c r="V503" s="1" t="s">
        <v>57</v>
      </c>
      <c r="W503" s="1">
        <v>10</v>
      </c>
      <c r="X503" s="1" t="s">
        <v>38</v>
      </c>
      <c r="Y503" s="1">
        <v>1</v>
      </c>
      <c r="Z503" s="1" t="s">
        <v>39</v>
      </c>
    </row>
    <row r="504" spans="1:26" x14ac:dyDescent="0.3">
      <c r="A504" s="1" t="s">
        <v>982</v>
      </c>
      <c r="B504" s="2">
        <v>46008</v>
      </c>
      <c r="C504" s="1" t="s">
        <v>983</v>
      </c>
      <c r="D504" s="1" t="s">
        <v>28</v>
      </c>
      <c r="E504" s="1" t="s">
        <v>43</v>
      </c>
      <c r="F504" s="1">
        <v>27</v>
      </c>
      <c r="G504" s="1" t="s">
        <v>99</v>
      </c>
      <c r="H504" s="1" t="s">
        <v>52</v>
      </c>
      <c r="I504" s="1" t="s">
        <v>99</v>
      </c>
      <c r="J504" s="1" t="s">
        <v>62</v>
      </c>
      <c r="K504" s="1">
        <v>4</v>
      </c>
      <c r="L504" s="1">
        <v>36131</v>
      </c>
      <c r="M504" s="1">
        <v>0</v>
      </c>
      <c r="N504" s="1">
        <v>0</v>
      </c>
      <c r="O504" s="1">
        <v>26014.32</v>
      </c>
      <c r="P504" s="1">
        <v>402</v>
      </c>
      <c r="Q504" s="1">
        <v>170940.32</v>
      </c>
      <c r="R504" s="1" t="s">
        <v>45</v>
      </c>
      <c r="S504" s="1" t="s">
        <v>63</v>
      </c>
      <c r="T504" s="1" t="s">
        <v>70</v>
      </c>
      <c r="U504" s="1" t="s">
        <v>56</v>
      </c>
      <c r="V504" s="1" t="s">
        <v>57</v>
      </c>
      <c r="W504" s="1">
        <v>4</v>
      </c>
      <c r="X504" s="1" t="s">
        <v>38</v>
      </c>
      <c r="Y504" s="1">
        <v>4</v>
      </c>
      <c r="Z504" s="1" t="s">
        <v>58</v>
      </c>
    </row>
    <row r="505" spans="1:26" x14ac:dyDescent="0.3">
      <c r="A505" s="1" t="s">
        <v>984</v>
      </c>
      <c r="B505" s="2">
        <v>45948</v>
      </c>
      <c r="C505" s="1" t="s">
        <v>985</v>
      </c>
      <c r="D505" s="1" t="s">
        <v>66</v>
      </c>
      <c r="E505" s="1" t="s">
        <v>43</v>
      </c>
      <c r="F505" s="1">
        <v>43</v>
      </c>
      <c r="G505" s="1" t="s">
        <v>44</v>
      </c>
      <c r="H505" s="1" t="s">
        <v>31</v>
      </c>
      <c r="I505" s="1" t="s">
        <v>44</v>
      </c>
      <c r="J505" s="1" t="s">
        <v>53</v>
      </c>
      <c r="K505" s="1">
        <v>2</v>
      </c>
      <c r="L505" s="1">
        <v>1030</v>
      </c>
      <c r="M505" s="1">
        <v>0</v>
      </c>
      <c r="N505" s="1">
        <v>0</v>
      </c>
      <c r="O505" s="1">
        <v>370.8</v>
      </c>
      <c r="P505" s="1">
        <v>174</v>
      </c>
      <c r="Q505" s="1">
        <v>2604.8000000000002</v>
      </c>
      <c r="R505" s="1" t="s">
        <v>45</v>
      </c>
      <c r="S505" s="1" t="s">
        <v>34</v>
      </c>
      <c r="T505" s="1" t="s">
        <v>35</v>
      </c>
      <c r="U505" s="1" t="s">
        <v>36</v>
      </c>
      <c r="V505" s="1" t="s">
        <v>37</v>
      </c>
      <c r="W505" s="1">
        <v>7</v>
      </c>
      <c r="X505" s="1" t="s">
        <v>47</v>
      </c>
      <c r="Y505" s="1">
        <v>2</v>
      </c>
      <c r="Z505" s="1" t="s">
        <v>91</v>
      </c>
    </row>
    <row r="506" spans="1:26" x14ac:dyDescent="0.3">
      <c r="A506" s="1" t="s">
        <v>986</v>
      </c>
      <c r="B506" s="2">
        <v>45963</v>
      </c>
      <c r="C506" s="1" t="s">
        <v>647</v>
      </c>
      <c r="D506" s="1" t="s">
        <v>73</v>
      </c>
      <c r="E506" s="1" t="s">
        <v>29</v>
      </c>
      <c r="F506" s="1">
        <v>55</v>
      </c>
      <c r="G506" s="1" t="s">
        <v>67</v>
      </c>
      <c r="H506" s="1" t="s">
        <v>68</v>
      </c>
      <c r="I506" s="1" t="s">
        <v>67</v>
      </c>
      <c r="J506" s="1" t="s">
        <v>32</v>
      </c>
      <c r="K506" s="1">
        <v>3</v>
      </c>
      <c r="L506" s="1">
        <v>22483</v>
      </c>
      <c r="M506" s="1">
        <v>15</v>
      </c>
      <c r="N506" s="1">
        <v>10117.35</v>
      </c>
      <c r="O506" s="1">
        <v>10319.700000000001</v>
      </c>
      <c r="P506" s="1">
        <v>275</v>
      </c>
      <c r="Q506" s="1">
        <v>67926.350000000006</v>
      </c>
      <c r="R506" s="1" t="s">
        <v>54</v>
      </c>
      <c r="S506" s="1" t="s">
        <v>34</v>
      </c>
      <c r="T506" s="1" t="s">
        <v>46</v>
      </c>
      <c r="U506" s="1" t="s">
        <v>36</v>
      </c>
      <c r="V506" s="1" t="s">
        <v>37</v>
      </c>
      <c r="W506" s="1">
        <v>7</v>
      </c>
      <c r="X506" s="1" t="s">
        <v>38</v>
      </c>
      <c r="Y506" s="1">
        <v>5</v>
      </c>
      <c r="Z506" s="1" t="s">
        <v>58</v>
      </c>
    </row>
    <row r="507" spans="1:26" x14ac:dyDescent="0.3">
      <c r="A507" s="1" t="s">
        <v>987</v>
      </c>
      <c r="B507" s="2">
        <v>45877</v>
      </c>
      <c r="C507" s="1" t="s">
        <v>635</v>
      </c>
      <c r="D507" s="1" t="s">
        <v>28</v>
      </c>
      <c r="E507" s="1" t="s">
        <v>43</v>
      </c>
      <c r="F507" s="1">
        <v>26</v>
      </c>
      <c r="G507" s="1" t="s">
        <v>90</v>
      </c>
      <c r="H507" s="1" t="s">
        <v>31</v>
      </c>
      <c r="I507" s="1" t="s">
        <v>90</v>
      </c>
      <c r="J507" s="1" t="s">
        <v>53</v>
      </c>
      <c r="K507" s="1">
        <v>4</v>
      </c>
      <c r="L507" s="1">
        <v>7865</v>
      </c>
      <c r="M507" s="1">
        <v>0</v>
      </c>
      <c r="N507" s="1">
        <v>0</v>
      </c>
      <c r="O507" s="1">
        <v>5662.8</v>
      </c>
      <c r="P507" s="1">
        <v>311</v>
      </c>
      <c r="Q507" s="1">
        <v>37433.800000000003</v>
      </c>
      <c r="R507" s="1" t="s">
        <v>33</v>
      </c>
      <c r="S507" s="1" t="s">
        <v>34</v>
      </c>
      <c r="T507" s="1" t="s">
        <v>103</v>
      </c>
      <c r="U507" s="1" t="s">
        <v>103</v>
      </c>
      <c r="V507" s="1" t="s">
        <v>57</v>
      </c>
      <c r="W507" s="1">
        <v>8</v>
      </c>
      <c r="X507" s="1" t="s">
        <v>38</v>
      </c>
      <c r="Y507" s="1">
        <v>3</v>
      </c>
      <c r="Z507" s="1" t="s">
        <v>58</v>
      </c>
    </row>
    <row r="508" spans="1:26" x14ac:dyDescent="0.3">
      <c r="A508" s="1" t="s">
        <v>988</v>
      </c>
      <c r="B508" s="2">
        <v>45980</v>
      </c>
      <c r="C508" s="1" t="s">
        <v>989</v>
      </c>
      <c r="D508" s="1" t="s">
        <v>66</v>
      </c>
      <c r="E508" s="1" t="s">
        <v>29</v>
      </c>
      <c r="F508" s="1">
        <v>27</v>
      </c>
      <c r="G508" s="1" t="s">
        <v>99</v>
      </c>
      <c r="H508" s="1" t="s">
        <v>52</v>
      </c>
      <c r="I508" s="1" t="s">
        <v>99</v>
      </c>
      <c r="J508" s="1" t="s">
        <v>102</v>
      </c>
      <c r="K508" s="1">
        <v>5</v>
      </c>
      <c r="L508" s="1">
        <v>20520</v>
      </c>
      <c r="M508" s="1">
        <v>20</v>
      </c>
      <c r="N508" s="1">
        <v>20520</v>
      </c>
      <c r="O508" s="1">
        <v>14774.4</v>
      </c>
      <c r="P508" s="1">
        <v>70</v>
      </c>
      <c r="Q508" s="1">
        <v>96924.4</v>
      </c>
      <c r="R508" s="1" t="s">
        <v>33</v>
      </c>
      <c r="S508" s="1" t="s">
        <v>63</v>
      </c>
      <c r="T508" s="1" t="s">
        <v>95</v>
      </c>
      <c r="U508" s="1" t="s">
        <v>96</v>
      </c>
      <c r="V508" s="1" t="s">
        <v>57</v>
      </c>
      <c r="W508" s="1">
        <v>10</v>
      </c>
      <c r="X508" s="1" t="s">
        <v>38</v>
      </c>
      <c r="Y508" s="1">
        <v>5</v>
      </c>
      <c r="Z508" s="1" t="s">
        <v>91</v>
      </c>
    </row>
    <row r="509" spans="1:26" x14ac:dyDescent="0.3">
      <c r="A509" s="1" t="s">
        <v>990</v>
      </c>
      <c r="B509" s="2">
        <v>45770</v>
      </c>
      <c r="C509" s="1" t="s">
        <v>293</v>
      </c>
      <c r="D509" s="1" t="s">
        <v>42</v>
      </c>
      <c r="E509" s="1" t="s">
        <v>43</v>
      </c>
      <c r="F509" s="1">
        <v>32</v>
      </c>
      <c r="G509" s="1" t="s">
        <v>134</v>
      </c>
      <c r="H509" s="1" t="s">
        <v>31</v>
      </c>
      <c r="I509" s="1" t="s">
        <v>134</v>
      </c>
      <c r="J509" s="1" t="s">
        <v>69</v>
      </c>
      <c r="K509" s="1">
        <v>3</v>
      </c>
      <c r="L509" s="1">
        <v>31680</v>
      </c>
      <c r="M509" s="1">
        <v>0</v>
      </c>
      <c r="N509" s="1">
        <v>0</v>
      </c>
      <c r="O509" s="1">
        <v>17107.2</v>
      </c>
      <c r="P509" s="1">
        <v>218</v>
      </c>
      <c r="Q509" s="1">
        <v>112365.2</v>
      </c>
      <c r="R509" s="1" t="s">
        <v>83</v>
      </c>
      <c r="S509" s="1" t="s">
        <v>63</v>
      </c>
      <c r="T509" s="1" t="s">
        <v>55</v>
      </c>
      <c r="U509" s="1" t="s">
        <v>56</v>
      </c>
      <c r="V509" s="1" t="s">
        <v>57</v>
      </c>
      <c r="W509" s="1">
        <v>7</v>
      </c>
      <c r="X509" s="1" t="s">
        <v>38</v>
      </c>
      <c r="Y509" s="1">
        <v>5</v>
      </c>
      <c r="Z509" s="1" t="s">
        <v>47</v>
      </c>
    </row>
    <row r="510" spans="1:26" x14ac:dyDescent="0.3">
      <c r="A510" s="1" t="s">
        <v>991</v>
      </c>
      <c r="B510" s="2">
        <v>45876</v>
      </c>
      <c r="C510" s="1" t="s">
        <v>992</v>
      </c>
      <c r="D510" s="1" t="s">
        <v>61</v>
      </c>
      <c r="E510" s="1" t="s">
        <v>29</v>
      </c>
      <c r="F510" s="1">
        <v>56</v>
      </c>
      <c r="G510" s="1" t="s">
        <v>74</v>
      </c>
      <c r="H510" s="1" t="s">
        <v>31</v>
      </c>
      <c r="I510" s="1" t="s">
        <v>74</v>
      </c>
      <c r="J510" s="1" t="s">
        <v>53</v>
      </c>
      <c r="K510" s="1">
        <v>5</v>
      </c>
      <c r="L510" s="1">
        <v>9895</v>
      </c>
      <c r="M510" s="1">
        <v>20</v>
      </c>
      <c r="N510" s="1">
        <v>9895</v>
      </c>
      <c r="O510" s="1">
        <v>7124.4</v>
      </c>
      <c r="P510" s="1">
        <v>285</v>
      </c>
      <c r="Q510" s="1">
        <v>46989.4</v>
      </c>
      <c r="R510" s="1" t="s">
        <v>45</v>
      </c>
      <c r="S510" s="1" t="s">
        <v>63</v>
      </c>
      <c r="T510" s="1" t="s">
        <v>55</v>
      </c>
      <c r="U510" s="1" t="s">
        <v>56</v>
      </c>
      <c r="V510" s="1" t="s">
        <v>57</v>
      </c>
      <c r="W510" s="1">
        <v>10</v>
      </c>
      <c r="X510" s="1" t="s">
        <v>38</v>
      </c>
      <c r="Y510" s="1">
        <v>3</v>
      </c>
      <c r="Z510" s="1" t="s">
        <v>58</v>
      </c>
    </row>
    <row r="511" spans="1:26" x14ac:dyDescent="0.3">
      <c r="A511" s="1" t="s">
        <v>993</v>
      </c>
      <c r="B511" s="2">
        <v>46106</v>
      </c>
      <c r="C511" s="1" t="s">
        <v>623</v>
      </c>
      <c r="D511" s="1" t="s">
        <v>89</v>
      </c>
      <c r="E511" s="1" t="s">
        <v>29</v>
      </c>
      <c r="F511" s="1">
        <v>48</v>
      </c>
      <c r="G511" s="1" t="s">
        <v>30</v>
      </c>
      <c r="H511" s="1" t="s">
        <v>31</v>
      </c>
      <c r="I511" s="1" t="s">
        <v>30</v>
      </c>
      <c r="J511" s="1" t="s">
        <v>201</v>
      </c>
      <c r="K511" s="1">
        <v>4</v>
      </c>
      <c r="L511" s="1">
        <v>11370</v>
      </c>
      <c r="M511" s="1">
        <v>10</v>
      </c>
      <c r="N511" s="1">
        <v>4548</v>
      </c>
      <c r="O511" s="1">
        <v>7367.76</v>
      </c>
      <c r="P511" s="1">
        <v>129</v>
      </c>
      <c r="Q511" s="1">
        <v>48428.76</v>
      </c>
      <c r="R511" s="1" t="s">
        <v>83</v>
      </c>
      <c r="S511" s="1" t="s">
        <v>63</v>
      </c>
      <c r="T511" s="1" t="s">
        <v>46</v>
      </c>
      <c r="U511" s="1" t="s">
        <v>36</v>
      </c>
      <c r="V511" s="1" t="s">
        <v>37</v>
      </c>
      <c r="W511" s="1">
        <v>4</v>
      </c>
      <c r="X511" s="1" t="s">
        <v>47</v>
      </c>
      <c r="Y511" s="1">
        <v>4</v>
      </c>
      <c r="Z511" s="1" t="s">
        <v>39</v>
      </c>
    </row>
    <row r="512" spans="1:26" x14ac:dyDescent="0.3">
      <c r="A512" s="1" t="s">
        <v>994</v>
      </c>
      <c r="B512" s="2">
        <v>46025</v>
      </c>
      <c r="C512" s="1" t="s">
        <v>995</v>
      </c>
      <c r="D512" s="1" t="s">
        <v>42</v>
      </c>
      <c r="E512" s="1" t="s">
        <v>43</v>
      </c>
      <c r="F512" s="1">
        <v>51</v>
      </c>
      <c r="G512" s="1" t="s">
        <v>99</v>
      </c>
      <c r="H512" s="1" t="s">
        <v>52</v>
      </c>
      <c r="I512" s="1" t="s">
        <v>99</v>
      </c>
      <c r="J512" s="1" t="s">
        <v>150</v>
      </c>
      <c r="K512" s="1">
        <v>1</v>
      </c>
      <c r="L512" s="1">
        <v>47284</v>
      </c>
      <c r="M512" s="1">
        <v>15</v>
      </c>
      <c r="N512" s="1">
        <v>7092.6</v>
      </c>
      <c r="O512" s="1">
        <v>7234.45</v>
      </c>
      <c r="P512" s="1">
        <v>432</v>
      </c>
      <c r="Q512" s="1">
        <v>47857.85</v>
      </c>
      <c r="R512" s="1" t="s">
        <v>33</v>
      </c>
      <c r="S512" s="1" t="s">
        <v>34</v>
      </c>
      <c r="T512" s="1" t="s">
        <v>76</v>
      </c>
      <c r="U512" s="1" t="s">
        <v>77</v>
      </c>
      <c r="V512" s="1" t="s">
        <v>57</v>
      </c>
      <c r="W512" s="1">
        <v>9</v>
      </c>
      <c r="X512" s="1" t="s">
        <v>38</v>
      </c>
      <c r="Y512" s="1">
        <v>4</v>
      </c>
      <c r="Z512" s="1" t="s">
        <v>91</v>
      </c>
    </row>
    <row r="513" spans="1:26" x14ac:dyDescent="0.3">
      <c r="A513" s="1" t="s">
        <v>996</v>
      </c>
      <c r="B513" s="2">
        <v>45941</v>
      </c>
      <c r="C513" s="1" t="s">
        <v>997</v>
      </c>
      <c r="D513" s="1" t="s">
        <v>111</v>
      </c>
      <c r="E513" s="1" t="s">
        <v>29</v>
      </c>
      <c r="F513" s="1">
        <v>49</v>
      </c>
      <c r="G513" s="1" t="s">
        <v>94</v>
      </c>
      <c r="H513" s="1" t="s">
        <v>31</v>
      </c>
      <c r="I513" s="1" t="s">
        <v>94</v>
      </c>
      <c r="J513" s="1" t="s">
        <v>62</v>
      </c>
      <c r="K513" s="1">
        <v>5</v>
      </c>
      <c r="L513" s="1">
        <v>15893</v>
      </c>
      <c r="M513" s="1">
        <v>15</v>
      </c>
      <c r="N513" s="1">
        <v>11919.75</v>
      </c>
      <c r="O513" s="1">
        <v>12158.15</v>
      </c>
      <c r="P513" s="1">
        <v>282</v>
      </c>
      <c r="Q513" s="1">
        <v>79985.399999999994</v>
      </c>
      <c r="R513" s="1" t="s">
        <v>33</v>
      </c>
      <c r="S513" s="1" t="s">
        <v>34</v>
      </c>
      <c r="T513" s="1" t="s">
        <v>84</v>
      </c>
      <c r="U513" s="1" t="s">
        <v>85</v>
      </c>
      <c r="V513" s="1" t="s">
        <v>86</v>
      </c>
      <c r="W513" s="1">
        <v>9</v>
      </c>
      <c r="X513" s="1" t="s">
        <v>47</v>
      </c>
      <c r="Y513" s="1">
        <v>4</v>
      </c>
      <c r="Z513" s="1" t="s">
        <v>91</v>
      </c>
    </row>
    <row r="514" spans="1:26" x14ac:dyDescent="0.3">
      <c r="A514" s="1" t="s">
        <v>998</v>
      </c>
      <c r="B514" s="2">
        <v>45939</v>
      </c>
      <c r="C514" s="1" t="s">
        <v>999</v>
      </c>
      <c r="D514" s="1" t="s">
        <v>28</v>
      </c>
      <c r="E514" s="1" t="s">
        <v>43</v>
      </c>
      <c r="F514" s="1">
        <v>24</v>
      </c>
      <c r="G514" s="1" t="s">
        <v>74</v>
      </c>
      <c r="H514" s="1" t="s">
        <v>31</v>
      </c>
      <c r="I514" s="1" t="s">
        <v>74</v>
      </c>
      <c r="J514" s="1" t="s">
        <v>112</v>
      </c>
      <c r="K514" s="1">
        <v>5</v>
      </c>
      <c r="L514" s="1">
        <v>27748</v>
      </c>
      <c r="M514" s="1">
        <v>10</v>
      </c>
      <c r="N514" s="1">
        <v>13874</v>
      </c>
      <c r="O514" s="1">
        <v>22475.88</v>
      </c>
      <c r="P514" s="1">
        <v>237</v>
      </c>
      <c r="Q514" s="1">
        <v>147578.88</v>
      </c>
      <c r="R514" s="1" t="s">
        <v>33</v>
      </c>
      <c r="S514" s="1" t="s">
        <v>34</v>
      </c>
      <c r="T514" s="1" t="s">
        <v>76</v>
      </c>
      <c r="U514" s="1" t="s">
        <v>77</v>
      </c>
      <c r="V514" s="1" t="s">
        <v>57</v>
      </c>
      <c r="W514" s="1">
        <v>9</v>
      </c>
      <c r="X514" s="1" t="s">
        <v>47</v>
      </c>
      <c r="Y514" s="1">
        <v>2</v>
      </c>
      <c r="Z514" s="1" t="s">
        <v>91</v>
      </c>
    </row>
    <row r="515" spans="1:26" x14ac:dyDescent="0.3">
      <c r="A515" s="1" t="s">
        <v>1000</v>
      </c>
      <c r="B515" s="2">
        <v>46082</v>
      </c>
      <c r="C515" s="1" t="s">
        <v>1001</v>
      </c>
      <c r="D515" s="1" t="s">
        <v>89</v>
      </c>
      <c r="E515" s="1" t="s">
        <v>43</v>
      </c>
      <c r="F515" s="1">
        <v>30</v>
      </c>
      <c r="G515" s="1" t="s">
        <v>67</v>
      </c>
      <c r="H515" s="1" t="s">
        <v>68</v>
      </c>
      <c r="I515" s="1" t="s">
        <v>67</v>
      </c>
      <c r="J515" s="1" t="s">
        <v>112</v>
      </c>
      <c r="K515" s="1">
        <v>1</v>
      </c>
      <c r="L515" s="1">
        <v>48180</v>
      </c>
      <c r="M515" s="1">
        <v>0</v>
      </c>
      <c r="N515" s="1">
        <v>0</v>
      </c>
      <c r="O515" s="1">
        <v>8672.4</v>
      </c>
      <c r="P515" s="1">
        <v>48</v>
      </c>
      <c r="Q515" s="1">
        <v>56900.4</v>
      </c>
      <c r="R515" s="1" t="s">
        <v>33</v>
      </c>
      <c r="S515" s="1" t="s">
        <v>63</v>
      </c>
      <c r="T515" s="1" t="s">
        <v>46</v>
      </c>
      <c r="U515" s="1" t="s">
        <v>36</v>
      </c>
      <c r="V515" s="1" t="s">
        <v>37</v>
      </c>
      <c r="W515" s="1">
        <v>7</v>
      </c>
      <c r="X515" s="1" t="s">
        <v>38</v>
      </c>
      <c r="Y515" s="1">
        <v>3</v>
      </c>
      <c r="Z515" s="1" t="s">
        <v>39</v>
      </c>
    </row>
    <row r="516" spans="1:26" x14ac:dyDescent="0.3">
      <c r="A516" s="1" t="s">
        <v>1002</v>
      </c>
      <c r="B516" s="2">
        <v>46016</v>
      </c>
      <c r="C516" s="1" t="s">
        <v>1003</v>
      </c>
      <c r="D516" s="1" t="s">
        <v>73</v>
      </c>
      <c r="E516" s="1" t="s">
        <v>29</v>
      </c>
      <c r="F516" s="1">
        <v>49</v>
      </c>
      <c r="G516" s="1" t="s">
        <v>99</v>
      </c>
      <c r="H516" s="1" t="s">
        <v>52</v>
      </c>
      <c r="I516" s="1" t="s">
        <v>99</v>
      </c>
      <c r="J516" s="1" t="s">
        <v>201</v>
      </c>
      <c r="K516" s="1">
        <v>3</v>
      </c>
      <c r="L516" s="1">
        <v>13292</v>
      </c>
      <c r="M516" s="1">
        <v>15</v>
      </c>
      <c r="N516" s="1">
        <v>5981.4</v>
      </c>
      <c r="O516" s="1">
        <v>6101.03</v>
      </c>
      <c r="P516" s="1">
        <v>233</v>
      </c>
      <c r="Q516" s="1">
        <v>40228.629999999997</v>
      </c>
      <c r="R516" s="1" t="s">
        <v>83</v>
      </c>
      <c r="S516" s="1" t="s">
        <v>34</v>
      </c>
      <c r="T516" s="1" t="s">
        <v>70</v>
      </c>
      <c r="U516" s="1" t="s">
        <v>56</v>
      </c>
      <c r="V516" s="1" t="s">
        <v>57</v>
      </c>
      <c r="W516" s="1">
        <v>1</v>
      </c>
      <c r="X516" s="1" t="s">
        <v>38</v>
      </c>
      <c r="Y516" s="1">
        <v>4</v>
      </c>
      <c r="Z516" s="1" t="s">
        <v>58</v>
      </c>
    </row>
    <row r="517" spans="1:26" x14ac:dyDescent="0.3">
      <c r="A517" s="1" t="s">
        <v>1004</v>
      </c>
      <c r="B517" s="2">
        <v>46120</v>
      </c>
      <c r="C517" s="1" t="s">
        <v>1005</v>
      </c>
      <c r="D517" s="1" t="s">
        <v>66</v>
      </c>
      <c r="E517" s="1" t="s">
        <v>29</v>
      </c>
      <c r="F517" s="1">
        <v>19</v>
      </c>
      <c r="G517" s="1" t="s">
        <v>134</v>
      </c>
      <c r="H517" s="1" t="s">
        <v>31</v>
      </c>
      <c r="I517" s="1" t="s">
        <v>134</v>
      </c>
      <c r="J517" s="1" t="s">
        <v>201</v>
      </c>
      <c r="K517" s="1">
        <v>4</v>
      </c>
      <c r="L517" s="1">
        <v>48469</v>
      </c>
      <c r="M517" s="1">
        <v>20</v>
      </c>
      <c r="N517" s="1">
        <v>38775.199999999997</v>
      </c>
      <c r="O517" s="1">
        <v>27918.14</v>
      </c>
      <c r="P517" s="1">
        <v>368</v>
      </c>
      <c r="Q517" s="1">
        <v>183386.94</v>
      </c>
      <c r="R517" s="1" t="s">
        <v>45</v>
      </c>
      <c r="S517" s="1" t="s">
        <v>63</v>
      </c>
      <c r="T517" s="1" t="s">
        <v>35</v>
      </c>
      <c r="U517" s="1" t="s">
        <v>36</v>
      </c>
      <c r="V517" s="1" t="s">
        <v>37</v>
      </c>
      <c r="W517" s="1">
        <v>6</v>
      </c>
      <c r="X517" s="1" t="s">
        <v>38</v>
      </c>
      <c r="Y517" s="1">
        <v>2</v>
      </c>
      <c r="Z517" s="1" t="s">
        <v>91</v>
      </c>
    </row>
    <row r="518" spans="1:26" x14ac:dyDescent="0.3">
      <c r="A518" s="1" t="s">
        <v>1006</v>
      </c>
      <c r="B518" s="2">
        <v>45990</v>
      </c>
      <c r="C518" s="1" t="s">
        <v>1007</v>
      </c>
      <c r="D518" s="1" t="s">
        <v>111</v>
      </c>
      <c r="E518" s="1" t="s">
        <v>43</v>
      </c>
      <c r="F518" s="1">
        <v>53</v>
      </c>
      <c r="G518" s="1" t="s">
        <v>139</v>
      </c>
      <c r="H518" s="1" t="s">
        <v>31</v>
      </c>
      <c r="I518" s="1" t="s">
        <v>139</v>
      </c>
      <c r="J518" s="1" t="s">
        <v>75</v>
      </c>
      <c r="K518" s="1">
        <v>5</v>
      </c>
      <c r="L518" s="1">
        <v>31571</v>
      </c>
      <c r="M518" s="1">
        <v>5</v>
      </c>
      <c r="N518" s="1">
        <v>7892.75</v>
      </c>
      <c r="O518" s="1">
        <v>26993.200000000001</v>
      </c>
      <c r="P518" s="1">
        <v>388</v>
      </c>
      <c r="Q518" s="1">
        <v>177343.45</v>
      </c>
      <c r="R518" s="1" t="s">
        <v>54</v>
      </c>
      <c r="S518" s="1" t="s">
        <v>63</v>
      </c>
      <c r="T518" s="1" t="s">
        <v>103</v>
      </c>
      <c r="U518" s="1" t="s">
        <v>103</v>
      </c>
      <c r="V518" s="1" t="s">
        <v>57</v>
      </c>
      <c r="W518" s="1">
        <v>2</v>
      </c>
      <c r="X518" s="1" t="s">
        <v>38</v>
      </c>
      <c r="Y518" s="1">
        <v>2</v>
      </c>
      <c r="Z518" s="1" t="s">
        <v>47</v>
      </c>
    </row>
    <row r="519" spans="1:26" x14ac:dyDescent="0.3">
      <c r="A519" s="1" t="s">
        <v>1008</v>
      </c>
      <c r="B519" s="2">
        <v>46044</v>
      </c>
      <c r="C519" s="1" t="s">
        <v>1009</v>
      </c>
      <c r="D519" s="1" t="s">
        <v>111</v>
      </c>
      <c r="E519" s="1" t="s">
        <v>43</v>
      </c>
      <c r="F519" s="1">
        <v>23</v>
      </c>
      <c r="G519" s="1" t="s">
        <v>51</v>
      </c>
      <c r="H519" s="1" t="s">
        <v>52</v>
      </c>
      <c r="I519" s="1" t="s">
        <v>51</v>
      </c>
      <c r="J519" s="1" t="s">
        <v>62</v>
      </c>
      <c r="K519" s="1">
        <v>3</v>
      </c>
      <c r="L519" s="1">
        <v>48754</v>
      </c>
      <c r="M519" s="1">
        <v>10</v>
      </c>
      <c r="N519" s="1">
        <v>14626.2</v>
      </c>
      <c r="O519" s="1">
        <v>23694.44</v>
      </c>
      <c r="P519" s="1">
        <v>56</v>
      </c>
      <c r="Q519" s="1">
        <v>155386.23999999999</v>
      </c>
      <c r="R519" s="1" t="s">
        <v>83</v>
      </c>
      <c r="S519" s="1" t="s">
        <v>63</v>
      </c>
      <c r="T519" s="1" t="s">
        <v>103</v>
      </c>
      <c r="U519" s="1" t="s">
        <v>103</v>
      </c>
      <c r="V519" s="1" t="s">
        <v>57</v>
      </c>
      <c r="W519" s="1">
        <v>4</v>
      </c>
      <c r="X519" s="1" t="s">
        <v>47</v>
      </c>
      <c r="Y519" s="1">
        <v>2</v>
      </c>
      <c r="Z519" s="1" t="s">
        <v>39</v>
      </c>
    </row>
    <row r="520" spans="1:26" x14ac:dyDescent="0.3">
      <c r="A520" s="1" t="s">
        <v>1010</v>
      </c>
      <c r="B520" s="2">
        <v>45761</v>
      </c>
      <c r="C520" s="1" t="s">
        <v>515</v>
      </c>
      <c r="D520" s="1" t="s">
        <v>50</v>
      </c>
      <c r="E520" s="1" t="s">
        <v>43</v>
      </c>
      <c r="F520" s="1">
        <v>59</v>
      </c>
      <c r="G520" s="1" t="s">
        <v>99</v>
      </c>
      <c r="H520" s="1" t="s">
        <v>52</v>
      </c>
      <c r="I520" s="1" t="s">
        <v>99</v>
      </c>
      <c r="J520" s="1" t="s">
        <v>125</v>
      </c>
      <c r="K520" s="1">
        <v>5</v>
      </c>
      <c r="L520" s="1">
        <v>49241</v>
      </c>
      <c r="M520" s="1">
        <v>20</v>
      </c>
      <c r="N520" s="1">
        <v>49241</v>
      </c>
      <c r="O520" s="1">
        <v>35453.519999999997</v>
      </c>
      <c r="P520" s="1">
        <v>323</v>
      </c>
      <c r="Q520" s="1">
        <v>232740.52</v>
      </c>
      <c r="R520" s="1" t="s">
        <v>45</v>
      </c>
      <c r="S520" s="1" t="s">
        <v>63</v>
      </c>
      <c r="T520" s="1" t="s">
        <v>35</v>
      </c>
      <c r="U520" s="1" t="s">
        <v>36</v>
      </c>
      <c r="V520" s="1" t="s">
        <v>37</v>
      </c>
      <c r="W520" s="1">
        <v>9</v>
      </c>
      <c r="X520" s="1" t="s">
        <v>47</v>
      </c>
      <c r="Y520" s="1">
        <v>3</v>
      </c>
      <c r="Z520" s="1" t="s">
        <v>58</v>
      </c>
    </row>
    <row r="521" spans="1:26" x14ac:dyDescent="0.3">
      <c r="A521" s="1" t="s">
        <v>1011</v>
      </c>
      <c r="B521" s="2">
        <v>45802</v>
      </c>
      <c r="C521" s="1" t="s">
        <v>359</v>
      </c>
      <c r="D521" s="1" t="s">
        <v>80</v>
      </c>
      <c r="E521" s="1" t="s">
        <v>43</v>
      </c>
      <c r="F521" s="1">
        <v>52</v>
      </c>
      <c r="G521" s="1" t="s">
        <v>134</v>
      </c>
      <c r="H521" s="1" t="s">
        <v>31</v>
      </c>
      <c r="I521" s="1" t="s">
        <v>134</v>
      </c>
      <c r="J521" s="1" t="s">
        <v>75</v>
      </c>
      <c r="K521" s="1">
        <v>2</v>
      </c>
      <c r="L521" s="1">
        <v>17576</v>
      </c>
      <c r="M521" s="1">
        <v>10</v>
      </c>
      <c r="N521" s="1">
        <v>3515.2</v>
      </c>
      <c r="O521" s="1">
        <v>5694.62</v>
      </c>
      <c r="P521" s="1">
        <v>234</v>
      </c>
      <c r="Q521" s="1">
        <v>37565.42</v>
      </c>
      <c r="R521" s="1" t="s">
        <v>54</v>
      </c>
      <c r="S521" s="1" t="s">
        <v>34</v>
      </c>
      <c r="T521" s="1" t="s">
        <v>55</v>
      </c>
      <c r="U521" s="1" t="s">
        <v>56</v>
      </c>
      <c r="V521" s="1" t="s">
        <v>57</v>
      </c>
      <c r="W521" s="1">
        <v>8</v>
      </c>
      <c r="X521" s="1" t="s">
        <v>47</v>
      </c>
      <c r="Y521" s="1">
        <v>4</v>
      </c>
      <c r="Z521" s="1" t="s">
        <v>91</v>
      </c>
    </row>
    <row r="522" spans="1:26" x14ac:dyDescent="0.3">
      <c r="A522" s="1" t="s">
        <v>1012</v>
      </c>
      <c r="B522" s="2">
        <v>46034</v>
      </c>
      <c r="C522" s="1" t="s">
        <v>459</v>
      </c>
      <c r="D522" s="1" t="s">
        <v>73</v>
      </c>
      <c r="E522" s="1" t="s">
        <v>43</v>
      </c>
      <c r="F522" s="1">
        <v>48</v>
      </c>
      <c r="G522" s="1" t="s">
        <v>99</v>
      </c>
      <c r="H522" s="1" t="s">
        <v>52</v>
      </c>
      <c r="I522" s="1" t="s">
        <v>99</v>
      </c>
      <c r="J522" s="1" t="s">
        <v>201</v>
      </c>
      <c r="K522" s="1">
        <v>4</v>
      </c>
      <c r="L522" s="1">
        <v>14213</v>
      </c>
      <c r="M522" s="1">
        <v>5</v>
      </c>
      <c r="N522" s="1">
        <v>2842.6</v>
      </c>
      <c r="O522" s="1">
        <v>9721.69</v>
      </c>
      <c r="P522" s="1">
        <v>74</v>
      </c>
      <c r="Q522" s="1">
        <v>63805.09</v>
      </c>
      <c r="R522" s="1" t="s">
        <v>45</v>
      </c>
      <c r="S522" s="1" t="s">
        <v>34</v>
      </c>
      <c r="T522" s="1" t="s">
        <v>35</v>
      </c>
      <c r="U522" s="1" t="s">
        <v>36</v>
      </c>
      <c r="V522" s="1" t="s">
        <v>37</v>
      </c>
      <c r="W522" s="1">
        <v>8</v>
      </c>
      <c r="X522" s="1" t="s">
        <v>47</v>
      </c>
      <c r="Y522" s="1">
        <v>5</v>
      </c>
      <c r="Z522" s="1" t="s">
        <v>91</v>
      </c>
    </row>
    <row r="523" spans="1:26" x14ac:dyDescent="0.3">
      <c r="A523" s="1" t="s">
        <v>1013</v>
      </c>
      <c r="B523" s="2">
        <v>45953</v>
      </c>
      <c r="C523" s="1" t="s">
        <v>764</v>
      </c>
      <c r="D523" s="1" t="s">
        <v>111</v>
      </c>
      <c r="E523" s="1" t="s">
        <v>43</v>
      </c>
      <c r="F523" s="1">
        <v>35</v>
      </c>
      <c r="G523" s="1" t="s">
        <v>67</v>
      </c>
      <c r="H523" s="1" t="s">
        <v>68</v>
      </c>
      <c r="I523" s="1" t="s">
        <v>67</v>
      </c>
      <c r="J523" s="1" t="s">
        <v>201</v>
      </c>
      <c r="K523" s="1">
        <v>1</v>
      </c>
      <c r="L523" s="1">
        <v>43439</v>
      </c>
      <c r="M523" s="1">
        <v>0</v>
      </c>
      <c r="N523" s="1">
        <v>0</v>
      </c>
      <c r="O523" s="1">
        <v>7819.02</v>
      </c>
      <c r="P523" s="1">
        <v>403</v>
      </c>
      <c r="Q523" s="1">
        <v>51661.02</v>
      </c>
      <c r="R523" s="1" t="s">
        <v>45</v>
      </c>
      <c r="S523" s="1" t="s">
        <v>63</v>
      </c>
      <c r="T523" s="1" t="s">
        <v>35</v>
      </c>
      <c r="U523" s="1" t="s">
        <v>36</v>
      </c>
      <c r="V523" s="1" t="s">
        <v>37</v>
      </c>
      <c r="W523" s="1">
        <v>3</v>
      </c>
      <c r="X523" s="1" t="s">
        <v>38</v>
      </c>
      <c r="Y523" s="1">
        <v>1</v>
      </c>
      <c r="Z523" s="1" t="s">
        <v>58</v>
      </c>
    </row>
    <row r="524" spans="1:26" x14ac:dyDescent="0.3">
      <c r="A524" s="1" t="s">
        <v>1014</v>
      </c>
      <c r="B524" s="2">
        <v>45966</v>
      </c>
      <c r="C524" s="1" t="s">
        <v>1015</v>
      </c>
      <c r="D524" s="1" t="s">
        <v>73</v>
      </c>
      <c r="E524" s="1" t="s">
        <v>43</v>
      </c>
      <c r="F524" s="1">
        <v>42</v>
      </c>
      <c r="G524" s="1" t="s">
        <v>51</v>
      </c>
      <c r="H524" s="1" t="s">
        <v>52</v>
      </c>
      <c r="I524" s="1" t="s">
        <v>51</v>
      </c>
      <c r="J524" s="1" t="s">
        <v>112</v>
      </c>
      <c r="K524" s="1">
        <v>1</v>
      </c>
      <c r="L524" s="1">
        <v>35941</v>
      </c>
      <c r="M524" s="1">
        <v>5</v>
      </c>
      <c r="N524" s="1">
        <v>1797.05</v>
      </c>
      <c r="O524" s="1">
        <v>6145.91</v>
      </c>
      <c r="P524" s="1">
        <v>20</v>
      </c>
      <c r="Q524" s="1">
        <v>40309.86</v>
      </c>
      <c r="R524" s="1" t="s">
        <v>45</v>
      </c>
      <c r="S524" s="1" t="s">
        <v>63</v>
      </c>
      <c r="T524" s="1" t="s">
        <v>46</v>
      </c>
      <c r="U524" s="1" t="s">
        <v>36</v>
      </c>
      <c r="V524" s="1" t="s">
        <v>37</v>
      </c>
      <c r="W524" s="1">
        <v>2</v>
      </c>
      <c r="X524" s="1" t="s">
        <v>38</v>
      </c>
      <c r="Y524" s="1">
        <v>2</v>
      </c>
      <c r="Z524" s="1" t="s">
        <v>58</v>
      </c>
    </row>
    <row r="525" spans="1:26" x14ac:dyDescent="0.3">
      <c r="A525" s="1" t="s">
        <v>1016</v>
      </c>
      <c r="B525" s="2">
        <v>45937</v>
      </c>
      <c r="C525" s="1" t="s">
        <v>1017</v>
      </c>
      <c r="D525" s="1" t="s">
        <v>28</v>
      </c>
      <c r="E525" s="1" t="s">
        <v>43</v>
      </c>
      <c r="F525" s="1">
        <v>56</v>
      </c>
      <c r="G525" s="1" t="s">
        <v>30</v>
      </c>
      <c r="H525" s="1" t="s">
        <v>31</v>
      </c>
      <c r="I525" s="1" t="s">
        <v>30</v>
      </c>
      <c r="J525" s="1" t="s">
        <v>53</v>
      </c>
      <c r="K525" s="1">
        <v>2</v>
      </c>
      <c r="L525" s="1">
        <v>6043</v>
      </c>
      <c r="M525" s="1">
        <v>15</v>
      </c>
      <c r="N525" s="1">
        <v>1812.9</v>
      </c>
      <c r="O525" s="1">
        <v>1849.16</v>
      </c>
      <c r="P525" s="1">
        <v>480</v>
      </c>
      <c r="Q525" s="1">
        <v>12602.26</v>
      </c>
      <c r="R525" s="1" t="s">
        <v>33</v>
      </c>
      <c r="S525" s="1" t="s">
        <v>34</v>
      </c>
      <c r="T525" s="1" t="s">
        <v>76</v>
      </c>
      <c r="U525" s="1" t="s">
        <v>77</v>
      </c>
      <c r="V525" s="1" t="s">
        <v>57</v>
      </c>
      <c r="W525" s="1">
        <v>7</v>
      </c>
      <c r="X525" s="1" t="s">
        <v>47</v>
      </c>
      <c r="Y525" s="1">
        <v>5</v>
      </c>
      <c r="Z525" s="1" t="s">
        <v>47</v>
      </c>
    </row>
    <row r="526" spans="1:26" x14ac:dyDescent="0.3">
      <c r="A526" s="1" t="s">
        <v>1018</v>
      </c>
      <c r="B526" s="2">
        <v>46011</v>
      </c>
      <c r="C526" s="1" t="s">
        <v>338</v>
      </c>
      <c r="D526" s="1" t="s">
        <v>61</v>
      </c>
      <c r="E526" s="1" t="s">
        <v>43</v>
      </c>
      <c r="F526" s="1">
        <v>58</v>
      </c>
      <c r="G526" s="1" t="s">
        <v>90</v>
      </c>
      <c r="H526" s="1" t="s">
        <v>31</v>
      </c>
      <c r="I526" s="1" t="s">
        <v>90</v>
      </c>
      <c r="J526" s="1" t="s">
        <v>102</v>
      </c>
      <c r="K526" s="1">
        <v>3</v>
      </c>
      <c r="L526" s="1">
        <v>26460</v>
      </c>
      <c r="M526" s="1">
        <v>5</v>
      </c>
      <c r="N526" s="1">
        <v>3969</v>
      </c>
      <c r="O526" s="1">
        <v>13573.98</v>
      </c>
      <c r="P526" s="1">
        <v>340</v>
      </c>
      <c r="Q526" s="1">
        <v>89324.98</v>
      </c>
      <c r="R526" s="1" t="s">
        <v>54</v>
      </c>
      <c r="S526" s="1" t="s">
        <v>63</v>
      </c>
      <c r="T526" s="1" t="s">
        <v>55</v>
      </c>
      <c r="U526" s="1" t="s">
        <v>56</v>
      </c>
      <c r="V526" s="1" t="s">
        <v>57</v>
      </c>
      <c r="W526" s="1">
        <v>2</v>
      </c>
      <c r="X526" s="1" t="s">
        <v>38</v>
      </c>
      <c r="Y526" s="1">
        <v>4</v>
      </c>
      <c r="Z526" s="1" t="s">
        <v>91</v>
      </c>
    </row>
    <row r="527" spans="1:26" x14ac:dyDescent="0.3">
      <c r="A527" s="1" t="s">
        <v>1019</v>
      </c>
      <c r="B527" s="2">
        <v>45927</v>
      </c>
      <c r="C527" s="1" t="s">
        <v>1020</v>
      </c>
      <c r="D527" s="1" t="s">
        <v>28</v>
      </c>
      <c r="E527" s="1" t="s">
        <v>29</v>
      </c>
      <c r="F527" s="1">
        <v>51</v>
      </c>
      <c r="G527" s="1" t="s">
        <v>30</v>
      </c>
      <c r="H527" s="1" t="s">
        <v>31</v>
      </c>
      <c r="I527" s="1" t="s">
        <v>30</v>
      </c>
      <c r="J527" s="1" t="s">
        <v>150</v>
      </c>
      <c r="K527" s="1">
        <v>5</v>
      </c>
      <c r="L527" s="1">
        <v>37592</v>
      </c>
      <c r="M527" s="1">
        <v>10</v>
      </c>
      <c r="N527" s="1">
        <v>18796</v>
      </c>
      <c r="O527" s="1">
        <v>30449.52</v>
      </c>
      <c r="P527" s="1">
        <v>380</v>
      </c>
      <c r="Q527" s="1">
        <v>199993.52</v>
      </c>
      <c r="R527" s="1" t="s">
        <v>54</v>
      </c>
      <c r="S527" s="1" t="s">
        <v>63</v>
      </c>
      <c r="T527" s="1" t="s">
        <v>76</v>
      </c>
      <c r="U527" s="1" t="s">
        <v>77</v>
      </c>
      <c r="V527" s="1" t="s">
        <v>57</v>
      </c>
      <c r="W527" s="1">
        <v>4</v>
      </c>
      <c r="X527" s="1" t="s">
        <v>47</v>
      </c>
      <c r="Y527" s="1">
        <v>1</v>
      </c>
      <c r="Z527" s="1" t="s">
        <v>91</v>
      </c>
    </row>
    <row r="528" spans="1:26" x14ac:dyDescent="0.3">
      <c r="A528" s="1" t="s">
        <v>1021</v>
      </c>
      <c r="B528" s="2">
        <v>45925</v>
      </c>
      <c r="C528" s="1" t="s">
        <v>1022</v>
      </c>
      <c r="D528" s="1" t="s">
        <v>89</v>
      </c>
      <c r="E528" s="1" t="s">
        <v>29</v>
      </c>
      <c r="F528" s="1">
        <v>57</v>
      </c>
      <c r="G528" s="1" t="s">
        <v>74</v>
      </c>
      <c r="H528" s="1" t="s">
        <v>31</v>
      </c>
      <c r="I528" s="1" t="s">
        <v>74</v>
      </c>
      <c r="J528" s="1" t="s">
        <v>32</v>
      </c>
      <c r="K528" s="1">
        <v>1</v>
      </c>
      <c r="L528" s="1">
        <v>21149</v>
      </c>
      <c r="M528" s="1">
        <v>20</v>
      </c>
      <c r="N528" s="1">
        <v>4229.8</v>
      </c>
      <c r="O528" s="1">
        <v>3045.46</v>
      </c>
      <c r="P528" s="1">
        <v>298</v>
      </c>
      <c r="Q528" s="1">
        <v>20262.66</v>
      </c>
      <c r="R528" s="1" t="s">
        <v>83</v>
      </c>
      <c r="S528" s="1" t="s">
        <v>63</v>
      </c>
      <c r="T528" s="1" t="s">
        <v>55</v>
      </c>
      <c r="U528" s="1" t="s">
        <v>56</v>
      </c>
      <c r="V528" s="1" t="s">
        <v>57</v>
      </c>
      <c r="W528" s="1">
        <v>1</v>
      </c>
      <c r="X528" s="1" t="s">
        <v>47</v>
      </c>
      <c r="Y528" s="1">
        <v>5</v>
      </c>
      <c r="Z528" s="1" t="s">
        <v>39</v>
      </c>
    </row>
    <row r="529" spans="1:26" x14ac:dyDescent="0.3">
      <c r="A529" s="1" t="s">
        <v>1023</v>
      </c>
      <c r="B529" s="2">
        <v>46116</v>
      </c>
      <c r="C529" s="1" t="s">
        <v>980</v>
      </c>
      <c r="D529" s="1" t="s">
        <v>42</v>
      </c>
      <c r="E529" s="1" t="s">
        <v>29</v>
      </c>
      <c r="F529" s="1">
        <v>29</v>
      </c>
      <c r="G529" s="1" t="s">
        <v>139</v>
      </c>
      <c r="H529" s="1" t="s">
        <v>31</v>
      </c>
      <c r="I529" s="1" t="s">
        <v>139</v>
      </c>
      <c r="J529" s="1" t="s">
        <v>125</v>
      </c>
      <c r="K529" s="1">
        <v>2</v>
      </c>
      <c r="L529" s="1">
        <v>7542</v>
      </c>
      <c r="M529" s="1">
        <v>0</v>
      </c>
      <c r="N529" s="1">
        <v>0</v>
      </c>
      <c r="O529" s="1">
        <v>2715.12</v>
      </c>
      <c r="P529" s="1">
        <v>336</v>
      </c>
      <c r="Q529" s="1">
        <v>18135.12</v>
      </c>
      <c r="R529" s="1" t="s">
        <v>83</v>
      </c>
      <c r="S529" s="1" t="s">
        <v>34</v>
      </c>
      <c r="T529" s="1" t="s">
        <v>55</v>
      </c>
      <c r="U529" s="1" t="s">
        <v>56</v>
      </c>
      <c r="V529" s="1" t="s">
        <v>57</v>
      </c>
      <c r="W529" s="1">
        <v>4</v>
      </c>
      <c r="X529" s="1" t="s">
        <v>38</v>
      </c>
      <c r="Y529" s="1">
        <v>2</v>
      </c>
      <c r="Z529" s="1" t="s">
        <v>39</v>
      </c>
    </row>
    <row r="530" spans="1:26" x14ac:dyDescent="0.3">
      <c r="A530" s="1" t="s">
        <v>1024</v>
      </c>
      <c r="B530" s="2">
        <v>45796</v>
      </c>
      <c r="C530" s="1" t="s">
        <v>909</v>
      </c>
      <c r="D530" s="1" t="s">
        <v>42</v>
      </c>
      <c r="E530" s="1" t="s">
        <v>43</v>
      </c>
      <c r="F530" s="1">
        <v>44</v>
      </c>
      <c r="G530" s="1" t="s">
        <v>74</v>
      </c>
      <c r="H530" s="1" t="s">
        <v>31</v>
      </c>
      <c r="I530" s="1" t="s">
        <v>74</v>
      </c>
      <c r="J530" s="1" t="s">
        <v>112</v>
      </c>
      <c r="K530" s="1">
        <v>1</v>
      </c>
      <c r="L530" s="1">
        <v>13196</v>
      </c>
      <c r="M530" s="1">
        <v>15</v>
      </c>
      <c r="N530" s="1">
        <v>1979.4</v>
      </c>
      <c r="O530" s="1">
        <v>2018.99</v>
      </c>
      <c r="P530" s="1">
        <v>439</v>
      </c>
      <c r="Q530" s="1">
        <v>13674.59</v>
      </c>
      <c r="R530" s="1" t="s">
        <v>45</v>
      </c>
      <c r="S530" s="1" t="s">
        <v>63</v>
      </c>
      <c r="T530" s="1" t="s">
        <v>55</v>
      </c>
      <c r="U530" s="1" t="s">
        <v>56</v>
      </c>
      <c r="V530" s="1" t="s">
        <v>57</v>
      </c>
      <c r="W530" s="1">
        <v>8</v>
      </c>
      <c r="X530" s="1" t="s">
        <v>47</v>
      </c>
      <c r="Y530" s="1">
        <v>2</v>
      </c>
      <c r="Z530" s="1" t="s">
        <v>39</v>
      </c>
    </row>
    <row r="531" spans="1:26" x14ac:dyDescent="0.3">
      <c r="A531" s="1" t="s">
        <v>1025</v>
      </c>
      <c r="B531" s="2">
        <v>45843</v>
      </c>
      <c r="C531" s="1" t="s">
        <v>1026</v>
      </c>
      <c r="D531" s="1" t="s">
        <v>108</v>
      </c>
      <c r="E531" s="1" t="s">
        <v>29</v>
      </c>
      <c r="F531" s="1">
        <v>18</v>
      </c>
      <c r="G531" s="1" t="s">
        <v>74</v>
      </c>
      <c r="H531" s="1" t="s">
        <v>31</v>
      </c>
      <c r="I531" s="1" t="s">
        <v>74</v>
      </c>
      <c r="J531" s="1" t="s">
        <v>32</v>
      </c>
      <c r="K531" s="1">
        <v>4</v>
      </c>
      <c r="L531" s="1">
        <v>14222</v>
      </c>
      <c r="M531" s="1">
        <v>0</v>
      </c>
      <c r="N531" s="1">
        <v>0</v>
      </c>
      <c r="O531" s="1">
        <v>10239.84</v>
      </c>
      <c r="P531" s="1">
        <v>498</v>
      </c>
      <c r="Q531" s="1">
        <v>67625.84</v>
      </c>
      <c r="R531" s="1" t="s">
        <v>83</v>
      </c>
      <c r="S531" s="1" t="s">
        <v>34</v>
      </c>
      <c r="T531" s="1" t="s">
        <v>95</v>
      </c>
      <c r="U531" s="1" t="s">
        <v>96</v>
      </c>
      <c r="V531" s="1" t="s">
        <v>57</v>
      </c>
      <c r="W531" s="1">
        <v>8</v>
      </c>
      <c r="X531" s="1" t="s">
        <v>47</v>
      </c>
      <c r="Y531" s="1">
        <v>4</v>
      </c>
      <c r="Z531" s="1" t="s">
        <v>58</v>
      </c>
    </row>
    <row r="532" spans="1:26" x14ac:dyDescent="0.3">
      <c r="A532" s="1" t="s">
        <v>1027</v>
      </c>
      <c r="B532" s="2">
        <v>45799</v>
      </c>
      <c r="C532" s="1" t="s">
        <v>1028</v>
      </c>
      <c r="D532" s="1" t="s">
        <v>66</v>
      </c>
      <c r="E532" s="1" t="s">
        <v>43</v>
      </c>
      <c r="F532" s="1">
        <v>33</v>
      </c>
      <c r="G532" s="1" t="s">
        <v>44</v>
      </c>
      <c r="H532" s="1" t="s">
        <v>31</v>
      </c>
      <c r="I532" s="1" t="s">
        <v>44</v>
      </c>
      <c r="J532" s="1" t="s">
        <v>125</v>
      </c>
      <c r="K532" s="1">
        <v>4</v>
      </c>
      <c r="L532" s="1">
        <v>19887</v>
      </c>
      <c r="M532" s="1">
        <v>10</v>
      </c>
      <c r="N532" s="1">
        <v>7954.8</v>
      </c>
      <c r="O532" s="1">
        <v>12886.78</v>
      </c>
      <c r="P532" s="1">
        <v>318</v>
      </c>
      <c r="Q532" s="1">
        <v>84797.98</v>
      </c>
      <c r="R532" s="1" t="s">
        <v>33</v>
      </c>
      <c r="S532" s="1" t="s">
        <v>63</v>
      </c>
      <c r="T532" s="1" t="s">
        <v>35</v>
      </c>
      <c r="U532" s="1" t="s">
        <v>36</v>
      </c>
      <c r="V532" s="1" t="s">
        <v>37</v>
      </c>
      <c r="W532" s="1">
        <v>2</v>
      </c>
      <c r="X532" s="1" t="s">
        <v>47</v>
      </c>
      <c r="Y532" s="1">
        <v>4</v>
      </c>
      <c r="Z532" s="1" t="s">
        <v>91</v>
      </c>
    </row>
    <row r="533" spans="1:26" x14ac:dyDescent="0.3">
      <c r="A533" s="1" t="s">
        <v>1029</v>
      </c>
      <c r="B533" s="2">
        <v>45808</v>
      </c>
      <c r="C533" s="1" t="s">
        <v>643</v>
      </c>
      <c r="D533" s="1" t="s">
        <v>50</v>
      </c>
      <c r="E533" s="1" t="s">
        <v>29</v>
      </c>
      <c r="F533" s="1">
        <v>51</v>
      </c>
      <c r="G533" s="1" t="s">
        <v>139</v>
      </c>
      <c r="H533" s="1" t="s">
        <v>31</v>
      </c>
      <c r="I533" s="1" t="s">
        <v>139</v>
      </c>
      <c r="J533" s="1" t="s">
        <v>32</v>
      </c>
      <c r="K533" s="1">
        <v>2</v>
      </c>
      <c r="L533" s="1">
        <v>7873</v>
      </c>
      <c r="M533" s="1">
        <v>5</v>
      </c>
      <c r="N533" s="1">
        <v>787.3</v>
      </c>
      <c r="O533" s="1">
        <v>2692.57</v>
      </c>
      <c r="P533" s="1">
        <v>155</v>
      </c>
      <c r="Q533" s="1">
        <v>17806.27</v>
      </c>
      <c r="R533" s="1" t="s">
        <v>33</v>
      </c>
      <c r="S533" s="1" t="s">
        <v>34</v>
      </c>
      <c r="T533" s="1" t="s">
        <v>95</v>
      </c>
      <c r="U533" s="1" t="s">
        <v>96</v>
      </c>
      <c r="V533" s="1" t="s">
        <v>57</v>
      </c>
      <c r="W533" s="1">
        <v>7</v>
      </c>
      <c r="X533" s="1" t="s">
        <v>47</v>
      </c>
      <c r="Y533" s="1">
        <v>5</v>
      </c>
      <c r="Z533" s="1" t="s">
        <v>91</v>
      </c>
    </row>
    <row r="534" spans="1:26" x14ac:dyDescent="0.3">
      <c r="A534" s="1" t="s">
        <v>1030</v>
      </c>
      <c r="B534" s="2">
        <v>45832</v>
      </c>
      <c r="C534" s="1" t="s">
        <v>338</v>
      </c>
      <c r="D534" s="1" t="s">
        <v>28</v>
      </c>
      <c r="E534" s="1" t="s">
        <v>29</v>
      </c>
      <c r="F534" s="1">
        <v>46</v>
      </c>
      <c r="G534" s="1" t="s">
        <v>44</v>
      </c>
      <c r="H534" s="1" t="s">
        <v>31</v>
      </c>
      <c r="I534" s="1" t="s">
        <v>44</v>
      </c>
      <c r="J534" s="1" t="s">
        <v>32</v>
      </c>
      <c r="K534" s="1">
        <v>1</v>
      </c>
      <c r="L534" s="1">
        <v>42929</v>
      </c>
      <c r="M534" s="1">
        <v>20</v>
      </c>
      <c r="N534" s="1">
        <v>8585.7999999999993</v>
      </c>
      <c r="O534" s="1">
        <v>6181.78</v>
      </c>
      <c r="P534" s="1">
        <v>228</v>
      </c>
      <c r="Q534" s="1">
        <v>40752.980000000003</v>
      </c>
      <c r="R534" s="1" t="s">
        <v>83</v>
      </c>
      <c r="S534" s="1" t="s">
        <v>34</v>
      </c>
      <c r="T534" s="1" t="s">
        <v>103</v>
      </c>
      <c r="U534" s="1" t="s">
        <v>103</v>
      </c>
      <c r="V534" s="1" t="s">
        <v>57</v>
      </c>
      <c r="W534" s="1">
        <v>10</v>
      </c>
      <c r="X534" s="1" t="s">
        <v>38</v>
      </c>
      <c r="Y534" s="1">
        <v>3</v>
      </c>
      <c r="Z534" s="1" t="s">
        <v>91</v>
      </c>
    </row>
    <row r="535" spans="1:26" x14ac:dyDescent="0.3">
      <c r="A535" s="1" t="s">
        <v>1031</v>
      </c>
      <c r="B535" s="2">
        <v>45874</v>
      </c>
      <c r="C535" s="1" t="s">
        <v>1032</v>
      </c>
      <c r="D535" s="1" t="s">
        <v>89</v>
      </c>
      <c r="E535" s="1" t="s">
        <v>29</v>
      </c>
      <c r="F535" s="1">
        <v>43</v>
      </c>
      <c r="G535" s="1" t="s">
        <v>90</v>
      </c>
      <c r="H535" s="1" t="s">
        <v>31</v>
      </c>
      <c r="I535" s="1" t="s">
        <v>90</v>
      </c>
      <c r="J535" s="1" t="s">
        <v>75</v>
      </c>
      <c r="K535" s="1">
        <v>1</v>
      </c>
      <c r="L535" s="1">
        <v>41961</v>
      </c>
      <c r="M535" s="1">
        <v>10</v>
      </c>
      <c r="N535" s="1">
        <v>4196.1000000000004</v>
      </c>
      <c r="O535" s="1">
        <v>6797.68</v>
      </c>
      <c r="P535" s="1">
        <v>63</v>
      </c>
      <c r="Q535" s="1">
        <v>44625.58</v>
      </c>
      <c r="R535" s="1" t="s">
        <v>54</v>
      </c>
      <c r="S535" s="1" t="s">
        <v>63</v>
      </c>
      <c r="T535" s="1" t="s">
        <v>76</v>
      </c>
      <c r="U535" s="1" t="s">
        <v>77</v>
      </c>
      <c r="V535" s="1" t="s">
        <v>57</v>
      </c>
      <c r="W535" s="1">
        <v>8</v>
      </c>
      <c r="X535" s="1" t="s">
        <v>47</v>
      </c>
      <c r="Y535" s="1">
        <v>5</v>
      </c>
      <c r="Z535" s="1" t="s">
        <v>91</v>
      </c>
    </row>
    <row r="536" spans="1:26" x14ac:dyDescent="0.3">
      <c r="A536" s="1" t="s">
        <v>1033</v>
      </c>
      <c r="B536" s="2">
        <v>45879</v>
      </c>
      <c r="C536" s="1" t="s">
        <v>1034</v>
      </c>
      <c r="D536" s="1" t="s">
        <v>80</v>
      </c>
      <c r="E536" s="1" t="s">
        <v>29</v>
      </c>
      <c r="F536" s="1">
        <v>60</v>
      </c>
      <c r="G536" s="1" t="s">
        <v>134</v>
      </c>
      <c r="H536" s="1" t="s">
        <v>31</v>
      </c>
      <c r="I536" s="1" t="s">
        <v>134</v>
      </c>
      <c r="J536" s="1" t="s">
        <v>112</v>
      </c>
      <c r="K536" s="1">
        <v>5</v>
      </c>
      <c r="L536" s="1">
        <v>6154</v>
      </c>
      <c r="M536" s="1">
        <v>15</v>
      </c>
      <c r="N536" s="1">
        <v>4615.5</v>
      </c>
      <c r="O536" s="1">
        <v>4707.8100000000004</v>
      </c>
      <c r="P536" s="1">
        <v>460</v>
      </c>
      <c r="Q536" s="1">
        <v>31322.31</v>
      </c>
      <c r="R536" s="1" t="s">
        <v>54</v>
      </c>
      <c r="S536" s="1" t="s">
        <v>63</v>
      </c>
      <c r="T536" s="1" t="s">
        <v>55</v>
      </c>
      <c r="U536" s="1" t="s">
        <v>56</v>
      </c>
      <c r="V536" s="1" t="s">
        <v>57</v>
      </c>
      <c r="W536" s="1">
        <v>10</v>
      </c>
      <c r="X536" s="1" t="s">
        <v>47</v>
      </c>
      <c r="Y536" s="1">
        <v>1</v>
      </c>
      <c r="Z536" s="1" t="s">
        <v>39</v>
      </c>
    </row>
    <row r="537" spans="1:26" x14ac:dyDescent="0.3">
      <c r="A537" s="1" t="s">
        <v>1035</v>
      </c>
      <c r="B537" s="2">
        <v>46074</v>
      </c>
      <c r="C537" s="1" t="s">
        <v>936</v>
      </c>
      <c r="D537" s="1" t="s">
        <v>80</v>
      </c>
      <c r="E537" s="1" t="s">
        <v>43</v>
      </c>
      <c r="F537" s="1">
        <v>44</v>
      </c>
      <c r="G537" s="1" t="s">
        <v>67</v>
      </c>
      <c r="H537" s="1" t="s">
        <v>68</v>
      </c>
      <c r="I537" s="1" t="s">
        <v>67</v>
      </c>
      <c r="J537" s="1" t="s">
        <v>150</v>
      </c>
      <c r="K537" s="1">
        <v>2</v>
      </c>
      <c r="L537" s="1">
        <v>43139</v>
      </c>
      <c r="M537" s="1">
        <v>20</v>
      </c>
      <c r="N537" s="1">
        <v>17255.599999999999</v>
      </c>
      <c r="O537" s="1">
        <v>12424.03</v>
      </c>
      <c r="P537" s="1">
        <v>165</v>
      </c>
      <c r="Q537" s="1">
        <v>81611.429999999993</v>
      </c>
      <c r="R537" s="1" t="s">
        <v>54</v>
      </c>
      <c r="S537" s="1" t="s">
        <v>34</v>
      </c>
      <c r="T537" s="1" t="s">
        <v>55</v>
      </c>
      <c r="U537" s="1" t="s">
        <v>56</v>
      </c>
      <c r="V537" s="1" t="s">
        <v>57</v>
      </c>
      <c r="W537" s="1">
        <v>1</v>
      </c>
      <c r="X537" s="1" t="s">
        <v>38</v>
      </c>
      <c r="Y537" s="1">
        <v>5</v>
      </c>
      <c r="Z537" s="1" t="s">
        <v>47</v>
      </c>
    </row>
    <row r="538" spans="1:26" x14ac:dyDescent="0.3">
      <c r="A538" s="1" t="s">
        <v>1036</v>
      </c>
      <c r="B538" s="2">
        <v>45867</v>
      </c>
      <c r="C538" s="1" t="s">
        <v>1037</v>
      </c>
      <c r="D538" s="1" t="s">
        <v>80</v>
      </c>
      <c r="E538" s="1" t="s">
        <v>43</v>
      </c>
      <c r="F538" s="1">
        <v>26</v>
      </c>
      <c r="G538" s="1" t="s">
        <v>51</v>
      </c>
      <c r="H538" s="1" t="s">
        <v>52</v>
      </c>
      <c r="I538" s="1" t="s">
        <v>51</v>
      </c>
      <c r="J538" s="1" t="s">
        <v>62</v>
      </c>
      <c r="K538" s="1">
        <v>4</v>
      </c>
      <c r="L538" s="1">
        <v>39551</v>
      </c>
      <c r="M538" s="1">
        <v>0</v>
      </c>
      <c r="N538" s="1">
        <v>0</v>
      </c>
      <c r="O538" s="1">
        <v>28476.720000000001</v>
      </c>
      <c r="P538" s="1">
        <v>416</v>
      </c>
      <c r="Q538" s="1">
        <v>187096.72</v>
      </c>
      <c r="R538" s="1" t="s">
        <v>33</v>
      </c>
      <c r="S538" s="1" t="s">
        <v>63</v>
      </c>
      <c r="T538" s="1" t="s">
        <v>84</v>
      </c>
      <c r="U538" s="1" t="s">
        <v>85</v>
      </c>
      <c r="V538" s="1" t="s">
        <v>86</v>
      </c>
      <c r="W538" s="1">
        <v>5</v>
      </c>
      <c r="X538" s="1" t="s">
        <v>47</v>
      </c>
      <c r="Y538" s="1">
        <v>4</v>
      </c>
      <c r="Z538" s="1" t="s">
        <v>47</v>
      </c>
    </row>
    <row r="539" spans="1:26" x14ac:dyDescent="0.3">
      <c r="A539" s="1" t="s">
        <v>1038</v>
      </c>
      <c r="B539" s="2">
        <v>46022</v>
      </c>
      <c r="C539" s="1" t="s">
        <v>1039</v>
      </c>
      <c r="D539" s="1" t="s">
        <v>89</v>
      </c>
      <c r="E539" s="1" t="s">
        <v>29</v>
      </c>
      <c r="F539" s="1">
        <v>27</v>
      </c>
      <c r="G539" s="1" t="s">
        <v>134</v>
      </c>
      <c r="H539" s="1" t="s">
        <v>31</v>
      </c>
      <c r="I539" s="1" t="s">
        <v>134</v>
      </c>
      <c r="J539" s="1" t="s">
        <v>32</v>
      </c>
      <c r="K539" s="1">
        <v>4</v>
      </c>
      <c r="L539" s="1">
        <v>48917</v>
      </c>
      <c r="M539" s="1">
        <v>0</v>
      </c>
      <c r="N539" s="1">
        <v>0</v>
      </c>
      <c r="O539" s="1">
        <v>35220.239999999998</v>
      </c>
      <c r="P539" s="1">
        <v>296</v>
      </c>
      <c r="Q539" s="1">
        <v>231184.24</v>
      </c>
      <c r="R539" s="1" t="s">
        <v>83</v>
      </c>
      <c r="S539" s="1" t="s">
        <v>63</v>
      </c>
      <c r="T539" s="1" t="s">
        <v>70</v>
      </c>
      <c r="U539" s="1" t="s">
        <v>56</v>
      </c>
      <c r="V539" s="1" t="s">
        <v>57</v>
      </c>
      <c r="W539" s="1">
        <v>6</v>
      </c>
      <c r="X539" s="1" t="s">
        <v>47</v>
      </c>
      <c r="Y539" s="1">
        <v>4</v>
      </c>
      <c r="Z539" s="1" t="s">
        <v>39</v>
      </c>
    </row>
    <row r="540" spans="1:26" x14ac:dyDescent="0.3">
      <c r="A540" s="1" t="s">
        <v>1040</v>
      </c>
      <c r="B540" s="2">
        <v>45952</v>
      </c>
      <c r="C540" s="1" t="s">
        <v>316</v>
      </c>
      <c r="D540" s="1" t="s">
        <v>28</v>
      </c>
      <c r="E540" s="1" t="s">
        <v>43</v>
      </c>
      <c r="F540" s="1">
        <v>47</v>
      </c>
      <c r="G540" s="1" t="s">
        <v>74</v>
      </c>
      <c r="H540" s="1" t="s">
        <v>31</v>
      </c>
      <c r="I540" s="1" t="s">
        <v>74</v>
      </c>
      <c r="J540" s="1" t="s">
        <v>150</v>
      </c>
      <c r="K540" s="1">
        <v>3</v>
      </c>
      <c r="L540" s="1">
        <v>40702</v>
      </c>
      <c r="M540" s="1">
        <v>20</v>
      </c>
      <c r="N540" s="1">
        <v>24421.200000000001</v>
      </c>
      <c r="O540" s="1">
        <v>17583.259999999998</v>
      </c>
      <c r="P540" s="1">
        <v>193</v>
      </c>
      <c r="Q540" s="1">
        <v>115461.06</v>
      </c>
      <c r="R540" s="1" t="s">
        <v>83</v>
      </c>
      <c r="S540" s="1" t="s">
        <v>63</v>
      </c>
      <c r="T540" s="1" t="s">
        <v>84</v>
      </c>
      <c r="U540" s="1" t="s">
        <v>85</v>
      </c>
      <c r="V540" s="1" t="s">
        <v>86</v>
      </c>
      <c r="W540" s="1">
        <v>5</v>
      </c>
      <c r="X540" s="1" t="s">
        <v>38</v>
      </c>
      <c r="Y540" s="1">
        <v>2</v>
      </c>
      <c r="Z540" s="1" t="s">
        <v>39</v>
      </c>
    </row>
    <row r="541" spans="1:26" x14ac:dyDescent="0.3">
      <c r="A541" s="1" t="s">
        <v>1041</v>
      </c>
      <c r="B541" s="2">
        <v>45908</v>
      </c>
      <c r="C541" s="1" t="s">
        <v>49</v>
      </c>
      <c r="D541" s="1" t="s">
        <v>80</v>
      </c>
      <c r="E541" s="1" t="s">
        <v>29</v>
      </c>
      <c r="F541" s="1">
        <v>58</v>
      </c>
      <c r="G541" s="1" t="s">
        <v>134</v>
      </c>
      <c r="H541" s="1" t="s">
        <v>31</v>
      </c>
      <c r="I541" s="1" t="s">
        <v>134</v>
      </c>
      <c r="J541" s="1" t="s">
        <v>150</v>
      </c>
      <c r="K541" s="1">
        <v>2</v>
      </c>
      <c r="L541" s="1">
        <v>4559</v>
      </c>
      <c r="M541" s="1">
        <v>0</v>
      </c>
      <c r="N541" s="1">
        <v>0</v>
      </c>
      <c r="O541" s="1">
        <v>1641.24</v>
      </c>
      <c r="P541" s="1">
        <v>387</v>
      </c>
      <c r="Q541" s="1">
        <v>11146.24</v>
      </c>
      <c r="R541" s="1" t="s">
        <v>33</v>
      </c>
      <c r="S541" s="1" t="s">
        <v>63</v>
      </c>
      <c r="T541" s="1" t="s">
        <v>70</v>
      </c>
      <c r="U541" s="1" t="s">
        <v>56</v>
      </c>
      <c r="V541" s="1" t="s">
        <v>57</v>
      </c>
      <c r="W541" s="1">
        <v>6</v>
      </c>
      <c r="X541" s="1" t="s">
        <v>47</v>
      </c>
      <c r="Y541" s="1">
        <v>1</v>
      </c>
      <c r="Z541" s="1" t="s">
        <v>47</v>
      </c>
    </row>
    <row r="542" spans="1:26" x14ac:dyDescent="0.3">
      <c r="A542" s="1" t="s">
        <v>1042</v>
      </c>
      <c r="B542" s="2">
        <v>46101</v>
      </c>
      <c r="C542" s="1" t="s">
        <v>1043</v>
      </c>
      <c r="D542" s="1" t="s">
        <v>28</v>
      </c>
      <c r="E542" s="1" t="s">
        <v>43</v>
      </c>
      <c r="F542" s="1">
        <v>34</v>
      </c>
      <c r="G542" s="1" t="s">
        <v>74</v>
      </c>
      <c r="H542" s="1" t="s">
        <v>31</v>
      </c>
      <c r="I542" s="1" t="s">
        <v>74</v>
      </c>
      <c r="J542" s="1" t="s">
        <v>32</v>
      </c>
      <c r="K542" s="1">
        <v>5</v>
      </c>
      <c r="L542" s="1">
        <v>2350</v>
      </c>
      <c r="M542" s="1">
        <v>10</v>
      </c>
      <c r="N542" s="1">
        <v>1175</v>
      </c>
      <c r="O542" s="1">
        <v>1903.5</v>
      </c>
      <c r="P542" s="1">
        <v>454</v>
      </c>
      <c r="Q542" s="1">
        <v>12932.5</v>
      </c>
      <c r="R542" s="1" t="s">
        <v>33</v>
      </c>
      <c r="S542" s="1" t="s">
        <v>63</v>
      </c>
      <c r="T542" s="1" t="s">
        <v>55</v>
      </c>
      <c r="U542" s="1" t="s">
        <v>56</v>
      </c>
      <c r="V542" s="1" t="s">
        <v>57</v>
      </c>
      <c r="W542" s="1">
        <v>2</v>
      </c>
      <c r="X542" s="1" t="s">
        <v>38</v>
      </c>
      <c r="Y542" s="1">
        <v>3</v>
      </c>
      <c r="Z542" s="1" t="s">
        <v>58</v>
      </c>
    </row>
    <row r="543" spans="1:26" x14ac:dyDescent="0.3">
      <c r="A543" s="1" t="s">
        <v>1044</v>
      </c>
      <c r="B543" s="2">
        <v>45985</v>
      </c>
      <c r="C543" s="1" t="s">
        <v>1022</v>
      </c>
      <c r="D543" s="1" t="s">
        <v>111</v>
      </c>
      <c r="E543" s="1" t="s">
        <v>29</v>
      </c>
      <c r="F543" s="1">
        <v>19</v>
      </c>
      <c r="G543" s="1" t="s">
        <v>74</v>
      </c>
      <c r="H543" s="1" t="s">
        <v>31</v>
      </c>
      <c r="I543" s="1" t="s">
        <v>74</v>
      </c>
      <c r="J543" s="1" t="s">
        <v>69</v>
      </c>
      <c r="K543" s="1">
        <v>2</v>
      </c>
      <c r="L543" s="1">
        <v>25923</v>
      </c>
      <c r="M543" s="1">
        <v>0</v>
      </c>
      <c r="N543" s="1">
        <v>0</v>
      </c>
      <c r="O543" s="1">
        <v>9332.2800000000007</v>
      </c>
      <c r="P543" s="1">
        <v>274</v>
      </c>
      <c r="Q543" s="1">
        <v>61452.28</v>
      </c>
      <c r="R543" s="1" t="s">
        <v>33</v>
      </c>
      <c r="S543" s="1" t="s">
        <v>34</v>
      </c>
      <c r="T543" s="1" t="s">
        <v>46</v>
      </c>
      <c r="U543" s="1" t="s">
        <v>36</v>
      </c>
      <c r="V543" s="1" t="s">
        <v>37</v>
      </c>
      <c r="W543" s="1">
        <v>6</v>
      </c>
      <c r="X543" s="1" t="s">
        <v>47</v>
      </c>
      <c r="Y543" s="1">
        <v>3</v>
      </c>
      <c r="Z543" s="1" t="s">
        <v>39</v>
      </c>
    </row>
    <row r="544" spans="1:26" x14ac:dyDescent="0.3">
      <c r="A544" s="1" t="s">
        <v>1045</v>
      </c>
      <c r="B544" s="2">
        <v>45863</v>
      </c>
      <c r="C544" s="1" t="s">
        <v>1046</v>
      </c>
      <c r="D544" s="1" t="s">
        <v>73</v>
      </c>
      <c r="E544" s="1" t="s">
        <v>29</v>
      </c>
      <c r="F544" s="1">
        <v>41</v>
      </c>
      <c r="G544" s="1" t="s">
        <v>51</v>
      </c>
      <c r="H544" s="1" t="s">
        <v>52</v>
      </c>
      <c r="I544" s="1" t="s">
        <v>51</v>
      </c>
      <c r="J544" s="1" t="s">
        <v>201</v>
      </c>
      <c r="K544" s="1">
        <v>5</v>
      </c>
      <c r="L544" s="1">
        <v>27464</v>
      </c>
      <c r="M544" s="1">
        <v>20</v>
      </c>
      <c r="N544" s="1">
        <v>27464</v>
      </c>
      <c r="O544" s="1">
        <v>19774.080000000002</v>
      </c>
      <c r="P544" s="1">
        <v>74</v>
      </c>
      <c r="Q544" s="1">
        <v>129704.08</v>
      </c>
      <c r="R544" s="1" t="s">
        <v>45</v>
      </c>
      <c r="S544" s="1" t="s">
        <v>63</v>
      </c>
      <c r="T544" s="1" t="s">
        <v>35</v>
      </c>
      <c r="U544" s="1" t="s">
        <v>36</v>
      </c>
      <c r="V544" s="1" t="s">
        <v>37</v>
      </c>
      <c r="W544" s="1">
        <v>8</v>
      </c>
      <c r="X544" s="1" t="s">
        <v>47</v>
      </c>
      <c r="Y544" s="1">
        <v>5</v>
      </c>
      <c r="Z544" s="1" t="s">
        <v>47</v>
      </c>
    </row>
    <row r="545" spans="1:26" x14ac:dyDescent="0.3">
      <c r="A545" s="1" t="s">
        <v>1047</v>
      </c>
      <c r="B545" s="2">
        <v>45882</v>
      </c>
      <c r="C545" s="1" t="s">
        <v>1048</v>
      </c>
      <c r="D545" s="1" t="s">
        <v>66</v>
      </c>
      <c r="E545" s="1" t="s">
        <v>29</v>
      </c>
      <c r="F545" s="1">
        <v>39</v>
      </c>
      <c r="G545" s="1" t="s">
        <v>51</v>
      </c>
      <c r="H545" s="1" t="s">
        <v>52</v>
      </c>
      <c r="I545" s="1" t="s">
        <v>51</v>
      </c>
      <c r="J545" s="1" t="s">
        <v>150</v>
      </c>
      <c r="K545" s="1">
        <v>3</v>
      </c>
      <c r="L545" s="1">
        <v>17597</v>
      </c>
      <c r="M545" s="1">
        <v>5</v>
      </c>
      <c r="N545" s="1">
        <v>2639.55</v>
      </c>
      <c r="O545" s="1">
        <v>9027.26</v>
      </c>
      <c r="P545" s="1">
        <v>297</v>
      </c>
      <c r="Q545" s="1">
        <v>59475.71</v>
      </c>
      <c r="R545" s="1" t="s">
        <v>83</v>
      </c>
      <c r="S545" s="1" t="s">
        <v>63</v>
      </c>
      <c r="T545" s="1" t="s">
        <v>84</v>
      </c>
      <c r="U545" s="1" t="s">
        <v>85</v>
      </c>
      <c r="V545" s="1" t="s">
        <v>86</v>
      </c>
      <c r="W545" s="1">
        <v>5</v>
      </c>
      <c r="X545" s="1" t="s">
        <v>47</v>
      </c>
      <c r="Y545" s="1">
        <v>1</v>
      </c>
      <c r="Z545" s="1" t="s">
        <v>58</v>
      </c>
    </row>
    <row r="546" spans="1:26" x14ac:dyDescent="0.3">
      <c r="A546" s="1" t="s">
        <v>1049</v>
      </c>
      <c r="B546" s="2">
        <v>46096</v>
      </c>
      <c r="C546" s="1" t="s">
        <v>1007</v>
      </c>
      <c r="D546" s="1" t="s">
        <v>42</v>
      </c>
      <c r="E546" s="1" t="s">
        <v>43</v>
      </c>
      <c r="F546" s="1">
        <v>44</v>
      </c>
      <c r="G546" s="1" t="s">
        <v>30</v>
      </c>
      <c r="H546" s="1" t="s">
        <v>31</v>
      </c>
      <c r="I546" s="1" t="s">
        <v>30</v>
      </c>
      <c r="J546" s="1" t="s">
        <v>112</v>
      </c>
      <c r="K546" s="1">
        <v>5</v>
      </c>
      <c r="L546" s="1">
        <v>4399</v>
      </c>
      <c r="M546" s="1">
        <v>0</v>
      </c>
      <c r="N546" s="1">
        <v>0</v>
      </c>
      <c r="O546" s="1">
        <v>3959.1</v>
      </c>
      <c r="P546" s="1">
        <v>41</v>
      </c>
      <c r="Q546" s="1">
        <v>25995.1</v>
      </c>
      <c r="R546" s="1" t="s">
        <v>33</v>
      </c>
      <c r="S546" s="1" t="s">
        <v>63</v>
      </c>
      <c r="T546" s="1" t="s">
        <v>95</v>
      </c>
      <c r="U546" s="1" t="s">
        <v>96</v>
      </c>
      <c r="V546" s="1" t="s">
        <v>57</v>
      </c>
      <c r="W546" s="1">
        <v>3</v>
      </c>
      <c r="X546" s="1" t="s">
        <v>47</v>
      </c>
      <c r="Y546" s="1">
        <v>3</v>
      </c>
      <c r="Z546" s="1" t="s">
        <v>39</v>
      </c>
    </row>
    <row r="547" spans="1:26" x14ac:dyDescent="0.3">
      <c r="A547" s="1" t="s">
        <v>1050</v>
      </c>
      <c r="B547" s="2">
        <v>46043</v>
      </c>
      <c r="C547" s="1" t="s">
        <v>467</v>
      </c>
      <c r="D547" s="1" t="s">
        <v>80</v>
      </c>
      <c r="E547" s="1" t="s">
        <v>29</v>
      </c>
      <c r="F547" s="1">
        <v>46</v>
      </c>
      <c r="G547" s="1" t="s">
        <v>30</v>
      </c>
      <c r="H547" s="1" t="s">
        <v>31</v>
      </c>
      <c r="I547" s="1" t="s">
        <v>30</v>
      </c>
      <c r="J547" s="1" t="s">
        <v>62</v>
      </c>
      <c r="K547" s="1">
        <v>4</v>
      </c>
      <c r="L547" s="1">
        <v>16338</v>
      </c>
      <c r="M547" s="1">
        <v>5</v>
      </c>
      <c r="N547" s="1">
        <v>3267.6</v>
      </c>
      <c r="O547" s="1">
        <v>11175.19</v>
      </c>
      <c r="P547" s="1">
        <v>104</v>
      </c>
      <c r="Q547" s="1">
        <v>73363.59</v>
      </c>
      <c r="R547" s="1" t="s">
        <v>33</v>
      </c>
      <c r="S547" s="1" t="s">
        <v>34</v>
      </c>
      <c r="T547" s="1" t="s">
        <v>84</v>
      </c>
      <c r="U547" s="1" t="s">
        <v>85</v>
      </c>
      <c r="V547" s="1" t="s">
        <v>86</v>
      </c>
      <c r="W547" s="1">
        <v>9</v>
      </c>
      <c r="X547" s="1" t="s">
        <v>47</v>
      </c>
      <c r="Y547" s="1">
        <v>5</v>
      </c>
      <c r="Z547" s="1" t="s">
        <v>58</v>
      </c>
    </row>
    <row r="548" spans="1:26" x14ac:dyDescent="0.3">
      <c r="A548" s="1" t="s">
        <v>1051</v>
      </c>
      <c r="B548" s="2">
        <v>45989</v>
      </c>
      <c r="C548" s="1" t="s">
        <v>711</v>
      </c>
      <c r="D548" s="1" t="s">
        <v>61</v>
      </c>
      <c r="E548" s="1" t="s">
        <v>43</v>
      </c>
      <c r="F548" s="1">
        <v>23</v>
      </c>
      <c r="G548" s="1" t="s">
        <v>139</v>
      </c>
      <c r="H548" s="1" t="s">
        <v>31</v>
      </c>
      <c r="I548" s="1" t="s">
        <v>139</v>
      </c>
      <c r="J548" s="1" t="s">
        <v>62</v>
      </c>
      <c r="K548" s="1">
        <v>5</v>
      </c>
      <c r="L548" s="1">
        <v>41403</v>
      </c>
      <c r="M548" s="1">
        <v>5</v>
      </c>
      <c r="N548" s="1">
        <v>10350.75</v>
      </c>
      <c r="O548" s="1">
        <v>35399.56</v>
      </c>
      <c r="P548" s="1">
        <v>376</v>
      </c>
      <c r="Q548" s="1">
        <v>232439.82</v>
      </c>
      <c r="R548" s="1" t="s">
        <v>83</v>
      </c>
      <c r="S548" s="1" t="s">
        <v>34</v>
      </c>
      <c r="T548" s="1" t="s">
        <v>70</v>
      </c>
      <c r="U548" s="1" t="s">
        <v>56</v>
      </c>
      <c r="V548" s="1" t="s">
        <v>57</v>
      </c>
      <c r="W548" s="1">
        <v>4</v>
      </c>
      <c r="X548" s="1" t="s">
        <v>47</v>
      </c>
      <c r="Y548" s="1">
        <v>5</v>
      </c>
      <c r="Z548" s="1" t="s">
        <v>91</v>
      </c>
    </row>
    <row r="549" spans="1:26" x14ac:dyDescent="0.3">
      <c r="A549" s="1" t="s">
        <v>1052</v>
      </c>
      <c r="B549" s="2">
        <v>45961</v>
      </c>
      <c r="C549" s="1" t="s">
        <v>1053</v>
      </c>
      <c r="D549" s="1" t="s">
        <v>42</v>
      </c>
      <c r="E549" s="1" t="s">
        <v>29</v>
      </c>
      <c r="F549" s="1">
        <v>29</v>
      </c>
      <c r="G549" s="1" t="s">
        <v>134</v>
      </c>
      <c r="H549" s="1" t="s">
        <v>31</v>
      </c>
      <c r="I549" s="1" t="s">
        <v>134</v>
      </c>
      <c r="J549" s="1" t="s">
        <v>53</v>
      </c>
      <c r="K549" s="1">
        <v>2</v>
      </c>
      <c r="L549" s="1">
        <v>19158</v>
      </c>
      <c r="M549" s="1">
        <v>5</v>
      </c>
      <c r="N549" s="1">
        <v>1915.8</v>
      </c>
      <c r="O549" s="1">
        <v>6552.04</v>
      </c>
      <c r="P549" s="1">
        <v>419</v>
      </c>
      <c r="Q549" s="1">
        <v>43371.24</v>
      </c>
      <c r="R549" s="1" t="s">
        <v>45</v>
      </c>
      <c r="S549" s="1" t="s">
        <v>63</v>
      </c>
      <c r="T549" s="1" t="s">
        <v>76</v>
      </c>
      <c r="U549" s="1" t="s">
        <v>77</v>
      </c>
      <c r="V549" s="1" t="s">
        <v>57</v>
      </c>
      <c r="W549" s="1">
        <v>4</v>
      </c>
      <c r="X549" s="1" t="s">
        <v>47</v>
      </c>
      <c r="Y549" s="1">
        <v>2</v>
      </c>
      <c r="Z549" s="1" t="s">
        <v>58</v>
      </c>
    </row>
    <row r="550" spans="1:26" x14ac:dyDescent="0.3">
      <c r="A550" s="1" t="s">
        <v>1054</v>
      </c>
      <c r="B550" s="2">
        <v>45809</v>
      </c>
      <c r="C550" s="1" t="s">
        <v>1055</v>
      </c>
      <c r="D550" s="1" t="s">
        <v>108</v>
      </c>
      <c r="E550" s="1" t="s">
        <v>43</v>
      </c>
      <c r="F550" s="1">
        <v>19</v>
      </c>
      <c r="G550" s="1" t="s">
        <v>74</v>
      </c>
      <c r="H550" s="1" t="s">
        <v>31</v>
      </c>
      <c r="I550" s="1" t="s">
        <v>74</v>
      </c>
      <c r="J550" s="1" t="s">
        <v>53</v>
      </c>
      <c r="K550" s="1">
        <v>4</v>
      </c>
      <c r="L550" s="1">
        <v>9541</v>
      </c>
      <c r="M550" s="1">
        <v>20</v>
      </c>
      <c r="N550" s="1">
        <v>7632.8</v>
      </c>
      <c r="O550" s="1">
        <v>5495.62</v>
      </c>
      <c r="P550" s="1">
        <v>462</v>
      </c>
      <c r="Q550" s="1">
        <v>36488.82</v>
      </c>
      <c r="R550" s="1" t="s">
        <v>45</v>
      </c>
      <c r="S550" s="1" t="s">
        <v>34</v>
      </c>
      <c r="T550" s="1" t="s">
        <v>35</v>
      </c>
      <c r="U550" s="1" t="s">
        <v>36</v>
      </c>
      <c r="V550" s="1" t="s">
        <v>37</v>
      </c>
      <c r="W550" s="1">
        <v>10</v>
      </c>
      <c r="X550" s="1" t="s">
        <v>47</v>
      </c>
      <c r="Y550" s="1">
        <v>3</v>
      </c>
      <c r="Z550" s="1" t="s">
        <v>58</v>
      </c>
    </row>
    <row r="551" spans="1:26" x14ac:dyDescent="0.3">
      <c r="A551" s="1" t="s">
        <v>1056</v>
      </c>
      <c r="B551" s="2">
        <v>46113</v>
      </c>
      <c r="C551" s="1" t="s">
        <v>241</v>
      </c>
      <c r="D551" s="1" t="s">
        <v>28</v>
      </c>
      <c r="E551" s="1" t="s">
        <v>43</v>
      </c>
      <c r="F551" s="1">
        <v>23</v>
      </c>
      <c r="G551" s="1" t="s">
        <v>90</v>
      </c>
      <c r="H551" s="1" t="s">
        <v>31</v>
      </c>
      <c r="I551" s="1" t="s">
        <v>90</v>
      </c>
      <c r="J551" s="1" t="s">
        <v>201</v>
      </c>
      <c r="K551" s="1">
        <v>2</v>
      </c>
      <c r="L551" s="1">
        <v>37411</v>
      </c>
      <c r="M551" s="1">
        <v>15</v>
      </c>
      <c r="N551" s="1">
        <v>11223.3</v>
      </c>
      <c r="O551" s="1">
        <v>11447.77</v>
      </c>
      <c r="P551" s="1">
        <v>407</v>
      </c>
      <c r="Q551" s="1">
        <v>75453.47</v>
      </c>
      <c r="R551" s="1" t="s">
        <v>33</v>
      </c>
      <c r="S551" s="1" t="s">
        <v>34</v>
      </c>
      <c r="T551" s="1" t="s">
        <v>103</v>
      </c>
      <c r="U551" s="1" t="s">
        <v>103</v>
      </c>
      <c r="V551" s="1" t="s">
        <v>57</v>
      </c>
      <c r="W551" s="1">
        <v>1</v>
      </c>
      <c r="X551" s="1" t="s">
        <v>38</v>
      </c>
      <c r="Y551" s="1">
        <v>3</v>
      </c>
      <c r="Z551" s="1" t="s">
        <v>39</v>
      </c>
    </row>
    <row r="552" spans="1:26" x14ac:dyDescent="0.3">
      <c r="A552" s="1" t="s">
        <v>1057</v>
      </c>
      <c r="B552" s="2">
        <v>45885</v>
      </c>
      <c r="C552" s="1" t="s">
        <v>1058</v>
      </c>
      <c r="D552" s="1" t="s">
        <v>80</v>
      </c>
      <c r="E552" s="1" t="s">
        <v>43</v>
      </c>
      <c r="F552" s="1">
        <v>35</v>
      </c>
      <c r="G552" s="1" t="s">
        <v>139</v>
      </c>
      <c r="H552" s="1" t="s">
        <v>31</v>
      </c>
      <c r="I552" s="1" t="s">
        <v>139</v>
      </c>
      <c r="J552" s="1" t="s">
        <v>125</v>
      </c>
      <c r="K552" s="1">
        <v>3</v>
      </c>
      <c r="L552" s="1">
        <v>20654</v>
      </c>
      <c r="M552" s="1">
        <v>10</v>
      </c>
      <c r="N552" s="1">
        <v>6196.2</v>
      </c>
      <c r="O552" s="1">
        <v>10037.84</v>
      </c>
      <c r="P552" s="1">
        <v>467</v>
      </c>
      <c r="Q552" s="1">
        <v>66270.64</v>
      </c>
      <c r="R552" s="1" t="s">
        <v>45</v>
      </c>
      <c r="S552" s="1" t="s">
        <v>63</v>
      </c>
      <c r="T552" s="1" t="s">
        <v>84</v>
      </c>
      <c r="U552" s="1" t="s">
        <v>85</v>
      </c>
      <c r="V552" s="1" t="s">
        <v>86</v>
      </c>
      <c r="W552" s="1">
        <v>2</v>
      </c>
      <c r="X552" s="1" t="s">
        <v>47</v>
      </c>
      <c r="Y552" s="1">
        <v>4</v>
      </c>
      <c r="Z552" s="1" t="s">
        <v>91</v>
      </c>
    </row>
    <row r="553" spans="1:26" x14ac:dyDescent="0.3">
      <c r="A553" s="1" t="s">
        <v>1059</v>
      </c>
      <c r="B553" s="2">
        <v>45804</v>
      </c>
      <c r="C553" s="1" t="s">
        <v>1060</v>
      </c>
      <c r="D553" s="1" t="s">
        <v>111</v>
      </c>
      <c r="E553" s="1" t="s">
        <v>43</v>
      </c>
      <c r="F553" s="1">
        <v>55</v>
      </c>
      <c r="G553" s="1" t="s">
        <v>74</v>
      </c>
      <c r="H553" s="1" t="s">
        <v>31</v>
      </c>
      <c r="I553" s="1" t="s">
        <v>74</v>
      </c>
      <c r="J553" s="1" t="s">
        <v>75</v>
      </c>
      <c r="K553" s="1">
        <v>1</v>
      </c>
      <c r="L553" s="1">
        <v>20050</v>
      </c>
      <c r="M553" s="1">
        <v>5</v>
      </c>
      <c r="N553" s="1">
        <v>1002.5</v>
      </c>
      <c r="O553" s="1">
        <v>3428.55</v>
      </c>
      <c r="P553" s="1">
        <v>205</v>
      </c>
      <c r="Q553" s="1">
        <v>22681.05</v>
      </c>
      <c r="R553" s="1" t="s">
        <v>54</v>
      </c>
      <c r="S553" s="1" t="s">
        <v>34</v>
      </c>
      <c r="T553" s="1" t="s">
        <v>76</v>
      </c>
      <c r="U553" s="1" t="s">
        <v>77</v>
      </c>
      <c r="V553" s="1" t="s">
        <v>57</v>
      </c>
      <c r="W553" s="1">
        <v>5</v>
      </c>
      <c r="X553" s="1" t="s">
        <v>47</v>
      </c>
      <c r="Y553" s="1">
        <v>2</v>
      </c>
      <c r="Z553" s="1" t="s">
        <v>91</v>
      </c>
    </row>
    <row r="554" spans="1:26" x14ac:dyDescent="0.3">
      <c r="A554" s="1" t="s">
        <v>1061</v>
      </c>
      <c r="B554" s="2">
        <v>45813</v>
      </c>
      <c r="C554" s="1" t="s">
        <v>609</v>
      </c>
      <c r="D554" s="1" t="s">
        <v>73</v>
      </c>
      <c r="E554" s="1" t="s">
        <v>43</v>
      </c>
      <c r="F554" s="1">
        <v>60</v>
      </c>
      <c r="G554" s="1" t="s">
        <v>90</v>
      </c>
      <c r="H554" s="1" t="s">
        <v>31</v>
      </c>
      <c r="I554" s="1" t="s">
        <v>90</v>
      </c>
      <c r="J554" s="1" t="s">
        <v>75</v>
      </c>
      <c r="K554" s="1">
        <v>5</v>
      </c>
      <c r="L554" s="1">
        <v>26702</v>
      </c>
      <c r="M554" s="1">
        <v>0</v>
      </c>
      <c r="N554" s="1">
        <v>0</v>
      </c>
      <c r="O554" s="1">
        <v>24031.8</v>
      </c>
      <c r="P554" s="1">
        <v>215</v>
      </c>
      <c r="Q554" s="1">
        <v>157756.79999999999</v>
      </c>
      <c r="R554" s="1" t="s">
        <v>54</v>
      </c>
      <c r="S554" s="1" t="s">
        <v>63</v>
      </c>
      <c r="T554" s="1" t="s">
        <v>35</v>
      </c>
      <c r="U554" s="1" t="s">
        <v>36</v>
      </c>
      <c r="V554" s="1" t="s">
        <v>37</v>
      </c>
      <c r="W554" s="1">
        <v>4</v>
      </c>
      <c r="X554" s="1" t="s">
        <v>47</v>
      </c>
      <c r="Y554" s="1">
        <v>4</v>
      </c>
      <c r="Z554" s="1" t="s">
        <v>47</v>
      </c>
    </row>
    <row r="555" spans="1:26" x14ac:dyDescent="0.3">
      <c r="A555" s="1" t="s">
        <v>1062</v>
      </c>
      <c r="B555" s="2">
        <v>45829</v>
      </c>
      <c r="C555" s="1" t="s">
        <v>1063</v>
      </c>
      <c r="D555" s="1" t="s">
        <v>89</v>
      </c>
      <c r="E555" s="1" t="s">
        <v>43</v>
      </c>
      <c r="F555" s="1">
        <v>38</v>
      </c>
      <c r="G555" s="1" t="s">
        <v>90</v>
      </c>
      <c r="H555" s="1" t="s">
        <v>31</v>
      </c>
      <c r="I555" s="1" t="s">
        <v>90</v>
      </c>
      <c r="J555" s="1" t="s">
        <v>53</v>
      </c>
      <c r="K555" s="1">
        <v>1</v>
      </c>
      <c r="L555" s="1">
        <v>49429</v>
      </c>
      <c r="M555" s="1">
        <v>0</v>
      </c>
      <c r="N555" s="1">
        <v>0</v>
      </c>
      <c r="O555" s="1">
        <v>8897.2199999999993</v>
      </c>
      <c r="P555" s="1">
        <v>491</v>
      </c>
      <c r="Q555" s="1">
        <v>58817.22</v>
      </c>
      <c r="R555" s="1" t="s">
        <v>54</v>
      </c>
      <c r="S555" s="1" t="s">
        <v>63</v>
      </c>
      <c r="T555" s="1" t="s">
        <v>70</v>
      </c>
      <c r="U555" s="1" t="s">
        <v>56</v>
      </c>
      <c r="V555" s="1" t="s">
        <v>57</v>
      </c>
      <c r="W555" s="1">
        <v>5</v>
      </c>
      <c r="X555" s="1" t="s">
        <v>47</v>
      </c>
      <c r="Y555" s="1">
        <v>2</v>
      </c>
      <c r="Z555" s="1" t="s">
        <v>58</v>
      </c>
    </row>
    <row r="556" spans="1:26" x14ac:dyDescent="0.3">
      <c r="A556" s="1" t="s">
        <v>1064</v>
      </c>
      <c r="B556" s="2">
        <v>46106</v>
      </c>
      <c r="C556" s="1" t="s">
        <v>1065</v>
      </c>
      <c r="D556" s="1" t="s">
        <v>108</v>
      </c>
      <c r="E556" s="1" t="s">
        <v>29</v>
      </c>
      <c r="F556" s="1">
        <v>20</v>
      </c>
      <c r="G556" s="1" t="s">
        <v>44</v>
      </c>
      <c r="H556" s="1" t="s">
        <v>31</v>
      </c>
      <c r="I556" s="1" t="s">
        <v>44</v>
      </c>
      <c r="J556" s="1" t="s">
        <v>125</v>
      </c>
      <c r="K556" s="1">
        <v>5</v>
      </c>
      <c r="L556" s="1">
        <v>5569</v>
      </c>
      <c r="M556" s="1">
        <v>10</v>
      </c>
      <c r="N556" s="1">
        <v>2784.5</v>
      </c>
      <c r="O556" s="1">
        <v>4510.8900000000003</v>
      </c>
      <c r="P556" s="1">
        <v>202</v>
      </c>
      <c r="Q556" s="1">
        <v>29773.39</v>
      </c>
      <c r="R556" s="1" t="s">
        <v>54</v>
      </c>
      <c r="S556" s="1" t="s">
        <v>63</v>
      </c>
      <c r="T556" s="1" t="s">
        <v>70</v>
      </c>
      <c r="U556" s="1" t="s">
        <v>56</v>
      </c>
      <c r="V556" s="1" t="s">
        <v>57</v>
      </c>
      <c r="W556" s="1">
        <v>1</v>
      </c>
      <c r="X556" s="1" t="s">
        <v>47</v>
      </c>
      <c r="Y556" s="1">
        <v>3</v>
      </c>
      <c r="Z556" s="1" t="s">
        <v>39</v>
      </c>
    </row>
    <row r="557" spans="1:26" x14ac:dyDescent="0.3">
      <c r="A557" s="1" t="s">
        <v>1066</v>
      </c>
      <c r="B557" s="2">
        <v>46009</v>
      </c>
      <c r="C557" s="1" t="s">
        <v>1067</v>
      </c>
      <c r="D557" s="1" t="s">
        <v>42</v>
      </c>
      <c r="E557" s="1" t="s">
        <v>29</v>
      </c>
      <c r="F557" s="1">
        <v>19</v>
      </c>
      <c r="G557" s="1" t="s">
        <v>44</v>
      </c>
      <c r="H557" s="1" t="s">
        <v>31</v>
      </c>
      <c r="I557" s="1" t="s">
        <v>44</v>
      </c>
      <c r="J557" s="1" t="s">
        <v>112</v>
      </c>
      <c r="K557" s="1">
        <v>1</v>
      </c>
      <c r="L557" s="1">
        <v>4090</v>
      </c>
      <c r="M557" s="1">
        <v>0</v>
      </c>
      <c r="N557" s="1">
        <v>0</v>
      </c>
      <c r="O557" s="1">
        <v>736.2</v>
      </c>
      <c r="P557" s="1">
        <v>158</v>
      </c>
      <c r="Q557" s="1">
        <v>4984.2</v>
      </c>
      <c r="R557" s="1" t="s">
        <v>45</v>
      </c>
      <c r="S557" s="1" t="s">
        <v>34</v>
      </c>
      <c r="T557" s="1" t="s">
        <v>76</v>
      </c>
      <c r="U557" s="1" t="s">
        <v>77</v>
      </c>
      <c r="V557" s="1" t="s">
        <v>57</v>
      </c>
      <c r="W557" s="1">
        <v>1</v>
      </c>
      <c r="X557" s="1" t="s">
        <v>38</v>
      </c>
      <c r="Y557" s="1">
        <v>2</v>
      </c>
      <c r="Z557" s="1" t="s">
        <v>91</v>
      </c>
    </row>
    <row r="558" spans="1:26" x14ac:dyDescent="0.3">
      <c r="A558" s="1" t="s">
        <v>1068</v>
      </c>
      <c r="B558" s="2">
        <v>46099</v>
      </c>
      <c r="C558" s="1" t="s">
        <v>1069</v>
      </c>
      <c r="D558" s="1" t="s">
        <v>66</v>
      </c>
      <c r="E558" s="1" t="s">
        <v>29</v>
      </c>
      <c r="F558" s="1">
        <v>41</v>
      </c>
      <c r="G558" s="1" t="s">
        <v>99</v>
      </c>
      <c r="H558" s="1" t="s">
        <v>52</v>
      </c>
      <c r="I558" s="1" t="s">
        <v>99</v>
      </c>
      <c r="J558" s="1" t="s">
        <v>62</v>
      </c>
      <c r="K558" s="1">
        <v>2</v>
      </c>
      <c r="L558" s="1">
        <v>36676</v>
      </c>
      <c r="M558" s="1">
        <v>10</v>
      </c>
      <c r="N558" s="1">
        <v>7335.2</v>
      </c>
      <c r="O558" s="1">
        <v>11883.02</v>
      </c>
      <c r="P558" s="1">
        <v>71</v>
      </c>
      <c r="Q558" s="1">
        <v>77970.820000000007</v>
      </c>
      <c r="R558" s="1" t="s">
        <v>45</v>
      </c>
      <c r="S558" s="1" t="s">
        <v>34</v>
      </c>
      <c r="T558" s="1" t="s">
        <v>55</v>
      </c>
      <c r="U558" s="1" t="s">
        <v>56</v>
      </c>
      <c r="V558" s="1" t="s">
        <v>57</v>
      </c>
      <c r="W558" s="1">
        <v>2</v>
      </c>
      <c r="X558" s="1" t="s">
        <v>47</v>
      </c>
      <c r="Y558" s="1">
        <v>4</v>
      </c>
      <c r="Z558" s="1" t="s">
        <v>91</v>
      </c>
    </row>
    <row r="559" spans="1:26" x14ac:dyDescent="0.3">
      <c r="A559" s="1" t="s">
        <v>1070</v>
      </c>
      <c r="B559" s="2">
        <v>45901</v>
      </c>
      <c r="C559" s="1" t="s">
        <v>913</v>
      </c>
      <c r="D559" s="1" t="s">
        <v>66</v>
      </c>
      <c r="E559" s="1" t="s">
        <v>29</v>
      </c>
      <c r="F559" s="1">
        <v>36</v>
      </c>
      <c r="G559" s="1" t="s">
        <v>90</v>
      </c>
      <c r="H559" s="1" t="s">
        <v>31</v>
      </c>
      <c r="I559" s="1" t="s">
        <v>90</v>
      </c>
      <c r="J559" s="1" t="s">
        <v>201</v>
      </c>
      <c r="K559" s="1">
        <v>3</v>
      </c>
      <c r="L559" s="1">
        <v>7820</v>
      </c>
      <c r="M559" s="1">
        <v>5</v>
      </c>
      <c r="N559" s="1">
        <v>1173</v>
      </c>
      <c r="O559" s="1">
        <v>4011.66</v>
      </c>
      <c r="P559" s="1">
        <v>161</v>
      </c>
      <c r="Q559" s="1">
        <v>26459.66</v>
      </c>
      <c r="R559" s="1" t="s">
        <v>33</v>
      </c>
      <c r="S559" s="1" t="s">
        <v>63</v>
      </c>
      <c r="T559" s="1" t="s">
        <v>55</v>
      </c>
      <c r="U559" s="1" t="s">
        <v>56</v>
      </c>
      <c r="V559" s="1" t="s">
        <v>57</v>
      </c>
      <c r="W559" s="1">
        <v>7</v>
      </c>
      <c r="X559" s="1" t="s">
        <v>38</v>
      </c>
      <c r="Y559" s="1">
        <v>5</v>
      </c>
      <c r="Z559" s="1" t="s">
        <v>47</v>
      </c>
    </row>
    <row r="560" spans="1:26" x14ac:dyDescent="0.3">
      <c r="A560" s="1" t="s">
        <v>1071</v>
      </c>
      <c r="B560" s="2">
        <v>45778</v>
      </c>
      <c r="C560" s="1" t="s">
        <v>674</v>
      </c>
      <c r="D560" s="1" t="s">
        <v>61</v>
      </c>
      <c r="E560" s="1" t="s">
        <v>43</v>
      </c>
      <c r="F560" s="1">
        <v>55</v>
      </c>
      <c r="G560" s="1" t="s">
        <v>99</v>
      </c>
      <c r="H560" s="1" t="s">
        <v>52</v>
      </c>
      <c r="I560" s="1" t="s">
        <v>99</v>
      </c>
      <c r="J560" s="1" t="s">
        <v>53</v>
      </c>
      <c r="K560" s="1">
        <v>2</v>
      </c>
      <c r="L560" s="1">
        <v>13342</v>
      </c>
      <c r="M560" s="1">
        <v>0</v>
      </c>
      <c r="N560" s="1">
        <v>0</v>
      </c>
      <c r="O560" s="1">
        <v>4803.12</v>
      </c>
      <c r="P560" s="1">
        <v>174</v>
      </c>
      <c r="Q560" s="1">
        <v>31661.119999999999</v>
      </c>
      <c r="R560" s="1" t="s">
        <v>45</v>
      </c>
      <c r="S560" s="1" t="s">
        <v>34</v>
      </c>
      <c r="T560" s="1" t="s">
        <v>84</v>
      </c>
      <c r="U560" s="1" t="s">
        <v>85</v>
      </c>
      <c r="V560" s="1" t="s">
        <v>86</v>
      </c>
      <c r="W560" s="1">
        <v>4</v>
      </c>
      <c r="X560" s="1" t="s">
        <v>38</v>
      </c>
      <c r="Y560" s="1">
        <v>5</v>
      </c>
      <c r="Z560" s="1" t="s">
        <v>58</v>
      </c>
    </row>
    <row r="561" spans="1:26" x14ac:dyDescent="0.3">
      <c r="A561" s="1" t="s">
        <v>1072</v>
      </c>
      <c r="B561" s="2">
        <v>46075</v>
      </c>
      <c r="C561" s="1" t="s">
        <v>631</v>
      </c>
      <c r="D561" s="1" t="s">
        <v>28</v>
      </c>
      <c r="E561" s="1" t="s">
        <v>43</v>
      </c>
      <c r="F561" s="1">
        <v>60</v>
      </c>
      <c r="G561" s="1" t="s">
        <v>99</v>
      </c>
      <c r="H561" s="1" t="s">
        <v>52</v>
      </c>
      <c r="I561" s="1" t="s">
        <v>99</v>
      </c>
      <c r="J561" s="1" t="s">
        <v>32</v>
      </c>
      <c r="K561" s="1">
        <v>1</v>
      </c>
      <c r="L561" s="1">
        <v>22384</v>
      </c>
      <c r="M561" s="1">
        <v>0</v>
      </c>
      <c r="N561" s="1">
        <v>0</v>
      </c>
      <c r="O561" s="1">
        <v>4029.12</v>
      </c>
      <c r="P561" s="1">
        <v>175</v>
      </c>
      <c r="Q561" s="1">
        <v>26588.12</v>
      </c>
      <c r="R561" s="1" t="s">
        <v>33</v>
      </c>
      <c r="S561" s="1" t="s">
        <v>63</v>
      </c>
      <c r="T561" s="1" t="s">
        <v>103</v>
      </c>
      <c r="U561" s="1" t="s">
        <v>103</v>
      </c>
      <c r="V561" s="1" t="s">
        <v>57</v>
      </c>
      <c r="W561" s="1">
        <v>2</v>
      </c>
      <c r="X561" s="1" t="s">
        <v>47</v>
      </c>
      <c r="Y561" s="1">
        <v>2</v>
      </c>
      <c r="Z561" s="1" t="s">
        <v>47</v>
      </c>
    </row>
    <row r="562" spans="1:26" x14ac:dyDescent="0.3">
      <c r="A562" s="1" t="s">
        <v>1073</v>
      </c>
      <c r="B562" s="2">
        <v>45937</v>
      </c>
      <c r="C562" s="1" t="s">
        <v>1074</v>
      </c>
      <c r="D562" s="1" t="s">
        <v>66</v>
      </c>
      <c r="E562" s="1" t="s">
        <v>43</v>
      </c>
      <c r="F562" s="1">
        <v>45</v>
      </c>
      <c r="G562" s="1" t="s">
        <v>44</v>
      </c>
      <c r="H562" s="1" t="s">
        <v>31</v>
      </c>
      <c r="I562" s="1" t="s">
        <v>44</v>
      </c>
      <c r="J562" s="1" t="s">
        <v>201</v>
      </c>
      <c r="K562" s="1">
        <v>2</v>
      </c>
      <c r="L562" s="1">
        <v>22350</v>
      </c>
      <c r="M562" s="1">
        <v>0</v>
      </c>
      <c r="N562" s="1">
        <v>0</v>
      </c>
      <c r="O562" s="1">
        <v>8046</v>
      </c>
      <c r="P562" s="1">
        <v>119</v>
      </c>
      <c r="Q562" s="1">
        <v>52865</v>
      </c>
      <c r="R562" s="1" t="s">
        <v>54</v>
      </c>
      <c r="S562" s="1" t="s">
        <v>34</v>
      </c>
      <c r="T562" s="1" t="s">
        <v>76</v>
      </c>
      <c r="U562" s="1" t="s">
        <v>77</v>
      </c>
      <c r="V562" s="1" t="s">
        <v>57</v>
      </c>
      <c r="W562" s="1">
        <v>9</v>
      </c>
      <c r="X562" s="1" t="s">
        <v>47</v>
      </c>
      <c r="Y562" s="1">
        <v>3</v>
      </c>
      <c r="Z562" s="1" t="s">
        <v>58</v>
      </c>
    </row>
    <row r="563" spans="1:26" x14ac:dyDescent="0.3">
      <c r="A563" s="1" t="s">
        <v>1075</v>
      </c>
      <c r="B563" s="2">
        <v>45860</v>
      </c>
      <c r="C563" s="1" t="s">
        <v>156</v>
      </c>
      <c r="D563" s="1" t="s">
        <v>50</v>
      </c>
      <c r="E563" s="1" t="s">
        <v>43</v>
      </c>
      <c r="F563" s="1">
        <v>36</v>
      </c>
      <c r="G563" s="1" t="s">
        <v>44</v>
      </c>
      <c r="H563" s="1" t="s">
        <v>31</v>
      </c>
      <c r="I563" s="1" t="s">
        <v>44</v>
      </c>
      <c r="J563" s="1" t="s">
        <v>62</v>
      </c>
      <c r="K563" s="1">
        <v>1</v>
      </c>
      <c r="L563" s="1">
        <v>30336</v>
      </c>
      <c r="M563" s="1">
        <v>5</v>
      </c>
      <c r="N563" s="1">
        <v>1516.8</v>
      </c>
      <c r="O563" s="1">
        <v>5187.46</v>
      </c>
      <c r="P563" s="1">
        <v>83</v>
      </c>
      <c r="Q563" s="1">
        <v>34089.660000000003</v>
      </c>
      <c r="R563" s="1" t="s">
        <v>33</v>
      </c>
      <c r="S563" s="1" t="s">
        <v>34</v>
      </c>
      <c r="T563" s="1" t="s">
        <v>103</v>
      </c>
      <c r="U563" s="1" t="s">
        <v>103</v>
      </c>
      <c r="V563" s="1" t="s">
        <v>57</v>
      </c>
      <c r="W563" s="1">
        <v>9</v>
      </c>
      <c r="X563" s="1" t="s">
        <v>38</v>
      </c>
      <c r="Y563" s="1">
        <v>4</v>
      </c>
      <c r="Z563" s="1" t="s">
        <v>39</v>
      </c>
    </row>
    <row r="564" spans="1:26" x14ac:dyDescent="0.3">
      <c r="A564" s="1" t="s">
        <v>1076</v>
      </c>
      <c r="B564" s="2">
        <v>45872</v>
      </c>
      <c r="C564" s="1" t="s">
        <v>1077</v>
      </c>
      <c r="D564" s="1" t="s">
        <v>50</v>
      </c>
      <c r="E564" s="1" t="s">
        <v>29</v>
      </c>
      <c r="F564" s="1">
        <v>47</v>
      </c>
      <c r="G564" s="1" t="s">
        <v>94</v>
      </c>
      <c r="H564" s="1" t="s">
        <v>31</v>
      </c>
      <c r="I564" s="1" t="s">
        <v>94</v>
      </c>
      <c r="J564" s="1" t="s">
        <v>75</v>
      </c>
      <c r="K564" s="1">
        <v>5</v>
      </c>
      <c r="L564" s="1">
        <v>14793</v>
      </c>
      <c r="M564" s="1">
        <v>10</v>
      </c>
      <c r="N564" s="1">
        <v>7396.5</v>
      </c>
      <c r="O564" s="1">
        <v>11982.33</v>
      </c>
      <c r="P564" s="1">
        <v>384</v>
      </c>
      <c r="Q564" s="1">
        <v>78934.83</v>
      </c>
      <c r="R564" s="1" t="s">
        <v>83</v>
      </c>
      <c r="S564" s="1" t="s">
        <v>34</v>
      </c>
      <c r="T564" s="1" t="s">
        <v>103</v>
      </c>
      <c r="U564" s="1" t="s">
        <v>103</v>
      </c>
      <c r="V564" s="1" t="s">
        <v>57</v>
      </c>
      <c r="W564" s="1">
        <v>10</v>
      </c>
      <c r="X564" s="1" t="s">
        <v>47</v>
      </c>
      <c r="Y564" s="1">
        <v>3</v>
      </c>
      <c r="Z564" s="1" t="s">
        <v>91</v>
      </c>
    </row>
    <row r="565" spans="1:26" x14ac:dyDescent="0.3">
      <c r="A565" s="1" t="s">
        <v>1078</v>
      </c>
      <c r="B565" s="2">
        <v>45791</v>
      </c>
      <c r="C565" s="1" t="s">
        <v>1079</v>
      </c>
      <c r="D565" s="1" t="s">
        <v>42</v>
      </c>
      <c r="E565" s="1" t="s">
        <v>29</v>
      </c>
      <c r="F565" s="1">
        <v>33</v>
      </c>
      <c r="G565" s="1" t="s">
        <v>74</v>
      </c>
      <c r="H565" s="1" t="s">
        <v>31</v>
      </c>
      <c r="I565" s="1" t="s">
        <v>74</v>
      </c>
      <c r="J565" s="1" t="s">
        <v>112</v>
      </c>
      <c r="K565" s="1">
        <v>3</v>
      </c>
      <c r="L565" s="1">
        <v>38101</v>
      </c>
      <c r="M565" s="1">
        <v>10</v>
      </c>
      <c r="N565" s="1">
        <v>11430.3</v>
      </c>
      <c r="O565" s="1">
        <v>18517.09</v>
      </c>
      <c r="P565" s="1">
        <v>123</v>
      </c>
      <c r="Q565" s="1">
        <v>121512.79</v>
      </c>
      <c r="R565" s="1" t="s">
        <v>83</v>
      </c>
      <c r="S565" s="1" t="s">
        <v>63</v>
      </c>
      <c r="T565" s="1" t="s">
        <v>95</v>
      </c>
      <c r="U565" s="1" t="s">
        <v>96</v>
      </c>
      <c r="V565" s="1" t="s">
        <v>57</v>
      </c>
      <c r="W565" s="1">
        <v>4</v>
      </c>
      <c r="X565" s="1" t="s">
        <v>38</v>
      </c>
      <c r="Y565" s="1">
        <v>1</v>
      </c>
      <c r="Z565" s="1" t="s">
        <v>91</v>
      </c>
    </row>
    <row r="566" spans="1:26" x14ac:dyDescent="0.3">
      <c r="A566" s="1" t="s">
        <v>1080</v>
      </c>
      <c r="B566" s="2">
        <v>45951</v>
      </c>
      <c r="C566" s="1" t="s">
        <v>200</v>
      </c>
      <c r="D566" s="1" t="s">
        <v>89</v>
      </c>
      <c r="E566" s="1" t="s">
        <v>29</v>
      </c>
      <c r="F566" s="1">
        <v>27</v>
      </c>
      <c r="G566" s="1" t="s">
        <v>67</v>
      </c>
      <c r="H566" s="1" t="s">
        <v>68</v>
      </c>
      <c r="I566" s="1" t="s">
        <v>67</v>
      </c>
      <c r="J566" s="1" t="s">
        <v>62</v>
      </c>
      <c r="K566" s="1">
        <v>2</v>
      </c>
      <c r="L566" s="1">
        <v>20386</v>
      </c>
      <c r="M566" s="1">
        <v>20</v>
      </c>
      <c r="N566" s="1">
        <v>8154.4</v>
      </c>
      <c r="O566" s="1">
        <v>5871.17</v>
      </c>
      <c r="P566" s="1">
        <v>48</v>
      </c>
      <c r="Q566" s="1">
        <v>38536.769999999997</v>
      </c>
      <c r="R566" s="1" t="s">
        <v>83</v>
      </c>
      <c r="S566" s="1" t="s">
        <v>63</v>
      </c>
      <c r="T566" s="1" t="s">
        <v>46</v>
      </c>
      <c r="U566" s="1" t="s">
        <v>36</v>
      </c>
      <c r="V566" s="1" t="s">
        <v>37</v>
      </c>
      <c r="W566" s="1">
        <v>10</v>
      </c>
      <c r="X566" s="1" t="s">
        <v>38</v>
      </c>
      <c r="Y566" s="1">
        <v>1</v>
      </c>
      <c r="Z566" s="1" t="s">
        <v>91</v>
      </c>
    </row>
    <row r="567" spans="1:26" x14ac:dyDescent="0.3">
      <c r="A567" s="1" t="s">
        <v>1081</v>
      </c>
      <c r="B567" s="2">
        <v>46066</v>
      </c>
      <c r="C567" s="1" t="s">
        <v>266</v>
      </c>
      <c r="D567" s="1" t="s">
        <v>73</v>
      </c>
      <c r="E567" s="1" t="s">
        <v>29</v>
      </c>
      <c r="F567" s="1">
        <v>28</v>
      </c>
      <c r="G567" s="1" t="s">
        <v>90</v>
      </c>
      <c r="H567" s="1" t="s">
        <v>31</v>
      </c>
      <c r="I567" s="1" t="s">
        <v>90</v>
      </c>
      <c r="J567" s="1" t="s">
        <v>32</v>
      </c>
      <c r="K567" s="1">
        <v>2</v>
      </c>
      <c r="L567" s="1">
        <v>12947</v>
      </c>
      <c r="M567" s="1">
        <v>10</v>
      </c>
      <c r="N567" s="1">
        <v>2589.4</v>
      </c>
      <c r="O567" s="1">
        <v>4194.83</v>
      </c>
      <c r="P567" s="1">
        <v>401</v>
      </c>
      <c r="Q567" s="1">
        <v>27900.43</v>
      </c>
      <c r="R567" s="1" t="s">
        <v>54</v>
      </c>
      <c r="S567" s="1" t="s">
        <v>34</v>
      </c>
      <c r="T567" s="1" t="s">
        <v>46</v>
      </c>
      <c r="U567" s="1" t="s">
        <v>36</v>
      </c>
      <c r="V567" s="1" t="s">
        <v>37</v>
      </c>
      <c r="W567" s="1">
        <v>1</v>
      </c>
      <c r="X567" s="1" t="s">
        <v>47</v>
      </c>
      <c r="Y567" s="1">
        <v>1</v>
      </c>
      <c r="Z567" s="1" t="s">
        <v>58</v>
      </c>
    </row>
    <row r="568" spans="1:26" x14ac:dyDescent="0.3">
      <c r="A568" s="1" t="s">
        <v>1082</v>
      </c>
      <c r="B568" s="2">
        <v>45993</v>
      </c>
      <c r="C568" s="1" t="s">
        <v>1083</v>
      </c>
      <c r="D568" s="1" t="s">
        <v>28</v>
      </c>
      <c r="E568" s="1" t="s">
        <v>43</v>
      </c>
      <c r="F568" s="1">
        <v>29</v>
      </c>
      <c r="G568" s="1" t="s">
        <v>67</v>
      </c>
      <c r="H568" s="1" t="s">
        <v>68</v>
      </c>
      <c r="I568" s="1" t="s">
        <v>67</v>
      </c>
      <c r="J568" s="1" t="s">
        <v>125</v>
      </c>
      <c r="K568" s="1">
        <v>1</v>
      </c>
      <c r="L568" s="1">
        <v>45669</v>
      </c>
      <c r="M568" s="1">
        <v>20</v>
      </c>
      <c r="N568" s="1">
        <v>9133.7999999999993</v>
      </c>
      <c r="O568" s="1">
        <v>6576.34</v>
      </c>
      <c r="P568" s="1">
        <v>84</v>
      </c>
      <c r="Q568" s="1">
        <v>43195.54</v>
      </c>
      <c r="R568" s="1" t="s">
        <v>83</v>
      </c>
      <c r="S568" s="1" t="s">
        <v>34</v>
      </c>
      <c r="T568" s="1" t="s">
        <v>103</v>
      </c>
      <c r="U568" s="1" t="s">
        <v>103</v>
      </c>
      <c r="V568" s="1" t="s">
        <v>57</v>
      </c>
      <c r="W568" s="1">
        <v>9</v>
      </c>
      <c r="X568" s="1" t="s">
        <v>47</v>
      </c>
      <c r="Y568" s="1">
        <v>1</v>
      </c>
      <c r="Z568" s="1" t="s">
        <v>58</v>
      </c>
    </row>
    <row r="569" spans="1:26" x14ac:dyDescent="0.3">
      <c r="A569" s="1" t="s">
        <v>1084</v>
      </c>
      <c r="B569" s="2">
        <v>45923</v>
      </c>
      <c r="C569" s="1" t="s">
        <v>1085</v>
      </c>
      <c r="D569" s="1" t="s">
        <v>66</v>
      </c>
      <c r="E569" s="1" t="s">
        <v>29</v>
      </c>
      <c r="F569" s="1">
        <v>27</v>
      </c>
      <c r="G569" s="1" t="s">
        <v>44</v>
      </c>
      <c r="H569" s="1" t="s">
        <v>31</v>
      </c>
      <c r="I569" s="1" t="s">
        <v>44</v>
      </c>
      <c r="J569" s="1" t="s">
        <v>150</v>
      </c>
      <c r="K569" s="1">
        <v>5</v>
      </c>
      <c r="L569" s="1">
        <v>32363</v>
      </c>
      <c r="M569" s="1">
        <v>15</v>
      </c>
      <c r="N569" s="1">
        <v>24272.25</v>
      </c>
      <c r="O569" s="1">
        <v>24757.69</v>
      </c>
      <c r="P569" s="1">
        <v>55</v>
      </c>
      <c r="Q569" s="1">
        <v>162355.45000000001</v>
      </c>
      <c r="R569" s="1" t="s">
        <v>33</v>
      </c>
      <c r="S569" s="1" t="s">
        <v>63</v>
      </c>
      <c r="T569" s="1" t="s">
        <v>103</v>
      </c>
      <c r="U569" s="1" t="s">
        <v>103</v>
      </c>
      <c r="V569" s="1" t="s">
        <v>57</v>
      </c>
      <c r="W569" s="1">
        <v>4</v>
      </c>
      <c r="X569" s="1" t="s">
        <v>47</v>
      </c>
      <c r="Y569" s="1">
        <v>3</v>
      </c>
      <c r="Z569" s="1" t="s">
        <v>39</v>
      </c>
    </row>
    <row r="570" spans="1:26" x14ac:dyDescent="0.3">
      <c r="A570" s="1" t="s">
        <v>1086</v>
      </c>
      <c r="B570" s="2">
        <v>45902</v>
      </c>
      <c r="C570" s="1" t="s">
        <v>1087</v>
      </c>
      <c r="D570" s="1" t="s">
        <v>108</v>
      </c>
      <c r="E570" s="1" t="s">
        <v>29</v>
      </c>
      <c r="F570" s="1">
        <v>18</v>
      </c>
      <c r="G570" s="1" t="s">
        <v>90</v>
      </c>
      <c r="H570" s="1" t="s">
        <v>31</v>
      </c>
      <c r="I570" s="1" t="s">
        <v>90</v>
      </c>
      <c r="J570" s="1" t="s">
        <v>201</v>
      </c>
      <c r="K570" s="1">
        <v>2</v>
      </c>
      <c r="L570" s="1">
        <v>26083</v>
      </c>
      <c r="M570" s="1">
        <v>5</v>
      </c>
      <c r="N570" s="1">
        <v>2608.3000000000002</v>
      </c>
      <c r="O570" s="1">
        <v>8920.39</v>
      </c>
      <c r="P570" s="1">
        <v>148</v>
      </c>
      <c r="Q570" s="1">
        <v>58626.09</v>
      </c>
      <c r="R570" s="1" t="s">
        <v>45</v>
      </c>
      <c r="S570" s="1" t="s">
        <v>34</v>
      </c>
      <c r="T570" s="1" t="s">
        <v>95</v>
      </c>
      <c r="U570" s="1" t="s">
        <v>96</v>
      </c>
      <c r="V570" s="1" t="s">
        <v>57</v>
      </c>
      <c r="W570" s="1">
        <v>4</v>
      </c>
      <c r="X570" s="1" t="s">
        <v>38</v>
      </c>
      <c r="Y570" s="1">
        <v>2</v>
      </c>
      <c r="Z570" s="1" t="s">
        <v>39</v>
      </c>
    </row>
    <row r="571" spans="1:26" x14ac:dyDescent="0.3">
      <c r="A571" s="1" t="s">
        <v>1088</v>
      </c>
      <c r="B571" s="2">
        <v>46113</v>
      </c>
      <c r="C571" s="1" t="s">
        <v>491</v>
      </c>
      <c r="D571" s="1" t="s">
        <v>42</v>
      </c>
      <c r="E571" s="1" t="s">
        <v>43</v>
      </c>
      <c r="F571" s="1">
        <v>28</v>
      </c>
      <c r="G571" s="1" t="s">
        <v>90</v>
      </c>
      <c r="H571" s="1" t="s">
        <v>31</v>
      </c>
      <c r="I571" s="1" t="s">
        <v>90</v>
      </c>
      <c r="J571" s="1" t="s">
        <v>112</v>
      </c>
      <c r="K571" s="1">
        <v>4</v>
      </c>
      <c r="L571" s="1">
        <v>18529</v>
      </c>
      <c r="M571" s="1">
        <v>20</v>
      </c>
      <c r="N571" s="1">
        <v>14823.2</v>
      </c>
      <c r="O571" s="1">
        <v>10672.7</v>
      </c>
      <c r="P571" s="1">
        <v>326</v>
      </c>
      <c r="Q571" s="1">
        <v>70291.5</v>
      </c>
      <c r="R571" s="1" t="s">
        <v>33</v>
      </c>
      <c r="S571" s="1" t="s">
        <v>63</v>
      </c>
      <c r="T571" s="1" t="s">
        <v>84</v>
      </c>
      <c r="U571" s="1" t="s">
        <v>85</v>
      </c>
      <c r="V571" s="1" t="s">
        <v>86</v>
      </c>
      <c r="W571" s="1">
        <v>10</v>
      </c>
      <c r="X571" s="1" t="s">
        <v>38</v>
      </c>
      <c r="Y571" s="1">
        <v>4</v>
      </c>
      <c r="Z571" s="1" t="s">
        <v>91</v>
      </c>
    </row>
    <row r="572" spans="1:26" x14ac:dyDescent="0.3">
      <c r="A572" s="1" t="s">
        <v>1089</v>
      </c>
      <c r="B572" s="2">
        <v>46038</v>
      </c>
      <c r="C572" s="1" t="s">
        <v>540</v>
      </c>
      <c r="D572" s="1" t="s">
        <v>73</v>
      </c>
      <c r="E572" s="1" t="s">
        <v>29</v>
      </c>
      <c r="F572" s="1">
        <v>22</v>
      </c>
      <c r="G572" s="1" t="s">
        <v>44</v>
      </c>
      <c r="H572" s="1" t="s">
        <v>31</v>
      </c>
      <c r="I572" s="1" t="s">
        <v>44</v>
      </c>
      <c r="J572" s="1" t="s">
        <v>32</v>
      </c>
      <c r="K572" s="1">
        <v>5</v>
      </c>
      <c r="L572" s="1">
        <v>48092</v>
      </c>
      <c r="M572" s="1">
        <v>0</v>
      </c>
      <c r="N572" s="1">
        <v>0</v>
      </c>
      <c r="O572" s="1">
        <v>43282.8</v>
      </c>
      <c r="P572" s="1">
        <v>210</v>
      </c>
      <c r="Q572" s="1">
        <v>283952.8</v>
      </c>
      <c r="R572" s="1" t="s">
        <v>54</v>
      </c>
      <c r="S572" s="1" t="s">
        <v>34</v>
      </c>
      <c r="T572" s="1" t="s">
        <v>95</v>
      </c>
      <c r="U572" s="1" t="s">
        <v>96</v>
      </c>
      <c r="V572" s="1" t="s">
        <v>57</v>
      </c>
      <c r="W572" s="1">
        <v>3</v>
      </c>
      <c r="X572" s="1" t="s">
        <v>38</v>
      </c>
      <c r="Y572" s="1">
        <v>1</v>
      </c>
      <c r="Z572" s="1" t="s">
        <v>47</v>
      </c>
    </row>
    <row r="573" spans="1:26" x14ac:dyDescent="0.3">
      <c r="A573" s="1" t="s">
        <v>1090</v>
      </c>
      <c r="B573" s="2">
        <v>45975</v>
      </c>
      <c r="C573" s="1" t="s">
        <v>1017</v>
      </c>
      <c r="D573" s="1" t="s">
        <v>111</v>
      </c>
      <c r="E573" s="1" t="s">
        <v>43</v>
      </c>
      <c r="F573" s="1">
        <v>28</v>
      </c>
      <c r="G573" s="1" t="s">
        <v>51</v>
      </c>
      <c r="H573" s="1" t="s">
        <v>52</v>
      </c>
      <c r="I573" s="1" t="s">
        <v>51</v>
      </c>
      <c r="J573" s="1" t="s">
        <v>102</v>
      </c>
      <c r="K573" s="1">
        <v>1</v>
      </c>
      <c r="L573" s="1">
        <v>46450</v>
      </c>
      <c r="M573" s="1">
        <v>10</v>
      </c>
      <c r="N573" s="1">
        <v>4645</v>
      </c>
      <c r="O573" s="1">
        <v>7524.9</v>
      </c>
      <c r="P573" s="1">
        <v>11</v>
      </c>
      <c r="Q573" s="1">
        <v>49340.9</v>
      </c>
      <c r="R573" s="1" t="s">
        <v>54</v>
      </c>
      <c r="S573" s="1" t="s">
        <v>34</v>
      </c>
      <c r="T573" s="1" t="s">
        <v>84</v>
      </c>
      <c r="U573" s="1" t="s">
        <v>85</v>
      </c>
      <c r="V573" s="1" t="s">
        <v>86</v>
      </c>
      <c r="W573" s="1">
        <v>8</v>
      </c>
      <c r="X573" s="1" t="s">
        <v>38</v>
      </c>
      <c r="Y573" s="1">
        <v>5</v>
      </c>
      <c r="Z573" s="1" t="s">
        <v>39</v>
      </c>
    </row>
    <row r="574" spans="1:26" x14ac:dyDescent="0.3">
      <c r="A574" s="1" t="s">
        <v>1091</v>
      </c>
      <c r="B574" s="2">
        <v>46041</v>
      </c>
      <c r="C574" s="1" t="s">
        <v>523</v>
      </c>
      <c r="D574" s="1" t="s">
        <v>108</v>
      </c>
      <c r="E574" s="1" t="s">
        <v>43</v>
      </c>
      <c r="F574" s="1">
        <v>19</v>
      </c>
      <c r="G574" s="1" t="s">
        <v>44</v>
      </c>
      <c r="H574" s="1" t="s">
        <v>31</v>
      </c>
      <c r="I574" s="1" t="s">
        <v>44</v>
      </c>
      <c r="J574" s="1" t="s">
        <v>53</v>
      </c>
      <c r="K574" s="1">
        <v>2</v>
      </c>
      <c r="L574" s="1">
        <v>7461</v>
      </c>
      <c r="M574" s="1">
        <v>5</v>
      </c>
      <c r="N574" s="1">
        <v>746.1</v>
      </c>
      <c r="O574" s="1">
        <v>2551.66</v>
      </c>
      <c r="P574" s="1">
        <v>462</v>
      </c>
      <c r="Q574" s="1">
        <v>17189.560000000001</v>
      </c>
      <c r="R574" s="1" t="s">
        <v>54</v>
      </c>
      <c r="S574" s="1" t="s">
        <v>63</v>
      </c>
      <c r="T574" s="1" t="s">
        <v>84</v>
      </c>
      <c r="U574" s="1" t="s">
        <v>85</v>
      </c>
      <c r="V574" s="1" t="s">
        <v>86</v>
      </c>
      <c r="W574" s="1">
        <v>4</v>
      </c>
      <c r="X574" s="1" t="s">
        <v>47</v>
      </c>
      <c r="Y574" s="1">
        <v>5</v>
      </c>
      <c r="Z574" s="1" t="s">
        <v>91</v>
      </c>
    </row>
    <row r="575" spans="1:26" x14ac:dyDescent="0.3">
      <c r="A575" s="1" t="s">
        <v>1092</v>
      </c>
      <c r="B575" s="2">
        <v>45764</v>
      </c>
      <c r="C575" s="1" t="s">
        <v>257</v>
      </c>
      <c r="D575" s="1" t="s">
        <v>89</v>
      </c>
      <c r="E575" s="1" t="s">
        <v>29</v>
      </c>
      <c r="F575" s="1">
        <v>26</v>
      </c>
      <c r="G575" s="1" t="s">
        <v>94</v>
      </c>
      <c r="H575" s="1" t="s">
        <v>31</v>
      </c>
      <c r="I575" s="1" t="s">
        <v>94</v>
      </c>
      <c r="J575" s="1" t="s">
        <v>201</v>
      </c>
      <c r="K575" s="1">
        <v>4</v>
      </c>
      <c r="L575" s="1">
        <v>34693</v>
      </c>
      <c r="M575" s="1">
        <v>20</v>
      </c>
      <c r="N575" s="1">
        <v>27754.400000000001</v>
      </c>
      <c r="O575" s="1">
        <v>19983.169999999998</v>
      </c>
      <c r="P575" s="1">
        <v>92</v>
      </c>
      <c r="Q575" s="1">
        <v>131092.76999999999</v>
      </c>
      <c r="R575" s="1" t="s">
        <v>83</v>
      </c>
      <c r="S575" s="1" t="s">
        <v>34</v>
      </c>
      <c r="T575" s="1" t="s">
        <v>35</v>
      </c>
      <c r="U575" s="1" t="s">
        <v>36</v>
      </c>
      <c r="V575" s="1" t="s">
        <v>37</v>
      </c>
      <c r="W575" s="1">
        <v>6</v>
      </c>
      <c r="X575" s="1" t="s">
        <v>47</v>
      </c>
      <c r="Y575" s="1">
        <v>3</v>
      </c>
      <c r="Z575" s="1" t="s">
        <v>91</v>
      </c>
    </row>
    <row r="576" spans="1:26" x14ac:dyDescent="0.3">
      <c r="A576" s="1" t="s">
        <v>1093</v>
      </c>
      <c r="B576" s="2">
        <v>45875</v>
      </c>
      <c r="C576" s="1" t="s">
        <v>314</v>
      </c>
      <c r="D576" s="1" t="s">
        <v>50</v>
      </c>
      <c r="E576" s="1" t="s">
        <v>43</v>
      </c>
      <c r="F576" s="1">
        <v>29</v>
      </c>
      <c r="G576" s="1" t="s">
        <v>90</v>
      </c>
      <c r="H576" s="1" t="s">
        <v>31</v>
      </c>
      <c r="I576" s="1" t="s">
        <v>90</v>
      </c>
      <c r="J576" s="1" t="s">
        <v>112</v>
      </c>
      <c r="K576" s="1">
        <v>1</v>
      </c>
      <c r="L576" s="1">
        <v>32825</v>
      </c>
      <c r="M576" s="1">
        <v>10</v>
      </c>
      <c r="N576" s="1">
        <v>3282.5</v>
      </c>
      <c r="O576" s="1">
        <v>5317.65</v>
      </c>
      <c r="P576" s="1">
        <v>116</v>
      </c>
      <c r="Q576" s="1">
        <v>34976.15</v>
      </c>
      <c r="R576" s="1" t="s">
        <v>45</v>
      </c>
      <c r="S576" s="1" t="s">
        <v>63</v>
      </c>
      <c r="T576" s="1" t="s">
        <v>103</v>
      </c>
      <c r="U576" s="1" t="s">
        <v>103</v>
      </c>
      <c r="V576" s="1" t="s">
        <v>57</v>
      </c>
      <c r="W576" s="1">
        <v>7</v>
      </c>
      <c r="X576" s="1" t="s">
        <v>47</v>
      </c>
      <c r="Y576" s="1">
        <v>4</v>
      </c>
      <c r="Z576" s="1" t="s">
        <v>39</v>
      </c>
    </row>
    <row r="577" spans="1:26" x14ac:dyDescent="0.3">
      <c r="A577" s="1" t="s">
        <v>1094</v>
      </c>
      <c r="B577" s="2">
        <v>45786</v>
      </c>
      <c r="C577" s="1" t="s">
        <v>808</v>
      </c>
      <c r="D577" s="1" t="s">
        <v>42</v>
      </c>
      <c r="E577" s="1" t="s">
        <v>29</v>
      </c>
      <c r="F577" s="1">
        <v>33</v>
      </c>
      <c r="G577" s="1" t="s">
        <v>44</v>
      </c>
      <c r="H577" s="1" t="s">
        <v>31</v>
      </c>
      <c r="I577" s="1" t="s">
        <v>44</v>
      </c>
      <c r="J577" s="1" t="s">
        <v>112</v>
      </c>
      <c r="K577" s="1">
        <v>3</v>
      </c>
      <c r="L577" s="1">
        <v>10600</v>
      </c>
      <c r="M577" s="1">
        <v>20</v>
      </c>
      <c r="N577" s="1">
        <v>6360</v>
      </c>
      <c r="O577" s="1">
        <v>4579.2</v>
      </c>
      <c r="P577" s="1">
        <v>129</v>
      </c>
      <c r="Q577" s="1">
        <v>30148.2</v>
      </c>
      <c r="R577" s="1" t="s">
        <v>83</v>
      </c>
      <c r="S577" s="1" t="s">
        <v>34</v>
      </c>
      <c r="T577" s="1" t="s">
        <v>55</v>
      </c>
      <c r="U577" s="1" t="s">
        <v>56</v>
      </c>
      <c r="V577" s="1" t="s">
        <v>57</v>
      </c>
      <c r="W577" s="1">
        <v>10</v>
      </c>
      <c r="X577" s="1" t="s">
        <v>47</v>
      </c>
      <c r="Y577" s="1">
        <v>2</v>
      </c>
      <c r="Z577" s="1" t="s">
        <v>91</v>
      </c>
    </row>
    <row r="578" spans="1:26" x14ac:dyDescent="0.3">
      <c r="A578" s="1" t="s">
        <v>1095</v>
      </c>
      <c r="B578" s="2">
        <v>46008</v>
      </c>
      <c r="C578" s="1" t="s">
        <v>160</v>
      </c>
      <c r="D578" s="1" t="s">
        <v>61</v>
      </c>
      <c r="E578" s="1" t="s">
        <v>29</v>
      </c>
      <c r="F578" s="1">
        <v>50</v>
      </c>
      <c r="G578" s="1" t="s">
        <v>67</v>
      </c>
      <c r="H578" s="1" t="s">
        <v>68</v>
      </c>
      <c r="I578" s="1" t="s">
        <v>67</v>
      </c>
      <c r="J578" s="1" t="s">
        <v>53</v>
      </c>
      <c r="K578" s="1">
        <v>3</v>
      </c>
      <c r="L578" s="1">
        <v>36848</v>
      </c>
      <c r="M578" s="1">
        <v>5</v>
      </c>
      <c r="N578" s="1">
        <v>5527.2</v>
      </c>
      <c r="O578" s="1">
        <v>18903.02</v>
      </c>
      <c r="P578" s="1">
        <v>368</v>
      </c>
      <c r="Q578" s="1">
        <v>124287.82</v>
      </c>
      <c r="R578" s="1" t="s">
        <v>45</v>
      </c>
      <c r="S578" s="1" t="s">
        <v>63</v>
      </c>
      <c r="T578" s="1" t="s">
        <v>55</v>
      </c>
      <c r="U578" s="1" t="s">
        <v>56</v>
      </c>
      <c r="V578" s="1" t="s">
        <v>57</v>
      </c>
      <c r="W578" s="1">
        <v>3</v>
      </c>
      <c r="X578" s="1" t="s">
        <v>38</v>
      </c>
      <c r="Y578" s="1">
        <v>1</v>
      </c>
      <c r="Z578" s="1" t="s">
        <v>58</v>
      </c>
    </row>
    <row r="579" spans="1:26" x14ac:dyDescent="0.3">
      <c r="A579" s="1" t="s">
        <v>1096</v>
      </c>
      <c r="B579" s="2">
        <v>45936</v>
      </c>
      <c r="C579" s="1" t="s">
        <v>1097</v>
      </c>
      <c r="D579" s="1" t="s">
        <v>80</v>
      </c>
      <c r="E579" s="1" t="s">
        <v>43</v>
      </c>
      <c r="F579" s="1">
        <v>32</v>
      </c>
      <c r="G579" s="1" t="s">
        <v>67</v>
      </c>
      <c r="H579" s="1" t="s">
        <v>68</v>
      </c>
      <c r="I579" s="1" t="s">
        <v>67</v>
      </c>
      <c r="J579" s="1" t="s">
        <v>112</v>
      </c>
      <c r="K579" s="1">
        <v>3</v>
      </c>
      <c r="L579" s="1">
        <v>35709</v>
      </c>
      <c r="M579" s="1">
        <v>0</v>
      </c>
      <c r="N579" s="1">
        <v>0</v>
      </c>
      <c r="O579" s="1">
        <v>19282.86</v>
      </c>
      <c r="P579" s="1">
        <v>36</v>
      </c>
      <c r="Q579" s="1">
        <v>126445.86</v>
      </c>
      <c r="R579" s="1" t="s">
        <v>33</v>
      </c>
      <c r="S579" s="1" t="s">
        <v>34</v>
      </c>
      <c r="T579" s="1" t="s">
        <v>103</v>
      </c>
      <c r="U579" s="1" t="s">
        <v>103</v>
      </c>
      <c r="V579" s="1" t="s">
        <v>57</v>
      </c>
      <c r="W579" s="1">
        <v>7</v>
      </c>
      <c r="X579" s="1" t="s">
        <v>38</v>
      </c>
      <c r="Y579" s="1">
        <v>4</v>
      </c>
      <c r="Z579" s="1" t="s">
        <v>91</v>
      </c>
    </row>
    <row r="580" spans="1:26" x14ac:dyDescent="0.3">
      <c r="A580" s="1" t="s">
        <v>1098</v>
      </c>
      <c r="B580" s="2">
        <v>46070</v>
      </c>
      <c r="C580" s="1" t="s">
        <v>713</v>
      </c>
      <c r="D580" s="1" t="s">
        <v>61</v>
      </c>
      <c r="E580" s="1" t="s">
        <v>43</v>
      </c>
      <c r="F580" s="1">
        <v>27</v>
      </c>
      <c r="G580" s="1" t="s">
        <v>90</v>
      </c>
      <c r="H580" s="1" t="s">
        <v>31</v>
      </c>
      <c r="I580" s="1" t="s">
        <v>90</v>
      </c>
      <c r="J580" s="1" t="s">
        <v>125</v>
      </c>
      <c r="K580" s="1">
        <v>4</v>
      </c>
      <c r="L580" s="1">
        <v>20644</v>
      </c>
      <c r="M580" s="1">
        <v>5</v>
      </c>
      <c r="N580" s="1">
        <v>4128.8</v>
      </c>
      <c r="O580" s="1">
        <v>14120.5</v>
      </c>
      <c r="P580" s="1">
        <v>344</v>
      </c>
      <c r="Q580" s="1">
        <v>92911.7</v>
      </c>
      <c r="R580" s="1" t="s">
        <v>83</v>
      </c>
      <c r="S580" s="1" t="s">
        <v>63</v>
      </c>
      <c r="T580" s="1" t="s">
        <v>70</v>
      </c>
      <c r="U580" s="1" t="s">
        <v>56</v>
      </c>
      <c r="V580" s="1" t="s">
        <v>57</v>
      </c>
      <c r="W580" s="1">
        <v>6</v>
      </c>
      <c r="X580" s="1" t="s">
        <v>38</v>
      </c>
      <c r="Y580" s="1">
        <v>3</v>
      </c>
      <c r="Z580" s="1" t="s">
        <v>91</v>
      </c>
    </row>
    <row r="581" spans="1:26" x14ac:dyDescent="0.3">
      <c r="A581" s="1" t="s">
        <v>1099</v>
      </c>
      <c r="B581" s="2">
        <v>46005</v>
      </c>
      <c r="C581" s="1" t="s">
        <v>1100</v>
      </c>
      <c r="D581" s="1" t="s">
        <v>42</v>
      </c>
      <c r="E581" s="1" t="s">
        <v>43</v>
      </c>
      <c r="F581" s="1">
        <v>40</v>
      </c>
      <c r="G581" s="1" t="s">
        <v>30</v>
      </c>
      <c r="H581" s="1" t="s">
        <v>31</v>
      </c>
      <c r="I581" s="1" t="s">
        <v>30</v>
      </c>
      <c r="J581" s="1" t="s">
        <v>150</v>
      </c>
      <c r="K581" s="1">
        <v>2</v>
      </c>
      <c r="L581" s="1">
        <v>6782</v>
      </c>
      <c r="M581" s="1">
        <v>10</v>
      </c>
      <c r="N581" s="1">
        <v>1356.4</v>
      </c>
      <c r="O581" s="1">
        <v>2197.37</v>
      </c>
      <c r="P581" s="1">
        <v>59</v>
      </c>
      <c r="Q581" s="1">
        <v>14463.97</v>
      </c>
      <c r="R581" s="1" t="s">
        <v>83</v>
      </c>
      <c r="S581" s="1" t="s">
        <v>34</v>
      </c>
      <c r="T581" s="1" t="s">
        <v>95</v>
      </c>
      <c r="U581" s="1" t="s">
        <v>96</v>
      </c>
      <c r="V581" s="1" t="s">
        <v>57</v>
      </c>
      <c r="W581" s="1">
        <v>2</v>
      </c>
      <c r="X581" s="1" t="s">
        <v>38</v>
      </c>
      <c r="Y581" s="1">
        <v>1</v>
      </c>
      <c r="Z581" s="1" t="s">
        <v>39</v>
      </c>
    </row>
    <row r="582" spans="1:26" x14ac:dyDescent="0.3">
      <c r="A582" s="1" t="s">
        <v>1101</v>
      </c>
      <c r="B582" s="2">
        <v>46105</v>
      </c>
      <c r="C582" s="1" t="s">
        <v>1102</v>
      </c>
      <c r="D582" s="1" t="s">
        <v>42</v>
      </c>
      <c r="E582" s="1" t="s">
        <v>43</v>
      </c>
      <c r="F582" s="1">
        <v>33</v>
      </c>
      <c r="G582" s="1" t="s">
        <v>99</v>
      </c>
      <c r="H582" s="1" t="s">
        <v>52</v>
      </c>
      <c r="I582" s="1" t="s">
        <v>99</v>
      </c>
      <c r="J582" s="1" t="s">
        <v>125</v>
      </c>
      <c r="K582" s="1">
        <v>3</v>
      </c>
      <c r="L582" s="1">
        <v>30995</v>
      </c>
      <c r="M582" s="1">
        <v>5</v>
      </c>
      <c r="N582" s="1">
        <v>4649.25</v>
      </c>
      <c r="O582" s="1">
        <v>15900.43</v>
      </c>
      <c r="P582" s="1">
        <v>207</v>
      </c>
      <c r="Q582" s="1">
        <v>104443.18</v>
      </c>
      <c r="R582" s="1" t="s">
        <v>45</v>
      </c>
      <c r="S582" s="1" t="s">
        <v>63</v>
      </c>
      <c r="T582" s="1" t="s">
        <v>55</v>
      </c>
      <c r="U582" s="1" t="s">
        <v>56</v>
      </c>
      <c r="V582" s="1" t="s">
        <v>57</v>
      </c>
      <c r="W582" s="1">
        <v>6</v>
      </c>
      <c r="X582" s="1" t="s">
        <v>38</v>
      </c>
      <c r="Y582" s="1">
        <v>5</v>
      </c>
      <c r="Z582" s="1" t="s">
        <v>91</v>
      </c>
    </row>
    <row r="583" spans="1:26" x14ac:dyDescent="0.3">
      <c r="A583" s="1" t="s">
        <v>1103</v>
      </c>
      <c r="B583" s="2">
        <v>45929</v>
      </c>
      <c r="C583" s="1" t="s">
        <v>1104</v>
      </c>
      <c r="D583" s="1" t="s">
        <v>61</v>
      </c>
      <c r="E583" s="1" t="s">
        <v>43</v>
      </c>
      <c r="F583" s="1">
        <v>19</v>
      </c>
      <c r="G583" s="1" t="s">
        <v>44</v>
      </c>
      <c r="H583" s="1" t="s">
        <v>31</v>
      </c>
      <c r="I583" s="1" t="s">
        <v>44</v>
      </c>
      <c r="J583" s="1" t="s">
        <v>102</v>
      </c>
      <c r="K583" s="1">
        <v>1</v>
      </c>
      <c r="L583" s="1">
        <v>31065</v>
      </c>
      <c r="M583" s="1">
        <v>20</v>
      </c>
      <c r="N583" s="1">
        <v>6213</v>
      </c>
      <c r="O583" s="1">
        <v>4473.3599999999997</v>
      </c>
      <c r="P583" s="1">
        <v>485</v>
      </c>
      <c r="Q583" s="1">
        <v>29810.36</v>
      </c>
      <c r="R583" s="1" t="s">
        <v>45</v>
      </c>
      <c r="S583" s="1" t="s">
        <v>63</v>
      </c>
      <c r="T583" s="1" t="s">
        <v>70</v>
      </c>
      <c r="U583" s="1" t="s">
        <v>56</v>
      </c>
      <c r="V583" s="1" t="s">
        <v>57</v>
      </c>
      <c r="W583" s="1">
        <v>8</v>
      </c>
      <c r="X583" s="1" t="s">
        <v>47</v>
      </c>
      <c r="Y583" s="1">
        <v>4</v>
      </c>
      <c r="Z583" s="1" t="s">
        <v>39</v>
      </c>
    </row>
    <row r="584" spans="1:26" x14ac:dyDescent="0.3">
      <c r="A584" s="1" t="s">
        <v>1105</v>
      </c>
      <c r="B584" s="2">
        <v>45797</v>
      </c>
      <c r="C584" s="1" t="s">
        <v>625</v>
      </c>
      <c r="D584" s="1" t="s">
        <v>50</v>
      </c>
      <c r="E584" s="1" t="s">
        <v>43</v>
      </c>
      <c r="F584" s="1">
        <v>23</v>
      </c>
      <c r="G584" s="1" t="s">
        <v>51</v>
      </c>
      <c r="H584" s="1" t="s">
        <v>52</v>
      </c>
      <c r="I584" s="1" t="s">
        <v>51</v>
      </c>
      <c r="J584" s="1" t="s">
        <v>112</v>
      </c>
      <c r="K584" s="1">
        <v>4</v>
      </c>
      <c r="L584" s="1">
        <v>25638</v>
      </c>
      <c r="M584" s="1">
        <v>5</v>
      </c>
      <c r="N584" s="1">
        <v>5127.6000000000004</v>
      </c>
      <c r="O584" s="1">
        <v>17536.39</v>
      </c>
      <c r="P584" s="1">
        <v>105</v>
      </c>
      <c r="Q584" s="1">
        <v>115065.79</v>
      </c>
      <c r="R584" s="1" t="s">
        <v>33</v>
      </c>
      <c r="S584" s="1" t="s">
        <v>63</v>
      </c>
      <c r="T584" s="1" t="s">
        <v>70</v>
      </c>
      <c r="U584" s="1" t="s">
        <v>56</v>
      </c>
      <c r="V584" s="1" t="s">
        <v>57</v>
      </c>
      <c r="W584" s="1">
        <v>6</v>
      </c>
      <c r="X584" s="1" t="s">
        <v>38</v>
      </c>
      <c r="Y584" s="1">
        <v>5</v>
      </c>
      <c r="Z584" s="1" t="s">
        <v>91</v>
      </c>
    </row>
    <row r="585" spans="1:26" x14ac:dyDescent="0.3">
      <c r="A585" s="1" t="s">
        <v>1106</v>
      </c>
      <c r="B585" s="2">
        <v>45758</v>
      </c>
      <c r="C585" s="1" t="s">
        <v>944</v>
      </c>
      <c r="D585" s="1" t="s">
        <v>42</v>
      </c>
      <c r="E585" s="1" t="s">
        <v>43</v>
      </c>
      <c r="F585" s="1">
        <v>44</v>
      </c>
      <c r="G585" s="1" t="s">
        <v>51</v>
      </c>
      <c r="H585" s="1" t="s">
        <v>52</v>
      </c>
      <c r="I585" s="1" t="s">
        <v>51</v>
      </c>
      <c r="J585" s="1" t="s">
        <v>201</v>
      </c>
      <c r="K585" s="1">
        <v>3</v>
      </c>
      <c r="L585" s="1">
        <v>36997</v>
      </c>
      <c r="M585" s="1">
        <v>20</v>
      </c>
      <c r="N585" s="1">
        <v>22198.2</v>
      </c>
      <c r="O585" s="1">
        <v>15982.7</v>
      </c>
      <c r="P585" s="1">
        <v>276</v>
      </c>
      <c r="Q585" s="1">
        <v>105051.5</v>
      </c>
      <c r="R585" s="1" t="s">
        <v>33</v>
      </c>
      <c r="S585" s="1" t="s">
        <v>63</v>
      </c>
      <c r="T585" s="1" t="s">
        <v>95</v>
      </c>
      <c r="U585" s="1" t="s">
        <v>96</v>
      </c>
      <c r="V585" s="1" t="s">
        <v>57</v>
      </c>
      <c r="W585" s="1">
        <v>7</v>
      </c>
      <c r="X585" s="1" t="s">
        <v>47</v>
      </c>
      <c r="Y585" s="1">
        <v>2</v>
      </c>
      <c r="Z585" s="1" t="s">
        <v>47</v>
      </c>
    </row>
    <row r="586" spans="1:26" x14ac:dyDescent="0.3">
      <c r="A586" s="1" t="s">
        <v>1107</v>
      </c>
      <c r="B586" s="2">
        <v>46066</v>
      </c>
      <c r="C586" s="1" t="s">
        <v>266</v>
      </c>
      <c r="D586" s="1" t="s">
        <v>61</v>
      </c>
      <c r="E586" s="1" t="s">
        <v>29</v>
      </c>
      <c r="F586" s="1">
        <v>57</v>
      </c>
      <c r="G586" s="1" t="s">
        <v>99</v>
      </c>
      <c r="H586" s="1" t="s">
        <v>52</v>
      </c>
      <c r="I586" s="1" t="s">
        <v>99</v>
      </c>
      <c r="J586" s="1" t="s">
        <v>125</v>
      </c>
      <c r="K586" s="1">
        <v>2</v>
      </c>
      <c r="L586" s="1">
        <v>22302</v>
      </c>
      <c r="M586" s="1">
        <v>0</v>
      </c>
      <c r="N586" s="1">
        <v>0</v>
      </c>
      <c r="O586" s="1">
        <v>8028.72</v>
      </c>
      <c r="P586" s="1">
        <v>137</v>
      </c>
      <c r="Q586" s="1">
        <v>52769.72</v>
      </c>
      <c r="R586" s="1" t="s">
        <v>83</v>
      </c>
      <c r="S586" s="1" t="s">
        <v>34</v>
      </c>
      <c r="T586" s="1" t="s">
        <v>95</v>
      </c>
      <c r="U586" s="1" t="s">
        <v>96</v>
      </c>
      <c r="V586" s="1" t="s">
        <v>57</v>
      </c>
      <c r="W586" s="1">
        <v>9</v>
      </c>
      <c r="X586" s="1" t="s">
        <v>47</v>
      </c>
      <c r="Y586" s="1">
        <v>2</v>
      </c>
      <c r="Z586" s="1" t="s">
        <v>58</v>
      </c>
    </row>
    <row r="587" spans="1:26" x14ac:dyDescent="0.3">
      <c r="A587" s="1" t="s">
        <v>1108</v>
      </c>
      <c r="B587" s="2">
        <v>45887</v>
      </c>
      <c r="C587" s="1" t="s">
        <v>578</v>
      </c>
      <c r="D587" s="1" t="s">
        <v>28</v>
      </c>
      <c r="E587" s="1" t="s">
        <v>29</v>
      </c>
      <c r="F587" s="1">
        <v>54</v>
      </c>
      <c r="G587" s="1" t="s">
        <v>99</v>
      </c>
      <c r="H587" s="1" t="s">
        <v>52</v>
      </c>
      <c r="I587" s="1" t="s">
        <v>99</v>
      </c>
      <c r="J587" s="1" t="s">
        <v>69</v>
      </c>
      <c r="K587" s="1">
        <v>4</v>
      </c>
      <c r="L587" s="1">
        <v>27890</v>
      </c>
      <c r="M587" s="1">
        <v>5</v>
      </c>
      <c r="N587" s="1">
        <v>5578</v>
      </c>
      <c r="O587" s="1">
        <v>19076.759999999998</v>
      </c>
      <c r="P587" s="1">
        <v>263</v>
      </c>
      <c r="Q587" s="1">
        <v>125321.76</v>
      </c>
      <c r="R587" s="1" t="s">
        <v>83</v>
      </c>
      <c r="S587" s="1" t="s">
        <v>63</v>
      </c>
      <c r="T587" s="1" t="s">
        <v>76</v>
      </c>
      <c r="U587" s="1" t="s">
        <v>77</v>
      </c>
      <c r="V587" s="1" t="s">
        <v>57</v>
      </c>
      <c r="W587" s="1">
        <v>4</v>
      </c>
      <c r="X587" s="1" t="s">
        <v>38</v>
      </c>
      <c r="Y587" s="1">
        <v>5</v>
      </c>
      <c r="Z587" s="1" t="s">
        <v>91</v>
      </c>
    </row>
    <row r="588" spans="1:26" x14ac:dyDescent="0.3">
      <c r="A588" s="1" t="s">
        <v>1109</v>
      </c>
      <c r="B588" s="2">
        <v>46092</v>
      </c>
      <c r="C588" s="1" t="s">
        <v>1110</v>
      </c>
      <c r="D588" s="1" t="s">
        <v>50</v>
      </c>
      <c r="E588" s="1" t="s">
        <v>43</v>
      </c>
      <c r="F588" s="1">
        <v>43</v>
      </c>
      <c r="G588" s="1" t="s">
        <v>99</v>
      </c>
      <c r="H588" s="1" t="s">
        <v>52</v>
      </c>
      <c r="I588" s="1" t="s">
        <v>99</v>
      </c>
      <c r="J588" s="1" t="s">
        <v>53</v>
      </c>
      <c r="K588" s="1">
        <v>1</v>
      </c>
      <c r="L588" s="1">
        <v>3325</v>
      </c>
      <c r="M588" s="1">
        <v>15</v>
      </c>
      <c r="N588" s="1">
        <v>498.75</v>
      </c>
      <c r="O588" s="1">
        <v>508.72</v>
      </c>
      <c r="P588" s="1">
        <v>182</v>
      </c>
      <c r="Q588" s="1">
        <v>3516.97</v>
      </c>
      <c r="R588" s="1" t="s">
        <v>33</v>
      </c>
      <c r="S588" s="1" t="s">
        <v>63</v>
      </c>
      <c r="T588" s="1" t="s">
        <v>103</v>
      </c>
      <c r="U588" s="1" t="s">
        <v>103</v>
      </c>
      <c r="V588" s="1" t="s">
        <v>57</v>
      </c>
      <c r="W588" s="1">
        <v>6</v>
      </c>
      <c r="X588" s="1" t="s">
        <v>47</v>
      </c>
      <c r="Y588" s="1">
        <v>5</v>
      </c>
      <c r="Z588" s="1" t="s">
        <v>47</v>
      </c>
    </row>
    <row r="589" spans="1:26" x14ac:dyDescent="0.3">
      <c r="A589" s="1" t="s">
        <v>1111</v>
      </c>
      <c r="B589" s="2">
        <v>45841</v>
      </c>
      <c r="C589" s="1" t="s">
        <v>629</v>
      </c>
      <c r="D589" s="1" t="s">
        <v>73</v>
      </c>
      <c r="E589" s="1" t="s">
        <v>43</v>
      </c>
      <c r="F589" s="1">
        <v>42</v>
      </c>
      <c r="G589" s="1" t="s">
        <v>44</v>
      </c>
      <c r="H589" s="1" t="s">
        <v>31</v>
      </c>
      <c r="I589" s="1" t="s">
        <v>44</v>
      </c>
      <c r="J589" s="1" t="s">
        <v>201</v>
      </c>
      <c r="K589" s="1">
        <v>1</v>
      </c>
      <c r="L589" s="1">
        <v>46035</v>
      </c>
      <c r="M589" s="1">
        <v>0</v>
      </c>
      <c r="N589" s="1">
        <v>0</v>
      </c>
      <c r="O589" s="1">
        <v>8286.2999999999993</v>
      </c>
      <c r="P589" s="1">
        <v>39</v>
      </c>
      <c r="Q589" s="1">
        <v>54360.3</v>
      </c>
      <c r="R589" s="1" t="s">
        <v>33</v>
      </c>
      <c r="S589" s="1" t="s">
        <v>63</v>
      </c>
      <c r="T589" s="1" t="s">
        <v>84</v>
      </c>
      <c r="U589" s="1" t="s">
        <v>85</v>
      </c>
      <c r="V589" s="1" t="s">
        <v>86</v>
      </c>
      <c r="W589" s="1">
        <v>2</v>
      </c>
      <c r="X589" s="1" t="s">
        <v>38</v>
      </c>
      <c r="Y589" s="1">
        <v>2</v>
      </c>
      <c r="Z589" s="1" t="s">
        <v>47</v>
      </c>
    </row>
    <row r="590" spans="1:26" x14ac:dyDescent="0.3">
      <c r="A590" s="1" t="s">
        <v>1112</v>
      </c>
      <c r="B590" s="2">
        <v>45905</v>
      </c>
      <c r="C590" s="1" t="s">
        <v>1113</v>
      </c>
      <c r="D590" s="1" t="s">
        <v>89</v>
      </c>
      <c r="E590" s="1" t="s">
        <v>43</v>
      </c>
      <c r="F590" s="1">
        <v>26</v>
      </c>
      <c r="G590" s="1" t="s">
        <v>44</v>
      </c>
      <c r="H590" s="1" t="s">
        <v>31</v>
      </c>
      <c r="I590" s="1" t="s">
        <v>44</v>
      </c>
      <c r="J590" s="1" t="s">
        <v>69</v>
      </c>
      <c r="K590" s="1">
        <v>4</v>
      </c>
      <c r="L590" s="1">
        <v>43793</v>
      </c>
      <c r="M590" s="1">
        <v>0</v>
      </c>
      <c r="N590" s="1">
        <v>0</v>
      </c>
      <c r="O590" s="1">
        <v>31530.959999999999</v>
      </c>
      <c r="P590" s="1">
        <v>187</v>
      </c>
      <c r="Q590" s="1">
        <v>206889.96</v>
      </c>
      <c r="R590" s="1" t="s">
        <v>33</v>
      </c>
      <c r="S590" s="1" t="s">
        <v>63</v>
      </c>
      <c r="T590" s="1" t="s">
        <v>103</v>
      </c>
      <c r="U590" s="1" t="s">
        <v>103</v>
      </c>
      <c r="V590" s="1" t="s">
        <v>57</v>
      </c>
      <c r="W590" s="1">
        <v>2</v>
      </c>
      <c r="X590" s="1" t="s">
        <v>38</v>
      </c>
      <c r="Y590" s="1">
        <v>5</v>
      </c>
      <c r="Z590" s="1" t="s">
        <v>47</v>
      </c>
    </row>
    <row r="591" spans="1:26" x14ac:dyDescent="0.3">
      <c r="A591" s="1" t="s">
        <v>1114</v>
      </c>
      <c r="B591" s="2">
        <v>45950</v>
      </c>
      <c r="C591" s="1" t="s">
        <v>312</v>
      </c>
      <c r="D591" s="1" t="s">
        <v>80</v>
      </c>
      <c r="E591" s="1" t="s">
        <v>43</v>
      </c>
      <c r="F591" s="1">
        <v>51</v>
      </c>
      <c r="G591" s="1" t="s">
        <v>51</v>
      </c>
      <c r="H591" s="1" t="s">
        <v>52</v>
      </c>
      <c r="I591" s="1" t="s">
        <v>51</v>
      </c>
      <c r="J591" s="1" t="s">
        <v>75</v>
      </c>
      <c r="K591" s="1">
        <v>1</v>
      </c>
      <c r="L591" s="1">
        <v>36558</v>
      </c>
      <c r="M591" s="1">
        <v>10</v>
      </c>
      <c r="N591" s="1">
        <v>3655.8</v>
      </c>
      <c r="O591" s="1">
        <v>5922.4</v>
      </c>
      <c r="P591" s="1">
        <v>204</v>
      </c>
      <c r="Q591" s="1">
        <v>39028.6</v>
      </c>
      <c r="R591" s="1" t="s">
        <v>33</v>
      </c>
      <c r="S591" s="1" t="s">
        <v>34</v>
      </c>
      <c r="T591" s="1" t="s">
        <v>103</v>
      </c>
      <c r="U591" s="1" t="s">
        <v>103</v>
      </c>
      <c r="V591" s="1" t="s">
        <v>57</v>
      </c>
      <c r="W591" s="1">
        <v>10</v>
      </c>
      <c r="X591" s="1" t="s">
        <v>47</v>
      </c>
      <c r="Y591" s="1">
        <v>2</v>
      </c>
      <c r="Z591" s="1" t="s">
        <v>39</v>
      </c>
    </row>
    <row r="592" spans="1:26" x14ac:dyDescent="0.3">
      <c r="A592" s="1" t="s">
        <v>1115</v>
      </c>
      <c r="B592" s="2">
        <v>46039</v>
      </c>
      <c r="C592" s="1" t="s">
        <v>355</v>
      </c>
      <c r="D592" s="1" t="s">
        <v>66</v>
      </c>
      <c r="E592" s="1" t="s">
        <v>29</v>
      </c>
      <c r="F592" s="1">
        <v>22</v>
      </c>
      <c r="G592" s="1" t="s">
        <v>74</v>
      </c>
      <c r="H592" s="1" t="s">
        <v>31</v>
      </c>
      <c r="I592" s="1" t="s">
        <v>74</v>
      </c>
      <c r="J592" s="1" t="s">
        <v>75</v>
      </c>
      <c r="K592" s="1">
        <v>1</v>
      </c>
      <c r="L592" s="1">
        <v>11976</v>
      </c>
      <c r="M592" s="1">
        <v>10</v>
      </c>
      <c r="N592" s="1">
        <v>1197.5999999999999</v>
      </c>
      <c r="O592" s="1">
        <v>1940.11</v>
      </c>
      <c r="P592" s="1">
        <v>188</v>
      </c>
      <c r="Q592" s="1">
        <v>12906.51</v>
      </c>
      <c r="R592" s="1" t="s">
        <v>83</v>
      </c>
      <c r="S592" s="1" t="s">
        <v>63</v>
      </c>
      <c r="T592" s="1" t="s">
        <v>46</v>
      </c>
      <c r="U592" s="1" t="s">
        <v>36</v>
      </c>
      <c r="V592" s="1" t="s">
        <v>37</v>
      </c>
      <c r="W592" s="1">
        <v>9</v>
      </c>
      <c r="X592" s="1" t="s">
        <v>47</v>
      </c>
      <c r="Y592" s="1">
        <v>3</v>
      </c>
      <c r="Z592" s="1" t="s">
        <v>91</v>
      </c>
    </row>
    <row r="593" spans="1:26" x14ac:dyDescent="0.3">
      <c r="A593" s="1" t="s">
        <v>1116</v>
      </c>
      <c r="B593" s="2">
        <v>45773</v>
      </c>
      <c r="C593" s="1" t="s">
        <v>1117</v>
      </c>
      <c r="D593" s="1" t="s">
        <v>61</v>
      </c>
      <c r="E593" s="1" t="s">
        <v>43</v>
      </c>
      <c r="F593" s="1">
        <v>33</v>
      </c>
      <c r="G593" s="1" t="s">
        <v>74</v>
      </c>
      <c r="H593" s="1" t="s">
        <v>31</v>
      </c>
      <c r="I593" s="1" t="s">
        <v>74</v>
      </c>
      <c r="J593" s="1" t="s">
        <v>69</v>
      </c>
      <c r="K593" s="1">
        <v>2</v>
      </c>
      <c r="L593" s="1">
        <v>30404</v>
      </c>
      <c r="M593" s="1">
        <v>15</v>
      </c>
      <c r="N593" s="1">
        <v>9121.2000000000007</v>
      </c>
      <c r="O593" s="1">
        <v>9303.6200000000008</v>
      </c>
      <c r="P593" s="1">
        <v>243</v>
      </c>
      <c r="Q593" s="1">
        <v>61233.42</v>
      </c>
      <c r="R593" s="1" t="s">
        <v>54</v>
      </c>
      <c r="S593" s="1" t="s">
        <v>63</v>
      </c>
      <c r="T593" s="1" t="s">
        <v>84</v>
      </c>
      <c r="U593" s="1" t="s">
        <v>85</v>
      </c>
      <c r="V593" s="1" t="s">
        <v>86</v>
      </c>
      <c r="W593" s="1">
        <v>6</v>
      </c>
      <c r="X593" s="1" t="s">
        <v>47</v>
      </c>
      <c r="Y593" s="1">
        <v>2</v>
      </c>
      <c r="Z593" s="1" t="s">
        <v>47</v>
      </c>
    </row>
    <row r="594" spans="1:26" x14ac:dyDescent="0.3">
      <c r="A594" s="1" t="s">
        <v>1118</v>
      </c>
      <c r="B594" s="2">
        <v>46007</v>
      </c>
      <c r="C594" s="1" t="s">
        <v>1065</v>
      </c>
      <c r="D594" s="1" t="s">
        <v>111</v>
      </c>
      <c r="E594" s="1" t="s">
        <v>43</v>
      </c>
      <c r="F594" s="1">
        <v>35</v>
      </c>
      <c r="G594" s="1" t="s">
        <v>134</v>
      </c>
      <c r="H594" s="1" t="s">
        <v>31</v>
      </c>
      <c r="I594" s="1" t="s">
        <v>134</v>
      </c>
      <c r="J594" s="1" t="s">
        <v>62</v>
      </c>
      <c r="K594" s="1">
        <v>5</v>
      </c>
      <c r="L594" s="1">
        <v>19190</v>
      </c>
      <c r="M594" s="1">
        <v>15</v>
      </c>
      <c r="N594" s="1">
        <v>14392.5</v>
      </c>
      <c r="O594" s="1">
        <v>14680.35</v>
      </c>
      <c r="P594" s="1">
        <v>285</v>
      </c>
      <c r="Q594" s="1">
        <v>96522.85</v>
      </c>
      <c r="R594" s="1" t="s">
        <v>54</v>
      </c>
      <c r="S594" s="1" t="s">
        <v>63</v>
      </c>
      <c r="T594" s="1" t="s">
        <v>84</v>
      </c>
      <c r="U594" s="1" t="s">
        <v>85</v>
      </c>
      <c r="V594" s="1" t="s">
        <v>86</v>
      </c>
      <c r="W594" s="1">
        <v>2</v>
      </c>
      <c r="X594" s="1" t="s">
        <v>47</v>
      </c>
      <c r="Y594" s="1">
        <v>2</v>
      </c>
      <c r="Z594" s="1" t="s">
        <v>58</v>
      </c>
    </row>
    <row r="595" spans="1:26" x14ac:dyDescent="0.3">
      <c r="A595" s="1" t="s">
        <v>1119</v>
      </c>
      <c r="B595" s="2">
        <v>45909</v>
      </c>
      <c r="C595" s="1" t="s">
        <v>822</v>
      </c>
      <c r="D595" s="1" t="s">
        <v>73</v>
      </c>
      <c r="E595" s="1" t="s">
        <v>43</v>
      </c>
      <c r="F595" s="1">
        <v>44</v>
      </c>
      <c r="G595" s="1" t="s">
        <v>90</v>
      </c>
      <c r="H595" s="1" t="s">
        <v>31</v>
      </c>
      <c r="I595" s="1" t="s">
        <v>90</v>
      </c>
      <c r="J595" s="1" t="s">
        <v>150</v>
      </c>
      <c r="K595" s="1">
        <v>2</v>
      </c>
      <c r="L595" s="1">
        <v>13865</v>
      </c>
      <c r="M595" s="1">
        <v>15</v>
      </c>
      <c r="N595" s="1">
        <v>4159.5</v>
      </c>
      <c r="O595" s="1">
        <v>4242.6899999999996</v>
      </c>
      <c r="P595" s="1">
        <v>362</v>
      </c>
      <c r="Q595" s="1">
        <v>28175.19</v>
      </c>
      <c r="R595" s="1" t="s">
        <v>33</v>
      </c>
      <c r="S595" s="1" t="s">
        <v>63</v>
      </c>
      <c r="T595" s="1" t="s">
        <v>95</v>
      </c>
      <c r="U595" s="1" t="s">
        <v>96</v>
      </c>
      <c r="V595" s="1" t="s">
        <v>57</v>
      </c>
      <c r="W595" s="1">
        <v>4</v>
      </c>
      <c r="X595" s="1" t="s">
        <v>38</v>
      </c>
      <c r="Y595" s="1">
        <v>1</v>
      </c>
      <c r="Z595" s="1" t="s">
        <v>58</v>
      </c>
    </row>
    <row r="596" spans="1:26" x14ac:dyDescent="0.3">
      <c r="A596" s="1" t="s">
        <v>1120</v>
      </c>
      <c r="B596" s="2">
        <v>46058</v>
      </c>
      <c r="C596" s="1" t="s">
        <v>392</v>
      </c>
      <c r="D596" s="1" t="s">
        <v>80</v>
      </c>
      <c r="E596" s="1" t="s">
        <v>43</v>
      </c>
      <c r="F596" s="1">
        <v>20</v>
      </c>
      <c r="G596" s="1" t="s">
        <v>94</v>
      </c>
      <c r="H596" s="1" t="s">
        <v>31</v>
      </c>
      <c r="I596" s="1" t="s">
        <v>94</v>
      </c>
      <c r="J596" s="1" t="s">
        <v>75</v>
      </c>
      <c r="K596" s="1">
        <v>5</v>
      </c>
      <c r="L596" s="1">
        <v>45732</v>
      </c>
      <c r="M596" s="1">
        <v>20</v>
      </c>
      <c r="N596" s="1">
        <v>45732</v>
      </c>
      <c r="O596" s="1">
        <v>32927.040000000001</v>
      </c>
      <c r="P596" s="1">
        <v>346</v>
      </c>
      <c r="Q596" s="1">
        <v>216201.04</v>
      </c>
      <c r="R596" s="1" t="s">
        <v>54</v>
      </c>
      <c r="S596" s="1" t="s">
        <v>34</v>
      </c>
      <c r="T596" s="1" t="s">
        <v>76</v>
      </c>
      <c r="U596" s="1" t="s">
        <v>77</v>
      </c>
      <c r="V596" s="1" t="s">
        <v>57</v>
      </c>
      <c r="W596" s="1">
        <v>6</v>
      </c>
      <c r="X596" s="1" t="s">
        <v>38</v>
      </c>
      <c r="Y596" s="1">
        <v>5</v>
      </c>
      <c r="Z596" s="1" t="s">
        <v>58</v>
      </c>
    </row>
    <row r="597" spans="1:26" x14ac:dyDescent="0.3">
      <c r="A597" s="1" t="s">
        <v>1121</v>
      </c>
      <c r="B597" s="2">
        <v>45827</v>
      </c>
      <c r="C597" s="1" t="s">
        <v>1122</v>
      </c>
      <c r="D597" s="1" t="s">
        <v>80</v>
      </c>
      <c r="E597" s="1" t="s">
        <v>29</v>
      </c>
      <c r="F597" s="1">
        <v>37</v>
      </c>
      <c r="G597" s="1" t="s">
        <v>134</v>
      </c>
      <c r="H597" s="1" t="s">
        <v>31</v>
      </c>
      <c r="I597" s="1" t="s">
        <v>134</v>
      </c>
      <c r="J597" s="1" t="s">
        <v>53</v>
      </c>
      <c r="K597" s="1">
        <v>3</v>
      </c>
      <c r="L597" s="1">
        <v>13690</v>
      </c>
      <c r="M597" s="1">
        <v>0</v>
      </c>
      <c r="N597" s="1">
        <v>0</v>
      </c>
      <c r="O597" s="1">
        <v>7392.6</v>
      </c>
      <c r="P597" s="1">
        <v>496</v>
      </c>
      <c r="Q597" s="1">
        <v>48958.6</v>
      </c>
      <c r="R597" s="1" t="s">
        <v>33</v>
      </c>
      <c r="S597" s="1" t="s">
        <v>34</v>
      </c>
      <c r="T597" s="1" t="s">
        <v>55</v>
      </c>
      <c r="U597" s="1" t="s">
        <v>56</v>
      </c>
      <c r="V597" s="1" t="s">
        <v>57</v>
      </c>
      <c r="W597" s="1">
        <v>8</v>
      </c>
      <c r="X597" s="1" t="s">
        <v>38</v>
      </c>
      <c r="Y597" s="1">
        <v>4</v>
      </c>
      <c r="Z597" s="1" t="s">
        <v>91</v>
      </c>
    </row>
    <row r="598" spans="1:26" x14ac:dyDescent="0.3">
      <c r="A598" s="1" t="s">
        <v>1123</v>
      </c>
      <c r="B598" s="2">
        <v>46063</v>
      </c>
      <c r="C598" s="1" t="s">
        <v>1124</v>
      </c>
      <c r="D598" s="1" t="s">
        <v>108</v>
      </c>
      <c r="E598" s="1" t="s">
        <v>29</v>
      </c>
      <c r="F598" s="1">
        <v>47</v>
      </c>
      <c r="G598" s="1" t="s">
        <v>94</v>
      </c>
      <c r="H598" s="1" t="s">
        <v>31</v>
      </c>
      <c r="I598" s="1" t="s">
        <v>94</v>
      </c>
      <c r="J598" s="1" t="s">
        <v>150</v>
      </c>
      <c r="K598" s="1">
        <v>5</v>
      </c>
      <c r="L598" s="1">
        <v>35073</v>
      </c>
      <c r="M598" s="1">
        <v>5</v>
      </c>
      <c r="N598" s="1">
        <v>8768.25</v>
      </c>
      <c r="O598" s="1">
        <v>29987.41</v>
      </c>
      <c r="P598" s="1">
        <v>32</v>
      </c>
      <c r="Q598" s="1">
        <v>196616.17</v>
      </c>
      <c r="R598" s="1" t="s">
        <v>83</v>
      </c>
      <c r="S598" s="1" t="s">
        <v>34</v>
      </c>
      <c r="T598" s="1" t="s">
        <v>46</v>
      </c>
      <c r="U598" s="1" t="s">
        <v>36</v>
      </c>
      <c r="V598" s="1" t="s">
        <v>37</v>
      </c>
      <c r="W598" s="1">
        <v>1</v>
      </c>
      <c r="X598" s="1" t="s">
        <v>47</v>
      </c>
      <c r="Y598" s="1">
        <v>5</v>
      </c>
      <c r="Z598" s="1" t="s">
        <v>39</v>
      </c>
    </row>
    <row r="599" spans="1:26" x14ac:dyDescent="0.3">
      <c r="A599" s="1" t="s">
        <v>1125</v>
      </c>
      <c r="B599" s="2">
        <v>45910</v>
      </c>
      <c r="C599" s="1" t="s">
        <v>980</v>
      </c>
      <c r="D599" s="1" t="s">
        <v>50</v>
      </c>
      <c r="E599" s="1" t="s">
        <v>29</v>
      </c>
      <c r="F599" s="1">
        <v>56</v>
      </c>
      <c r="G599" s="1" t="s">
        <v>94</v>
      </c>
      <c r="H599" s="1" t="s">
        <v>31</v>
      </c>
      <c r="I599" s="1" t="s">
        <v>94</v>
      </c>
      <c r="J599" s="1" t="s">
        <v>102</v>
      </c>
      <c r="K599" s="1">
        <v>2</v>
      </c>
      <c r="L599" s="1">
        <v>24176</v>
      </c>
      <c r="M599" s="1">
        <v>20</v>
      </c>
      <c r="N599" s="1">
        <v>9670.4</v>
      </c>
      <c r="O599" s="1">
        <v>6962.69</v>
      </c>
      <c r="P599" s="1">
        <v>241</v>
      </c>
      <c r="Q599" s="1">
        <v>45885.29</v>
      </c>
      <c r="R599" s="1" t="s">
        <v>33</v>
      </c>
      <c r="S599" s="1" t="s">
        <v>34</v>
      </c>
      <c r="T599" s="1" t="s">
        <v>84</v>
      </c>
      <c r="U599" s="1" t="s">
        <v>85</v>
      </c>
      <c r="V599" s="1" t="s">
        <v>86</v>
      </c>
      <c r="W599" s="1">
        <v>10</v>
      </c>
      <c r="X599" s="1" t="s">
        <v>47</v>
      </c>
      <c r="Y599" s="1">
        <v>3</v>
      </c>
      <c r="Z599" s="1" t="s">
        <v>91</v>
      </c>
    </row>
    <row r="600" spans="1:26" x14ac:dyDescent="0.3">
      <c r="A600" s="1" t="s">
        <v>1126</v>
      </c>
      <c r="B600" s="2">
        <v>45766</v>
      </c>
      <c r="C600" s="1" t="s">
        <v>1127</v>
      </c>
      <c r="D600" s="1" t="s">
        <v>108</v>
      </c>
      <c r="E600" s="1" t="s">
        <v>29</v>
      </c>
      <c r="F600" s="1">
        <v>28</v>
      </c>
      <c r="G600" s="1" t="s">
        <v>134</v>
      </c>
      <c r="H600" s="1" t="s">
        <v>31</v>
      </c>
      <c r="I600" s="1" t="s">
        <v>134</v>
      </c>
      <c r="J600" s="1" t="s">
        <v>201</v>
      </c>
      <c r="K600" s="1">
        <v>4</v>
      </c>
      <c r="L600" s="1">
        <v>3776</v>
      </c>
      <c r="M600" s="1">
        <v>5</v>
      </c>
      <c r="N600" s="1">
        <v>755.2</v>
      </c>
      <c r="O600" s="1">
        <v>2582.7800000000002</v>
      </c>
      <c r="P600" s="1">
        <v>358</v>
      </c>
      <c r="Q600" s="1">
        <v>17289.580000000002</v>
      </c>
      <c r="R600" s="1" t="s">
        <v>54</v>
      </c>
      <c r="S600" s="1" t="s">
        <v>34</v>
      </c>
      <c r="T600" s="1" t="s">
        <v>84</v>
      </c>
      <c r="U600" s="1" t="s">
        <v>85</v>
      </c>
      <c r="V600" s="1" t="s">
        <v>86</v>
      </c>
      <c r="W600" s="1">
        <v>1</v>
      </c>
      <c r="X600" s="1" t="s">
        <v>47</v>
      </c>
      <c r="Y600" s="1">
        <v>5</v>
      </c>
      <c r="Z600" s="1" t="s">
        <v>91</v>
      </c>
    </row>
    <row r="601" spans="1:26" x14ac:dyDescent="0.3">
      <c r="A601" s="1" t="s">
        <v>1128</v>
      </c>
      <c r="B601" s="2">
        <v>45892</v>
      </c>
      <c r="C601" s="1" t="s">
        <v>1129</v>
      </c>
      <c r="D601" s="1" t="s">
        <v>73</v>
      </c>
      <c r="E601" s="1" t="s">
        <v>43</v>
      </c>
      <c r="F601" s="1">
        <v>48</v>
      </c>
      <c r="G601" s="1" t="s">
        <v>90</v>
      </c>
      <c r="H601" s="1" t="s">
        <v>31</v>
      </c>
      <c r="I601" s="1" t="s">
        <v>90</v>
      </c>
      <c r="J601" s="1" t="s">
        <v>69</v>
      </c>
      <c r="K601" s="1">
        <v>2</v>
      </c>
      <c r="L601" s="1">
        <v>31074</v>
      </c>
      <c r="M601" s="1">
        <v>20</v>
      </c>
      <c r="N601" s="1">
        <v>12429.6</v>
      </c>
      <c r="O601" s="1">
        <v>8949.31</v>
      </c>
      <c r="P601" s="1">
        <v>343</v>
      </c>
      <c r="Q601" s="1">
        <v>59010.71</v>
      </c>
      <c r="R601" s="1" t="s">
        <v>54</v>
      </c>
      <c r="S601" s="1" t="s">
        <v>63</v>
      </c>
      <c r="T601" s="1" t="s">
        <v>35</v>
      </c>
      <c r="U601" s="1" t="s">
        <v>36</v>
      </c>
      <c r="V601" s="1" t="s">
        <v>37</v>
      </c>
      <c r="W601" s="1">
        <v>7</v>
      </c>
      <c r="X601" s="1" t="s">
        <v>47</v>
      </c>
      <c r="Y601" s="1">
        <v>4</v>
      </c>
      <c r="Z601" s="1" t="s">
        <v>39</v>
      </c>
    </row>
    <row r="602" spans="1:26" x14ac:dyDescent="0.3">
      <c r="A602" s="1" t="s">
        <v>1130</v>
      </c>
      <c r="B602" s="2">
        <v>45790</v>
      </c>
      <c r="C602" s="1" t="s">
        <v>1131</v>
      </c>
      <c r="D602" s="1" t="s">
        <v>108</v>
      </c>
      <c r="E602" s="1" t="s">
        <v>43</v>
      </c>
      <c r="F602" s="1">
        <v>55</v>
      </c>
      <c r="G602" s="1" t="s">
        <v>44</v>
      </c>
      <c r="H602" s="1" t="s">
        <v>31</v>
      </c>
      <c r="I602" s="1" t="s">
        <v>44</v>
      </c>
      <c r="J602" s="1" t="s">
        <v>201</v>
      </c>
      <c r="K602" s="1">
        <v>4</v>
      </c>
      <c r="L602" s="1">
        <v>34430</v>
      </c>
      <c r="M602" s="1">
        <v>20</v>
      </c>
      <c r="N602" s="1">
        <v>27544</v>
      </c>
      <c r="O602" s="1">
        <v>19831.68</v>
      </c>
      <c r="P602" s="1">
        <v>63</v>
      </c>
      <c r="Q602" s="1">
        <v>130070.68</v>
      </c>
      <c r="R602" s="1" t="s">
        <v>54</v>
      </c>
      <c r="S602" s="1" t="s">
        <v>63</v>
      </c>
      <c r="T602" s="1" t="s">
        <v>76</v>
      </c>
      <c r="U602" s="1" t="s">
        <v>77</v>
      </c>
      <c r="V602" s="1" t="s">
        <v>57</v>
      </c>
      <c r="W602" s="1">
        <v>1</v>
      </c>
      <c r="X602" s="1" t="s">
        <v>47</v>
      </c>
      <c r="Y602" s="1">
        <v>2</v>
      </c>
      <c r="Z602" s="1" t="s">
        <v>58</v>
      </c>
    </row>
    <row r="603" spans="1:26" x14ac:dyDescent="0.3">
      <c r="A603" s="1" t="s">
        <v>1132</v>
      </c>
      <c r="B603" s="2">
        <v>45810</v>
      </c>
      <c r="C603" s="1" t="s">
        <v>346</v>
      </c>
      <c r="D603" s="1" t="s">
        <v>50</v>
      </c>
      <c r="E603" s="1" t="s">
        <v>29</v>
      </c>
      <c r="F603" s="1">
        <v>56</v>
      </c>
      <c r="G603" s="1" t="s">
        <v>139</v>
      </c>
      <c r="H603" s="1" t="s">
        <v>31</v>
      </c>
      <c r="I603" s="1" t="s">
        <v>139</v>
      </c>
      <c r="J603" s="1" t="s">
        <v>75</v>
      </c>
      <c r="K603" s="1">
        <v>2</v>
      </c>
      <c r="L603" s="1">
        <v>39830</v>
      </c>
      <c r="M603" s="1">
        <v>10</v>
      </c>
      <c r="N603" s="1">
        <v>7966</v>
      </c>
      <c r="O603" s="1">
        <v>12904.92</v>
      </c>
      <c r="P603" s="1">
        <v>432</v>
      </c>
      <c r="Q603" s="1">
        <v>85030.92</v>
      </c>
      <c r="R603" s="1" t="s">
        <v>45</v>
      </c>
      <c r="S603" s="1" t="s">
        <v>63</v>
      </c>
      <c r="T603" s="1" t="s">
        <v>55</v>
      </c>
      <c r="U603" s="1" t="s">
        <v>56</v>
      </c>
      <c r="V603" s="1" t="s">
        <v>57</v>
      </c>
      <c r="W603" s="1">
        <v>8</v>
      </c>
      <c r="X603" s="1" t="s">
        <v>47</v>
      </c>
      <c r="Y603" s="1">
        <v>2</v>
      </c>
      <c r="Z603" s="1" t="s">
        <v>47</v>
      </c>
    </row>
    <row r="604" spans="1:26" x14ac:dyDescent="0.3">
      <c r="A604" s="1" t="s">
        <v>1133</v>
      </c>
      <c r="B604" s="2">
        <v>45887</v>
      </c>
      <c r="C604" s="1" t="s">
        <v>1134</v>
      </c>
      <c r="D604" s="1" t="s">
        <v>61</v>
      </c>
      <c r="E604" s="1" t="s">
        <v>29</v>
      </c>
      <c r="F604" s="1">
        <v>21</v>
      </c>
      <c r="G604" s="1" t="s">
        <v>139</v>
      </c>
      <c r="H604" s="1" t="s">
        <v>31</v>
      </c>
      <c r="I604" s="1" t="s">
        <v>139</v>
      </c>
      <c r="J604" s="1" t="s">
        <v>62</v>
      </c>
      <c r="K604" s="1">
        <v>2</v>
      </c>
      <c r="L604" s="1">
        <v>41119</v>
      </c>
      <c r="M604" s="1">
        <v>5</v>
      </c>
      <c r="N604" s="1">
        <v>4111.8999999999996</v>
      </c>
      <c r="O604" s="1">
        <v>14062.7</v>
      </c>
      <c r="P604" s="1">
        <v>355</v>
      </c>
      <c r="Q604" s="1">
        <v>92543.8</v>
      </c>
      <c r="R604" s="1" t="s">
        <v>33</v>
      </c>
      <c r="S604" s="1" t="s">
        <v>34</v>
      </c>
      <c r="T604" s="1" t="s">
        <v>103</v>
      </c>
      <c r="U604" s="1" t="s">
        <v>103</v>
      </c>
      <c r="V604" s="1" t="s">
        <v>57</v>
      </c>
      <c r="W604" s="1">
        <v>7</v>
      </c>
      <c r="X604" s="1" t="s">
        <v>47</v>
      </c>
      <c r="Y604" s="1">
        <v>3</v>
      </c>
      <c r="Z604" s="1" t="s">
        <v>39</v>
      </c>
    </row>
    <row r="605" spans="1:26" x14ac:dyDescent="0.3">
      <c r="A605" s="1" t="s">
        <v>1135</v>
      </c>
      <c r="B605" s="2">
        <v>46057</v>
      </c>
      <c r="C605" s="1" t="s">
        <v>742</v>
      </c>
      <c r="D605" s="1" t="s">
        <v>80</v>
      </c>
      <c r="E605" s="1" t="s">
        <v>43</v>
      </c>
      <c r="F605" s="1">
        <v>27</v>
      </c>
      <c r="G605" s="1" t="s">
        <v>90</v>
      </c>
      <c r="H605" s="1" t="s">
        <v>31</v>
      </c>
      <c r="I605" s="1" t="s">
        <v>90</v>
      </c>
      <c r="J605" s="1" t="s">
        <v>112</v>
      </c>
      <c r="K605" s="1">
        <v>2</v>
      </c>
      <c r="L605" s="1">
        <v>35061</v>
      </c>
      <c r="M605" s="1">
        <v>5</v>
      </c>
      <c r="N605" s="1">
        <v>3506.1</v>
      </c>
      <c r="O605" s="1">
        <v>11990.86</v>
      </c>
      <c r="P605" s="1">
        <v>303</v>
      </c>
      <c r="Q605" s="1">
        <v>78909.759999999995</v>
      </c>
      <c r="R605" s="1" t="s">
        <v>54</v>
      </c>
      <c r="S605" s="1" t="s">
        <v>34</v>
      </c>
      <c r="T605" s="1" t="s">
        <v>55</v>
      </c>
      <c r="U605" s="1" t="s">
        <v>56</v>
      </c>
      <c r="V605" s="1" t="s">
        <v>57</v>
      </c>
      <c r="W605" s="1">
        <v>6</v>
      </c>
      <c r="X605" s="1" t="s">
        <v>38</v>
      </c>
      <c r="Y605" s="1">
        <v>1</v>
      </c>
      <c r="Z605" s="1" t="s">
        <v>91</v>
      </c>
    </row>
    <row r="606" spans="1:26" x14ac:dyDescent="0.3">
      <c r="A606" s="1" t="s">
        <v>1136</v>
      </c>
      <c r="B606" s="2">
        <v>45967</v>
      </c>
      <c r="C606" s="1" t="s">
        <v>1137</v>
      </c>
      <c r="D606" s="1" t="s">
        <v>89</v>
      </c>
      <c r="E606" s="1" t="s">
        <v>43</v>
      </c>
      <c r="F606" s="1">
        <v>25</v>
      </c>
      <c r="G606" s="1" t="s">
        <v>30</v>
      </c>
      <c r="H606" s="1" t="s">
        <v>31</v>
      </c>
      <c r="I606" s="1" t="s">
        <v>30</v>
      </c>
      <c r="J606" s="1" t="s">
        <v>62</v>
      </c>
      <c r="K606" s="1">
        <v>5</v>
      </c>
      <c r="L606" s="1">
        <v>13176</v>
      </c>
      <c r="M606" s="1">
        <v>20</v>
      </c>
      <c r="N606" s="1">
        <v>13176</v>
      </c>
      <c r="O606" s="1">
        <v>9486.7199999999993</v>
      </c>
      <c r="P606" s="1">
        <v>109</v>
      </c>
      <c r="Q606" s="1">
        <v>62299.72</v>
      </c>
      <c r="R606" s="1" t="s">
        <v>45</v>
      </c>
      <c r="S606" s="1" t="s">
        <v>63</v>
      </c>
      <c r="T606" s="1" t="s">
        <v>46</v>
      </c>
      <c r="U606" s="1" t="s">
        <v>36</v>
      </c>
      <c r="V606" s="1" t="s">
        <v>37</v>
      </c>
      <c r="W606" s="1">
        <v>1</v>
      </c>
      <c r="X606" s="1" t="s">
        <v>47</v>
      </c>
      <c r="Y606" s="1">
        <v>4</v>
      </c>
      <c r="Z606" s="1" t="s">
        <v>58</v>
      </c>
    </row>
    <row r="607" spans="1:26" x14ac:dyDescent="0.3">
      <c r="A607" s="1" t="s">
        <v>1138</v>
      </c>
      <c r="B607" s="2">
        <v>45865</v>
      </c>
      <c r="C607" s="1" t="s">
        <v>1139</v>
      </c>
      <c r="D607" s="1" t="s">
        <v>89</v>
      </c>
      <c r="E607" s="1" t="s">
        <v>43</v>
      </c>
      <c r="F607" s="1">
        <v>42</v>
      </c>
      <c r="G607" s="1" t="s">
        <v>99</v>
      </c>
      <c r="H607" s="1" t="s">
        <v>52</v>
      </c>
      <c r="I607" s="1" t="s">
        <v>99</v>
      </c>
      <c r="J607" s="1" t="s">
        <v>62</v>
      </c>
      <c r="K607" s="1">
        <v>5</v>
      </c>
      <c r="L607" s="1">
        <v>38288</v>
      </c>
      <c r="M607" s="1">
        <v>10</v>
      </c>
      <c r="N607" s="1">
        <v>19144</v>
      </c>
      <c r="O607" s="1">
        <v>31013.279999999999</v>
      </c>
      <c r="P607" s="1">
        <v>33</v>
      </c>
      <c r="Q607" s="1">
        <v>203342.28</v>
      </c>
      <c r="R607" s="1" t="s">
        <v>33</v>
      </c>
      <c r="S607" s="1" t="s">
        <v>63</v>
      </c>
      <c r="T607" s="1" t="s">
        <v>55</v>
      </c>
      <c r="U607" s="1" t="s">
        <v>56</v>
      </c>
      <c r="V607" s="1" t="s">
        <v>57</v>
      </c>
      <c r="W607" s="1">
        <v>2</v>
      </c>
      <c r="X607" s="1" t="s">
        <v>47</v>
      </c>
      <c r="Y607" s="1">
        <v>2</v>
      </c>
      <c r="Z607" s="1" t="s">
        <v>91</v>
      </c>
    </row>
    <row r="608" spans="1:26" x14ac:dyDescent="0.3">
      <c r="A608" s="1" t="s">
        <v>1140</v>
      </c>
      <c r="B608" s="2">
        <v>45829</v>
      </c>
      <c r="C608" s="1" t="s">
        <v>695</v>
      </c>
      <c r="D608" s="1" t="s">
        <v>80</v>
      </c>
      <c r="E608" s="1" t="s">
        <v>29</v>
      </c>
      <c r="F608" s="1">
        <v>23</v>
      </c>
      <c r="G608" s="1" t="s">
        <v>51</v>
      </c>
      <c r="H608" s="1" t="s">
        <v>52</v>
      </c>
      <c r="I608" s="1" t="s">
        <v>51</v>
      </c>
      <c r="J608" s="1" t="s">
        <v>32</v>
      </c>
      <c r="K608" s="1">
        <v>5</v>
      </c>
      <c r="L608" s="1">
        <v>34595</v>
      </c>
      <c r="M608" s="1">
        <v>0</v>
      </c>
      <c r="N608" s="1">
        <v>0</v>
      </c>
      <c r="O608" s="1">
        <v>31135.5</v>
      </c>
      <c r="P608" s="1">
        <v>278</v>
      </c>
      <c r="Q608" s="1">
        <v>204388.5</v>
      </c>
      <c r="R608" s="1" t="s">
        <v>45</v>
      </c>
      <c r="S608" s="1" t="s">
        <v>34</v>
      </c>
      <c r="T608" s="1" t="s">
        <v>55</v>
      </c>
      <c r="U608" s="1" t="s">
        <v>56</v>
      </c>
      <c r="V608" s="1" t="s">
        <v>57</v>
      </c>
      <c r="W608" s="1">
        <v>7</v>
      </c>
      <c r="X608" s="1" t="s">
        <v>47</v>
      </c>
      <c r="Y608" s="1">
        <v>4</v>
      </c>
      <c r="Z608" s="1" t="s">
        <v>58</v>
      </c>
    </row>
    <row r="609" spans="1:26" x14ac:dyDescent="0.3">
      <c r="A609" s="1" t="s">
        <v>1141</v>
      </c>
      <c r="B609" s="2">
        <v>45972</v>
      </c>
      <c r="C609" s="1" t="s">
        <v>493</v>
      </c>
      <c r="D609" s="1" t="s">
        <v>66</v>
      </c>
      <c r="E609" s="1" t="s">
        <v>43</v>
      </c>
      <c r="F609" s="1">
        <v>45</v>
      </c>
      <c r="G609" s="1" t="s">
        <v>94</v>
      </c>
      <c r="H609" s="1" t="s">
        <v>31</v>
      </c>
      <c r="I609" s="1" t="s">
        <v>94</v>
      </c>
      <c r="J609" s="1" t="s">
        <v>201</v>
      </c>
      <c r="K609" s="1">
        <v>4</v>
      </c>
      <c r="L609" s="1">
        <v>14803</v>
      </c>
      <c r="M609" s="1">
        <v>5</v>
      </c>
      <c r="N609" s="1">
        <v>2960.6</v>
      </c>
      <c r="O609" s="1">
        <v>10125.25</v>
      </c>
      <c r="P609" s="1">
        <v>444</v>
      </c>
      <c r="Q609" s="1">
        <v>66820.649999999994</v>
      </c>
      <c r="R609" s="1" t="s">
        <v>83</v>
      </c>
      <c r="S609" s="1" t="s">
        <v>34</v>
      </c>
      <c r="T609" s="1" t="s">
        <v>95</v>
      </c>
      <c r="U609" s="1" t="s">
        <v>96</v>
      </c>
      <c r="V609" s="1" t="s">
        <v>57</v>
      </c>
      <c r="W609" s="1">
        <v>1</v>
      </c>
      <c r="X609" s="1" t="s">
        <v>38</v>
      </c>
      <c r="Y609" s="1">
        <v>4</v>
      </c>
      <c r="Z609" s="1" t="s">
        <v>39</v>
      </c>
    </row>
    <row r="610" spans="1:26" x14ac:dyDescent="0.3">
      <c r="A610" s="1" t="s">
        <v>1142</v>
      </c>
      <c r="B610" s="2">
        <v>46095</v>
      </c>
      <c r="C610" s="1" t="s">
        <v>1017</v>
      </c>
      <c r="D610" s="1" t="s">
        <v>89</v>
      </c>
      <c r="E610" s="1" t="s">
        <v>43</v>
      </c>
      <c r="F610" s="1">
        <v>23</v>
      </c>
      <c r="G610" s="1" t="s">
        <v>99</v>
      </c>
      <c r="H610" s="1" t="s">
        <v>52</v>
      </c>
      <c r="I610" s="1" t="s">
        <v>99</v>
      </c>
      <c r="J610" s="1" t="s">
        <v>201</v>
      </c>
      <c r="K610" s="1">
        <v>4</v>
      </c>
      <c r="L610" s="1">
        <v>46728</v>
      </c>
      <c r="M610" s="1">
        <v>20</v>
      </c>
      <c r="N610" s="1">
        <v>37382.400000000001</v>
      </c>
      <c r="O610" s="1">
        <v>26915.33</v>
      </c>
      <c r="P610" s="1">
        <v>488</v>
      </c>
      <c r="Q610" s="1">
        <v>176932.93</v>
      </c>
      <c r="R610" s="1" t="s">
        <v>33</v>
      </c>
      <c r="S610" s="1" t="s">
        <v>63</v>
      </c>
      <c r="T610" s="1" t="s">
        <v>46</v>
      </c>
      <c r="U610" s="1" t="s">
        <v>36</v>
      </c>
      <c r="V610" s="1" t="s">
        <v>37</v>
      </c>
      <c r="W610" s="1">
        <v>6</v>
      </c>
      <c r="X610" s="1" t="s">
        <v>38</v>
      </c>
      <c r="Y610" s="1">
        <v>3</v>
      </c>
      <c r="Z610" s="1" t="s">
        <v>91</v>
      </c>
    </row>
    <row r="611" spans="1:26" x14ac:dyDescent="0.3">
      <c r="A611" s="1" t="s">
        <v>1143</v>
      </c>
      <c r="B611" s="2">
        <v>46063</v>
      </c>
      <c r="C611" s="1" t="s">
        <v>1087</v>
      </c>
      <c r="D611" s="1" t="s">
        <v>80</v>
      </c>
      <c r="E611" s="1" t="s">
        <v>43</v>
      </c>
      <c r="F611" s="1">
        <v>56</v>
      </c>
      <c r="G611" s="1" t="s">
        <v>51</v>
      </c>
      <c r="H611" s="1" t="s">
        <v>52</v>
      </c>
      <c r="I611" s="1" t="s">
        <v>51</v>
      </c>
      <c r="J611" s="1" t="s">
        <v>75</v>
      </c>
      <c r="K611" s="1">
        <v>1</v>
      </c>
      <c r="L611" s="1">
        <v>27870</v>
      </c>
      <c r="M611" s="1">
        <v>10</v>
      </c>
      <c r="N611" s="1">
        <v>2787</v>
      </c>
      <c r="O611" s="1">
        <v>4514.9399999999996</v>
      </c>
      <c r="P611" s="1">
        <v>498</v>
      </c>
      <c r="Q611" s="1">
        <v>30095.94</v>
      </c>
      <c r="R611" s="1" t="s">
        <v>33</v>
      </c>
      <c r="S611" s="1" t="s">
        <v>63</v>
      </c>
      <c r="T611" s="1" t="s">
        <v>103</v>
      </c>
      <c r="U611" s="1" t="s">
        <v>103</v>
      </c>
      <c r="V611" s="1" t="s">
        <v>57</v>
      </c>
      <c r="W611" s="1">
        <v>8</v>
      </c>
      <c r="X611" s="1" t="s">
        <v>47</v>
      </c>
      <c r="Y611" s="1">
        <v>5</v>
      </c>
      <c r="Z611" s="1" t="s">
        <v>47</v>
      </c>
    </row>
    <row r="612" spans="1:26" x14ac:dyDescent="0.3">
      <c r="A612" s="1" t="s">
        <v>1144</v>
      </c>
      <c r="B612" s="2">
        <v>45954</v>
      </c>
      <c r="C612" s="1" t="s">
        <v>1003</v>
      </c>
      <c r="D612" s="1" t="s">
        <v>111</v>
      </c>
      <c r="E612" s="1" t="s">
        <v>43</v>
      </c>
      <c r="F612" s="1">
        <v>45</v>
      </c>
      <c r="G612" s="1" t="s">
        <v>51</v>
      </c>
      <c r="H612" s="1" t="s">
        <v>52</v>
      </c>
      <c r="I612" s="1" t="s">
        <v>51</v>
      </c>
      <c r="J612" s="1" t="s">
        <v>150</v>
      </c>
      <c r="K612" s="1">
        <v>2</v>
      </c>
      <c r="L612" s="1">
        <v>19119</v>
      </c>
      <c r="M612" s="1">
        <v>20</v>
      </c>
      <c r="N612" s="1">
        <v>7647.6</v>
      </c>
      <c r="O612" s="1">
        <v>5506.27</v>
      </c>
      <c r="P612" s="1">
        <v>309</v>
      </c>
      <c r="Q612" s="1">
        <v>36405.67</v>
      </c>
      <c r="R612" s="1" t="s">
        <v>33</v>
      </c>
      <c r="S612" s="1" t="s">
        <v>63</v>
      </c>
      <c r="T612" s="1" t="s">
        <v>76</v>
      </c>
      <c r="U612" s="1" t="s">
        <v>77</v>
      </c>
      <c r="V612" s="1" t="s">
        <v>57</v>
      </c>
      <c r="W612" s="1">
        <v>5</v>
      </c>
      <c r="X612" s="1" t="s">
        <v>38</v>
      </c>
      <c r="Y612" s="1">
        <v>3</v>
      </c>
      <c r="Z612" s="1" t="s">
        <v>91</v>
      </c>
    </row>
    <row r="613" spans="1:26" x14ac:dyDescent="0.3">
      <c r="A613" s="1" t="s">
        <v>1145</v>
      </c>
      <c r="B613" s="2">
        <v>45931</v>
      </c>
      <c r="C613" s="1" t="s">
        <v>1146</v>
      </c>
      <c r="D613" s="1" t="s">
        <v>28</v>
      </c>
      <c r="E613" s="1" t="s">
        <v>29</v>
      </c>
      <c r="F613" s="1">
        <v>30</v>
      </c>
      <c r="G613" s="1" t="s">
        <v>99</v>
      </c>
      <c r="H613" s="1" t="s">
        <v>52</v>
      </c>
      <c r="I613" s="1" t="s">
        <v>99</v>
      </c>
      <c r="J613" s="1" t="s">
        <v>112</v>
      </c>
      <c r="K613" s="1">
        <v>5</v>
      </c>
      <c r="L613" s="1">
        <v>17738</v>
      </c>
      <c r="M613" s="1">
        <v>20</v>
      </c>
      <c r="N613" s="1">
        <v>17738</v>
      </c>
      <c r="O613" s="1">
        <v>12771.36</v>
      </c>
      <c r="P613" s="1">
        <v>196</v>
      </c>
      <c r="Q613" s="1">
        <v>83919.360000000001</v>
      </c>
      <c r="R613" s="1" t="s">
        <v>83</v>
      </c>
      <c r="S613" s="1" t="s">
        <v>34</v>
      </c>
      <c r="T613" s="1" t="s">
        <v>46</v>
      </c>
      <c r="U613" s="1" t="s">
        <v>36</v>
      </c>
      <c r="V613" s="1" t="s">
        <v>37</v>
      </c>
      <c r="W613" s="1">
        <v>10</v>
      </c>
      <c r="X613" s="1" t="s">
        <v>38</v>
      </c>
      <c r="Y613" s="1">
        <v>2</v>
      </c>
      <c r="Z613" s="1" t="s">
        <v>58</v>
      </c>
    </row>
    <row r="614" spans="1:26" x14ac:dyDescent="0.3">
      <c r="A614" s="1" t="s">
        <v>1147</v>
      </c>
      <c r="B614" s="2">
        <v>45884</v>
      </c>
      <c r="C614" s="1" t="s">
        <v>1148</v>
      </c>
      <c r="D614" s="1" t="s">
        <v>108</v>
      </c>
      <c r="E614" s="1" t="s">
        <v>29</v>
      </c>
      <c r="F614" s="1">
        <v>60</v>
      </c>
      <c r="G614" s="1" t="s">
        <v>51</v>
      </c>
      <c r="H614" s="1" t="s">
        <v>52</v>
      </c>
      <c r="I614" s="1" t="s">
        <v>51</v>
      </c>
      <c r="J614" s="1" t="s">
        <v>150</v>
      </c>
      <c r="K614" s="1">
        <v>5</v>
      </c>
      <c r="L614" s="1">
        <v>43569</v>
      </c>
      <c r="M614" s="1">
        <v>20</v>
      </c>
      <c r="N614" s="1">
        <v>43569</v>
      </c>
      <c r="O614" s="1">
        <v>31369.68</v>
      </c>
      <c r="P614" s="1">
        <v>221</v>
      </c>
      <c r="Q614" s="1">
        <v>205866.68</v>
      </c>
      <c r="R614" s="1" t="s">
        <v>54</v>
      </c>
      <c r="S614" s="1" t="s">
        <v>63</v>
      </c>
      <c r="T614" s="1" t="s">
        <v>76</v>
      </c>
      <c r="U614" s="1" t="s">
        <v>77</v>
      </c>
      <c r="V614" s="1" t="s">
        <v>57</v>
      </c>
      <c r="W614" s="1">
        <v>10</v>
      </c>
      <c r="X614" s="1" t="s">
        <v>47</v>
      </c>
      <c r="Y614" s="1">
        <v>2</v>
      </c>
      <c r="Z614" s="1" t="s">
        <v>47</v>
      </c>
    </row>
    <row r="615" spans="1:26" x14ac:dyDescent="0.3">
      <c r="A615" s="1" t="s">
        <v>1149</v>
      </c>
      <c r="B615" s="2">
        <v>45906</v>
      </c>
      <c r="C615" s="1" t="s">
        <v>481</v>
      </c>
      <c r="D615" s="1" t="s">
        <v>108</v>
      </c>
      <c r="E615" s="1" t="s">
        <v>43</v>
      </c>
      <c r="F615" s="1">
        <v>35</v>
      </c>
      <c r="G615" s="1" t="s">
        <v>51</v>
      </c>
      <c r="H615" s="1" t="s">
        <v>52</v>
      </c>
      <c r="I615" s="1" t="s">
        <v>51</v>
      </c>
      <c r="J615" s="1" t="s">
        <v>125</v>
      </c>
      <c r="K615" s="1">
        <v>1</v>
      </c>
      <c r="L615" s="1">
        <v>30905</v>
      </c>
      <c r="M615" s="1">
        <v>15</v>
      </c>
      <c r="N615" s="1">
        <v>4635.75</v>
      </c>
      <c r="O615" s="1">
        <v>4728.47</v>
      </c>
      <c r="P615" s="1">
        <v>324</v>
      </c>
      <c r="Q615" s="1">
        <v>31321.72</v>
      </c>
      <c r="R615" s="1" t="s">
        <v>45</v>
      </c>
      <c r="S615" s="1" t="s">
        <v>63</v>
      </c>
      <c r="T615" s="1" t="s">
        <v>46</v>
      </c>
      <c r="U615" s="1" t="s">
        <v>36</v>
      </c>
      <c r="V615" s="1" t="s">
        <v>37</v>
      </c>
      <c r="W615" s="1">
        <v>10</v>
      </c>
      <c r="X615" s="1" t="s">
        <v>47</v>
      </c>
      <c r="Y615" s="1">
        <v>1</v>
      </c>
      <c r="Z615" s="1" t="s">
        <v>58</v>
      </c>
    </row>
    <row r="616" spans="1:26" x14ac:dyDescent="0.3">
      <c r="A616" s="1" t="s">
        <v>1150</v>
      </c>
      <c r="B616" s="2">
        <v>45937</v>
      </c>
      <c r="C616" s="1" t="s">
        <v>940</v>
      </c>
      <c r="D616" s="1" t="s">
        <v>111</v>
      </c>
      <c r="E616" s="1" t="s">
        <v>29</v>
      </c>
      <c r="F616" s="1">
        <v>58</v>
      </c>
      <c r="G616" s="1" t="s">
        <v>139</v>
      </c>
      <c r="H616" s="1" t="s">
        <v>31</v>
      </c>
      <c r="I616" s="1" t="s">
        <v>139</v>
      </c>
      <c r="J616" s="1" t="s">
        <v>112</v>
      </c>
      <c r="K616" s="1">
        <v>4</v>
      </c>
      <c r="L616" s="1">
        <v>41766</v>
      </c>
      <c r="M616" s="1">
        <v>0</v>
      </c>
      <c r="N616" s="1">
        <v>0</v>
      </c>
      <c r="O616" s="1">
        <v>30071.52</v>
      </c>
      <c r="P616" s="1">
        <v>436</v>
      </c>
      <c r="Q616" s="1">
        <v>197571.52</v>
      </c>
      <c r="R616" s="1" t="s">
        <v>45</v>
      </c>
      <c r="S616" s="1" t="s">
        <v>63</v>
      </c>
      <c r="T616" s="1" t="s">
        <v>103</v>
      </c>
      <c r="U616" s="1" t="s">
        <v>103</v>
      </c>
      <c r="V616" s="1" t="s">
        <v>57</v>
      </c>
      <c r="W616" s="1">
        <v>2</v>
      </c>
      <c r="X616" s="1" t="s">
        <v>47</v>
      </c>
      <c r="Y616" s="1">
        <v>2</v>
      </c>
      <c r="Z616" s="1" t="s">
        <v>58</v>
      </c>
    </row>
    <row r="617" spans="1:26" x14ac:dyDescent="0.3">
      <c r="A617" s="1" t="s">
        <v>1151</v>
      </c>
      <c r="B617" s="2">
        <v>45886</v>
      </c>
      <c r="C617" s="1" t="s">
        <v>1152</v>
      </c>
      <c r="D617" s="1" t="s">
        <v>61</v>
      </c>
      <c r="E617" s="1" t="s">
        <v>43</v>
      </c>
      <c r="F617" s="1">
        <v>42</v>
      </c>
      <c r="G617" s="1" t="s">
        <v>74</v>
      </c>
      <c r="H617" s="1" t="s">
        <v>31</v>
      </c>
      <c r="I617" s="1" t="s">
        <v>74</v>
      </c>
      <c r="J617" s="1" t="s">
        <v>125</v>
      </c>
      <c r="K617" s="1">
        <v>2</v>
      </c>
      <c r="L617" s="1">
        <v>21383</v>
      </c>
      <c r="M617" s="1">
        <v>20</v>
      </c>
      <c r="N617" s="1">
        <v>8553.2000000000007</v>
      </c>
      <c r="O617" s="1">
        <v>6158.3</v>
      </c>
      <c r="P617" s="1">
        <v>235</v>
      </c>
      <c r="Q617" s="1">
        <v>40606.1</v>
      </c>
      <c r="R617" s="1" t="s">
        <v>45</v>
      </c>
      <c r="S617" s="1" t="s">
        <v>34</v>
      </c>
      <c r="T617" s="1" t="s">
        <v>95</v>
      </c>
      <c r="U617" s="1" t="s">
        <v>96</v>
      </c>
      <c r="V617" s="1" t="s">
        <v>57</v>
      </c>
      <c r="W617" s="1">
        <v>2</v>
      </c>
      <c r="X617" s="1" t="s">
        <v>47</v>
      </c>
      <c r="Y617" s="1">
        <v>4</v>
      </c>
      <c r="Z617" s="1" t="s">
        <v>47</v>
      </c>
    </row>
    <row r="618" spans="1:26" x14ac:dyDescent="0.3">
      <c r="A618" s="1" t="s">
        <v>1153</v>
      </c>
      <c r="B618" s="2">
        <v>46083</v>
      </c>
      <c r="C618" s="1" t="s">
        <v>425</v>
      </c>
      <c r="D618" s="1" t="s">
        <v>66</v>
      </c>
      <c r="E618" s="1" t="s">
        <v>29</v>
      </c>
      <c r="F618" s="1">
        <v>42</v>
      </c>
      <c r="G618" s="1" t="s">
        <v>139</v>
      </c>
      <c r="H618" s="1" t="s">
        <v>31</v>
      </c>
      <c r="I618" s="1" t="s">
        <v>139</v>
      </c>
      <c r="J618" s="1" t="s">
        <v>75</v>
      </c>
      <c r="K618" s="1">
        <v>3</v>
      </c>
      <c r="L618" s="1">
        <v>6996</v>
      </c>
      <c r="M618" s="1">
        <v>0</v>
      </c>
      <c r="N618" s="1">
        <v>0</v>
      </c>
      <c r="O618" s="1">
        <v>3777.84</v>
      </c>
      <c r="P618" s="1">
        <v>327</v>
      </c>
      <c r="Q618" s="1">
        <v>25092.84</v>
      </c>
      <c r="R618" s="1" t="s">
        <v>33</v>
      </c>
      <c r="S618" s="1" t="s">
        <v>34</v>
      </c>
      <c r="T618" s="1" t="s">
        <v>55</v>
      </c>
      <c r="U618" s="1" t="s">
        <v>56</v>
      </c>
      <c r="V618" s="1" t="s">
        <v>57</v>
      </c>
      <c r="W618" s="1">
        <v>6</v>
      </c>
      <c r="X618" s="1" t="s">
        <v>38</v>
      </c>
      <c r="Y618" s="1">
        <v>2</v>
      </c>
      <c r="Z618" s="1" t="s">
        <v>58</v>
      </c>
    </row>
    <row r="619" spans="1:26" x14ac:dyDescent="0.3">
      <c r="A619" s="1" t="s">
        <v>1154</v>
      </c>
      <c r="B619" s="2">
        <v>46042</v>
      </c>
      <c r="C619" s="1" t="s">
        <v>1155</v>
      </c>
      <c r="D619" s="1" t="s">
        <v>73</v>
      </c>
      <c r="E619" s="1" t="s">
        <v>43</v>
      </c>
      <c r="F619" s="1">
        <v>50</v>
      </c>
      <c r="G619" s="1" t="s">
        <v>67</v>
      </c>
      <c r="H619" s="1" t="s">
        <v>68</v>
      </c>
      <c r="I619" s="1" t="s">
        <v>67</v>
      </c>
      <c r="J619" s="1" t="s">
        <v>112</v>
      </c>
      <c r="K619" s="1">
        <v>4</v>
      </c>
      <c r="L619" s="1">
        <v>47815</v>
      </c>
      <c r="M619" s="1">
        <v>10</v>
      </c>
      <c r="N619" s="1">
        <v>19126</v>
      </c>
      <c r="O619" s="1">
        <v>30984.12</v>
      </c>
      <c r="P619" s="1">
        <v>23</v>
      </c>
      <c r="Q619" s="1">
        <v>203141.12</v>
      </c>
      <c r="R619" s="1" t="s">
        <v>83</v>
      </c>
      <c r="S619" s="1" t="s">
        <v>34</v>
      </c>
      <c r="T619" s="1" t="s">
        <v>46</v>
      </c>
      <c r="U619" s="1" t="s">
        <v>36</v>
      </c>
      <c r="V619" s="1" t="s">
        <v>37</v>
      </c>
      <c r="W619" s="1">
        <v>2</v>
      </c>
      <c r="X619" s="1" t="s">
        <v>47</v>
      </c>
      <c r="Y619" s="1">
        <v>4</v>
      </c>
      <c r="Z619" s="1" t="s">
        <v>39</v>
      </c>
    </row>
    <row r="620" spans="1:26" x14ac:dyDescent="0.3">
      <c r="A620" s="1" t="s">
        <v>1156</v>
      </c>
      <c r="B620" s="2">
        <v>46099</v>
      </c>
      <c r="C620" s="1" t="s">
        <v>283</v>
      </c>
      <c r="D620" s="1" t="s">
        <v>42</v>
      </c>
      <c r="E620" s="1" t="s">
        <v>43</v>
      </c>
      <c r="F620" s="1">
        <v>37</v>
      </c>
      <c r="G620" s="1" t="s">
        <v>139</v>
      </c>
      <c r="H620" s="1" t="s">
        <v>31</v>
      </c>
      <c r="I620" s="1" t="s">
        <v>139</v>
      </c>
      <c r="J620" s="1" t="s">
        <v>32</v>
      </c>
      <c r="K620" s="1">
        <v>4</v>
      </c>
      <c r="L620" s="1">
        <v>16140</v>
      </c>
      <c r="M620" s="1">
        <v>20</v>
      </c>
      <c r="N620" s="1">
        <v>12912</v>
      </c>
      <c r="O620" s="1">
        <v>9296.64</v>
      </c>
      <c r="P620" s="1">
        <v>365</v>
      </c>
      <c r="Q620" s="1">
        <v>61309.64</v>
      </c>
      <c r="R620" s="1" t="s">
        <v>33</v>
      </c>
      <c r="S620" s="1" t="s">
        <v>34</v>
      </c>
      <c r="T620" s="1" t="s">
        <v>35</v>
      </c>
      <c r="U620" s="1" t="s">
        <v>36</v>
      </c>
      <c r="V620" s="1" t="s">
        <v>37</v>
      </c>
      <c r="W620" s="1">
        <v>4</v>
      </c>
      <c r="X620" s="1" t="s">
        <v>47</v>
      </c>
      <c r="Y620" s="1">
        <v>1</v>
      </c>
      <c r="Z620" s="1" t="s">
        <v>91</v>
      </c>
    </row>
    <row r="621" spans="1:26" x14ac:dyDescent="0.3">
      <c r="A621" s="1" t="s">
        <v>1157</v>
      </c>
      <c r="B621" s="2">
        <v>46021</v>
      </c>
      <c r="C621" s="1" t="s">
        <v>830</v>
      </c>
      <c r="D621" s="1" t="s">
        <v>73</v>
      </c>
      <c r="E621" s="1" t="s">
        <v>43</v>
      </c>
      <c r="F621" s="1">
        <v>43</v>
      </c>
      <c r="G621" s="1" t="s">
        <v>44</v>
      </c>
      <c r="H621" s="1" t="s">
        <v>31</v>
      </c>
      <c r="I621" s="1" t="s">
        <v>44</v>
      </c>
      <c r="J621" s="1" t="s">
        <v>112</v>
      </c>
      <c r="K621" s="1">
        <v>2</v>
      </c>
      <c r="L621" s="1">
        <v>1150</v>
      </c>
      <c r="M621" s="1">
        <v>20</v>
      </c>
      <c r="N621" s="1">
        <v>460</v>
      </c>
      <c r="O621" s="1">
        <v>331.2</v>
      </c>
      <c r="P621" s="1">
        <v>394</v>
      </c>
      <c r="Q621" s="1">
        <v>2565.1999999999998</v>
      </c>
      <c r="R621" s="1" t="s">
        <v>83</v>
      </c>
      <c r="S621" s="1" t="s">
        <v>63</v>
      </c>
      <c r="T621" s="1" t="s">
        <v>76</v>
      </c>
      <c r="U621" s="1" t="s">
        <v>77</v>
      </c>
      <c r="V621" s="1" t="s">
        <v>57</v>
      </c>
      <c r="W621" s="1">
        <v>9</v>
      </c>
      <c r="X621" s="1" t="s">
        <v>38</v>
      </c>
      <c r="Y621" s="1">
        <v>2</v>
      </c>
      <c r="Z621" s="1" t="s">
        <v>58</v>
      </c>
    </row>
    <row r="622" spans="1:26" x14ac:dyDescent="0.3">
      <c r="A622" s="1" t="s">
        <v>1158</v>
      </c>
      <c r="B622" s="2">
        <v>45921</v>
      </c>
      <c r="C622" s="1" t="s">
        <v>1159</v>
      </c>
      <c r="D622" s="1" t="s">
        <v>66</v>
      </c>
      <c r="E622" s="1" t="s">
        <v>29</v>
      </c>
      <c r="F622" s="1">
        <v>35</v>
      </c>
      <c r="G622" s="1" t="s">
        <v>90</v>
      </c>
      <c r="H622" s="1" t="s">
        <v>31</v>
      </c>
      <c r="I622" s="1" t="s">
        <v>90</v>
      </c>
      <c r="J622" s="1" t="s">
        <v>201</v>
      </c>
      <c r="K622" s="1">
        <v>5</v>
      </c>
      <c r="L622" s="1">
        <v>4559</v>
      </c>
      <c r="M622" s="1">
        <v>20</v>
      </c>
      <c r="N622" s="1">
        <v>4559</v>
      </c>
      <c r="O622" s="1">
        <v>3282.48</v>
      </c>
      <c r="P622" s="1">
        <v>202</v>
      </c>
      <c r="Q622" s="1">
        <v>21720.48</v>
      </c>
      <c r="R622" s="1" t="s">
        <v>45</v>
      </c>
      <c r="S622" s="1" t="s">
        <v>34</v>
      </c>
      <c r="T622" s="1" t="s">
        <v>55</v>
      </c>
      <c r="U622" s="1" t="s">
        <v>56</v>
      </c>
      <c r="V622" s="1" t="s">
        <v>57</v>
      </c>
      <c r="W622" s="1">
        <v>10</v>
      </c>
      <c r="X622" s="1" t="s">
        <v>38</v>
      </c>
      <c r="Y622" s="1">
        <v>1</v>
      </c>
      <c r="Z622" s="1" t="s">
        <v>91</v>
      </c>
    </row>
    <row r="623" spans="1:26" x14ac:dyDescent="0.3">
      <c r="A623" s="1" t="s">
        <v>1160</v>
      </c>
      <c r="B623" s="2">
        <v>46084</v>
      </c>
      <c r="C623" s="1" t="s">
        <v>229</v>
      </c>
      <c r="D623" s="1" t="s">
        <v>50</v>
      </c>
      <c r="E623" s="1" t="s">
        <v>43</v>
      </c>
      <c r="F623" s="1">
        <v>51</v>
      </c>
      <c r="G623" s="1" t="s">
        <v>44</v>
      </c>
      <c r="H623" s="1" t="s">
        <v>31</v>
      </c>
      <c r="I623" s="1" t="s">
        <v>44</v>
      </c>
      <c r="J623" s="1" t="s">
        <v>69</v>
      </c>
      <c r="K623" s="1">
        <v>5</v>
      </c>
      <c r="L623" s="1">
        <v>40159</v>
      </c>
      <c r="M623" s="1">
        <v>5</v>
      </c>
      <c r="N623" s="1">
        <v>10039.75</v>
      </c>
      <c r="O623" s="1">
        <v>34335.94</v>
      </c>
      <c r="P623" s="1">
        <v>207</v>
      </c>
      <c r="Q623" s="1">
        <v>225298.2</v>
      </c>
      <c r="R623" s="1" t="s">
        <v>33</v>
      </c>
      <c r="S623" s="1" t="s">
        <v>34</v>
      </c>
      <c r="T623" s="1" t="s">
        <v>55</v>
      </c>
      <c r="U623" s="1" t="s">
        <v>56</v>
      </c>
      <c r="V623" s="1" t="s">
        <v>57</v>
      </c>
      <c r="W623" s="1">
        <v>8</v>
      </c>
      <c r="X623" s="1" t="s">
        <v>47</v>
      </c>
      <c r="Y623" s="1">
        <v>3</v>
      </c>
      <c r="Z623" s="1" t="s">
        <v>58</v>
      </c>
    </row>
    <row r="624" spans="1:26" x14ac:dyDescent="0.3">
      <c r="A624" s="1" t="s">
        <v>1161</v>
      </c>
      <c r="B624" s="2">
        <v>45935</v>
      </c>
      <c r="C624" s="1" t="s">
        <v>1162</v>
      </c>
      <c r="D624" s="1" t="s">
        <v>28</v>
      </c>
      <c r="E624" s="1" t="s">
        <v>43</v>
      </c>
      <c r="F624" s="1">
        <v>25</v>
      </c>
      <c r="G624" s="1" t="s">
        <v>67</v>
      </c>
      <c r="H624" s="1" t="s">
        <v>68</v>
      </c>
      <c r="I624" s="1" t="s">
        <v>67</v>
      </c>
      <c r="J624" s="1" t="s">
        <v>125</v>
      </c>
      <c r="K624" s="1">
        <v>2</v>
      </c>
      <c r="L624" s="1">
        <v>10985</v>
      </c>
      <c r="M624" s="1">
        <v>5</v>
      </c>
      <c r="N624" s="1">
        <v>1098.5</v>
      </c>
      <c r="O624" s="1">
        <v>3756.87</v>
      </c>
      <c r="P624" s="1">
        <v>120</v>
      </c>
      <c r="Q624" s="1">
        <v>24748.37</v>
      </c>
      <c r="R624" s="1" t="s">
        <v>83</v>
      </c>
      <c r="S624" s="1" t="s">
        <v>63</v>
      </c>
      <c r="T624" s="1" t="s">
        <v>46</v>
      </c>
      <c r="U624" s="1" t="s">
        <v>36</v>
      </c>
      <c r="V624" s="1" t="s">
        <v>37</v>
      </c>
      <c r="W624" s="1">
        <v>8</v>
      </c>
      <c r="X624" s="1" t="s">
        <v>38</v>
      </c>
      <c r="Y624" s="1">
        <v>4</v>
      </c>
      <c r="Z624" s="1" t="s">
        <v>91</v>
      </c>
    </row>
    <row r="625" spans="1:26" x14ac:dyDescent="0.3">
      <c r="A625" s="1" t="s">
        <v>1163</v>
      </c>
      <c r="B625" s="2">
        <v>45967</v>
      </c>
      <c r="C625" s="1" t="s">
        <v>1164</v>
      </c>
      <c r="D625" s="1" t="s">
        <v>73</v>
      </c>
      <c r="E625" s="1" t="s">
        <v>29</v>
      </c>
      <c r="F625" s="1">
        <v>29</v>
      </c>
      <c r="G625" s="1" t="s">
        <v>90</v>
      </c>
      <c r="H625" s="1" t="s">
        <v>31</v>
      </c>
      <c r="I625" s="1" t="s">
        <v>90</v>
      </c>
      <c r="J625" s="1" t="s">
        <v>201</v>
      </c>
      <c r="K625" s="1">
        <v>1</v>
      </c>
      <c r="L625" s="1">
        <v>36714</v>
      </c>
      <c r="M625" s="1">
        <v>0</v>
      </c>
      <c r="N625" s="1">
        <v>0</v>
      </c>
      <c r="O625" s="1">
        <v>6608.52</v>
      </c>
      <c r="P625" s="1">
        <v>425</v>
      </c>
      <c r="Q625" s="1">
        <v>43747.519999999997</v>
      </c>
      <c r="R625" s="1" t="s">
        <v>54</v>
      </c>
      <c r="S625" s="1" t="s">
        <v>63</v>
      </c>
      <c r="T625" s="1" t="s">
        <v>55</v>
      </c>
      <c r="U625" s="1" t="s">
        <v>56</v>
      </c>
      <c r="V625" s="1" t="s">
        <v>57</v>
      </c>
      <c r="W625" s="1">
        <v>2</v>
      </c>
      <c r="X625" s="1" t="s">
        <v>38</v>
      </c>
      <c r="Y625" s="1">
        <v>2</v>
      </c>
      <c r="Z625" s="1" t="s">
        <v>58</v>
      </c>
    </row>
    <row r="626" spans="1:26" x14ac:dyDescent="0.3">
      <c r="A626" s="1" t="s">
        <v>1165</v>
      </c>
      <c r="B626" s="2">
        <v>45767</v>
      </c>
      <c r="C626" s="1" t="s">
        <v>867</v>
      </c>
      <c r="D626" s="1" t="s">
        <v>42</v>
      </c>
      <c r="E626" s="1" t="s">
        <v>29</v>
      </c>
      <c r="F626" s="1">
        <v>37</v>
      </c>
      <c r="G626" s="1" t="s">
        <v>94</v>
      </c>
      <c r="H626" s="1" t="s">
        <v>31</v>
      </c>
      <c r="I626" s="1" t="s">
        <v>94</v>
      </c>
      <c r="J626" s="1" t="s">
        <v>112</v>
      </c>
      <c r="K626" s="1">
        <v>1</v>
      </c>
      <c r="L626" s="1">
        <v>19124</v>
      </c>
      <c r="M626" s="1">
        <v>10</v>
      </c>
      <c r="N626" s="1">
        <v>1912.4</v>
      </c>
      <c r="O626" s="1">
        <v>3098.09</v>
      </c>
      <c r="P626" s="1">
        <v>257</v>
      </c>
      <c r="Q626" s="1">
        <v>20566.689999999999</v>
      </c>
      <c r="R626" s="1" t="s">
        <v>83</v>
      </c>
      <c r="S626" s="1" t="s">
        <v>63</v>
      </c>
      <c r="T626" s="1" t="s">
        <v>55</v>
      </c>
      <c r="U626" s="1" t="s">
        <v>56</v>
      </c>
      <c r="V626" s="1" t="s">
        <v>57</v>
      </c>
      <c r="W626" s="1">
        <v>6</v>
      </c>
      <c r="X626" s="1" t="s">
        <v>47</v>
      </c>
      <c r="Y626" s="1">
        <v>4</v>
      </c>
      <c r="Z626" s="1" t="s">
        <v>58</v>
      </c>
    </row>
    <row r="627" spans="1:26" x14ac:dyDescent="0.3">
      <c r="A627" s="1" t="s">
        <v>1166</v>
      </c>
      <c r="B627" s="2">
        <v>45831</v>
      </c>
      <c r="C627" s="1" t="s">
        <v>1167</v>
      </c>
      <c r="D627" s="1" t="s">
        <v>42</v>
      </c>
      <c r="E627" s="1" t="s">
        <v>29</v>
      </c>
      <c r="F627" s="1">
        <v>54</v>
      </c>
      <c r="G627" s="1" t="s">
        <v>139</v>
      </c>
      <c r="H627" s="1" t="s">
        <v>31</v>
      </c>
      <c r="I627" s="1" t="s">
        <v>139</v>
      </c>
      <c r="J627" s="1" t="s">
        <v>112</v>
      </c>
      <c r="K627" s="1">
        <v>1</v>
      </c>
      <c r="L627" s="1">
        <v>23713</v>
      </c>
      <c r="M627" s="1">
        <v>20</v>
      </c>
      <c r="N627" s="1">
        <v>4742.6000000000004</v>
      </c>
      <c r="O627" s="1">
        <v>3414.67</v>
      </c>
      <c r="P627" s="1">
        <v>411</v>
      </c>
      <c r="Q627" s="1">
        <v>22796.07</v>
      </c>
      <c r="R627" s="1" t="s">
        <v>33</v>
      </c>
      <c r="S627" s="1" t="s">
        <v>63</v>
      </c>
      <c r="T627" s="1" t="s">
        <v>70</v>
      </c>
      <c r="U627" s="1" t="s">
        <v>56</v>
      </c>
      <c r="V627" s="1" t="s">
        <v>57</v>
      </c>
      <c r="W627" s="1">
        <v>10</v>
      </c>
      <c r="X627" s="1" t="s">
        <v>47</v>
      </c>
      <c r="Y627" s="1">
        <v>5</v>
      </c>
      <c r="Z627" s="1" t="s">
        <v>39</v>
      </c>
    </row>
    <row r="628" spans="1:26" x14ac:dyDescent="0.3">
      <c r="A628" s="1" t="s">
        <v>1168</v>
      </c>
      <c r="B628" s="2">
        <v>45922</v>
      </c>
      <c r="C628" s="1" t="s">
        <v>1169</v>
      </c>
      <c r="D628" s="1" t="s">
        <v>28</v>
      </c>
      <c r="E628" s="1" t="s">
        <v>43</v>
      </c>
      <c r="F628" s="1">
        <v>58</v>
      </c>
      <c r="G628" s="1" t="s">
        <v>44</v>
      </c>
      <c r="H628" s="1" t="s">
        <v>31</v>
      </c>
      <c r="I628" s="1" t="s">
        <v>44</v>
      </c>
      <c r="J628" s="1" t="s">
        <v>62</v>
      </c>
      <c r="K628" s="1">
        <v>3</v>
      </c>
      <c r="L628" s="1">
        <v>34710</v>
      </c>
      <c r="M628" s="1">
        <v>20</v>
      </c>
      <c r="N628" s="1">
        <v>20826</v>
      </c>
      <c r="O628" s="1">
        <v>14994.72</v>
      </c>
      <c r="P628" s="1">
        <v>173</v>
      </c>
      <c r="Q628" s="1">
        <v>98471.72</v>
      </c>
      <c r="R628" s="1" t="s">
        <v>45</v>
      </c>
      <c r="S628" s="1" t="s">
        <v>63</v>
      </c>
      <c r="T628" s="1" t="s">
        <v>70</v>
      </c>
      <c r="U628" s="1" t="s">
        <v>56</v>
      </c>
      <c r="V628" s="1" t="s">
        <v>57</v>
      </c>
      <c r="W628" s="1">
        <v>1</v>
      </c>
      <c r="X628" s="1" t="s">
        <v>47</v>
      </c>
      <c r="Y628" s="1">
        <v>4</v>
      </c>
      <c r="Z628" s="1" t="s">
        <v>91</v>
      </c>
    </row>
    <row r="629" spans="1:26" x14ac:dyDescent="0.3">
      <c r="A629" s="1" t="s">
        <v>1170</v>
      </c>
      <c r="B629" s="2">
        <v>45860</v>
      </c>
      <c r="C629" s="1" t="s">
        <v>1171</v>
      </c>
      <c r="D629" s="1" t="s">
        <v>111</v>
      </c>
      <c r="E629" s="1" t="s">
        <v>43</v>
      </c>
      <c r="F629" s="1">
        <v>51</v>
      </c>
      <c r="G629" s="1" t="s">
        <v>74</v>
      </c>
      <c r="H629" s="1" t="s">
        <v>31</v>
      </c>
      <c r="I629" s="1" t="s">
        <v>74</v>
      </c>
      <c r="J629" s="1" t="s">
        <v>201</v>
      </c>
      <c r="K629" s="1">
        <v>3</v>
      </c>
      <c r="L629" s="1">
        <v>7140</v>
      </c>
      <c r="M629" s="1">
        <v>0</v>
      </c>
      <c r="N629" s="1">
        <v>0</v>
      </c>
      <c r="O629" s="1">
        <v>3855.6</v>
      </c>
      <c r="P629" s="1">
        <v>484</v>
      </c>
      <c r="Q629" s="1">
        <v>25759.599999999999</v>
      </c>
      <c r="R629" s="1" t="s">
        <v>45</v>
      </c>
      <c r="S629" s="1" t="s">
        <v>63</v>
      </c>
      <c r="T629" s="1" t="s">
        <v>55</v>
      </c>
      <c r="U629" s="1" t="s">
        <v>56</v>
      </c>
      <c r="V629" s="1" t="s">
        <v>57</v>
      </c>
      <c r="W629" s="1">
        <v>3</v>
      </c>
      <c r="X629" s="1" t="s">
        <v>47</v>
      </c>
      <c r="Y629" s="1">
        <v>3</v>
      </c>
      <c r="Z629" s="1" t="s">
        <v>91</v>
      </c>
    </row>
    <row r="630" spans="1:26" x14ac:dyDescent="0.3">
      <c r="A630" s="1" t="s">
        <v>1172</v>
      </c>
      <c r="B630" s="2">
        <v>45843</v>
      </c>
      <c r="C630" s="1" t="s">
        <v>1173</v>
      </c>
      <c r="D630" s="1" t="s">
        <v>66</v>
      </c>
      <c r="E630" s="1" t="s">
        <v>43</v>
      </c>
      <c r="F630" s="1">
        <v>56</v>
      </c>
      <c r="G630" s="1" t="s">
        <v>74</v>
      </c>
      <c r="H630" s="1" t="s">
        <v>31</v>
      </c>
      <c r="I630" s="1" t="s">
        <v>74</v>
      </c>
      <c r="J630" s="1" t="s">
        <v>102</v>
      </c>
      <c r="K630" s="1">
        <v>2</v>
      </c>
      <c r="L630" s="1">
        <v>28239</v>
      </c>
      <c r="M630" s="1">
        <v>20</v>
      </c>
      <c r="N630" s="1">
        <v>11295.6</v>
      </c>
      <c r="O630" s="1">
        <v>8132.83</v>
      </c>
      <c r="P630" s="1">
        <v>103</v>
      </c>
      <c r="Q630" s="1">
        <v>53418.23</v>
      </c>
      <c r="R630" s="1" t="s">
        <v>54</v>
      </c>
      <c r="S630" s="1" t="s">
        <v>34</v>
      </c>
      <c r="T630" s="1" t="s">
        <v>95</v>
      </c>
      <c r="U630" s="1" t="s">
        <v>96</v>
      </c>
      <c r="V630" s="1" t="s">
        <v>57</v>
      </c>
      <c r="W630" s="1">
        <v>3</v>
      </c>
      <c r="X630" s="1" t="s">
        <v>47</v>
      </c>
      <c r="Y630" s="1">
        <v>5</v>
      </c>
      <c r="Z630" s="1" t="s">
        <v>47</v>
      </c>
    </row>
    <row r="631" spans="1:26" x14ac:dyDescent="0.3">
      <c r="A631" s="1" t="s">
        <v>1174</v>
      </c>
      <c r="B631" s="2">
        <v>45907</v>
      </c>
      <c r="C631" s="1" t="s">
        <v>1175</v>
      </c>
      <c r="D631" s="1" t="s">
        <v>89</v>
      </c>
      <c r="E631" s="1" t="s">
        <v>29</v>
      </c>
      <c r="F631" s="1">
        <v>49</v>
      </c>
      <c r="G631" s="1" t="s">
        <v>134</v>
      </c>
      <c r="H631" s="1" t="s">
        <v>31</v>
      </c>
      <c r="I631" s="1" t="s">
        <v>134</v>
      </c>
      <c r="J631" s="1" t="s">
        <v>69</v>
      </c>
      <c r="K631" s="1">
        <v>4</v>
      </c>
      <c r="L631" s="1">
        <v>48282</v>
      </c>
      <c r="M631" s="1">
        <v>15</v>
      </c>
      <c r="N631" s="1">
        <v>28969.200000000001</v>
      </c>
      <c r="O631" s="1">
        <v>29548.58</v>
      </c>
      <c r="P631" s="1">
        <v>35</v>
      </c>
      <c r="Q631" s="1">
        <v>193742.38</v>
      </c>
      <c r="R631" s="1" t="s">
        <v>33</v>
      </c>
      <c r="S631" s="1" t="s">
        <v>63</v>
      </c>
      <c r="T631" s="1" t="s">
        <v>95</v>
      </c>
      <c r="U631" s="1" t="s">
        <v>96</v>
      </c>
      <c r="V631" s="1" t="s">
        <v>57</v>
      </c>
      <c r="W631" s="1">
        <v>7</v>
      </c>
      <c r="X631" s="1" t="s">
        <v>47</v>
      </c>
      <c r="Y631" s="1">
        <v>5</v>
      </c>
      <c r="Z631" s="1" t="s">
        <v>91</v>
      </c>
    </row>
    <row r="632" spans="1:26" x14ac:dyDescent="0.3">
      <c r="A632" s="1" t="s">
        <v>1176</v>
      </c>
      <c r="B632" s="2">
        <v>45879</v>
      </c>
      <c r="C632" s="1" t="s">
        <v>771</v>
      </c>
      <c r="D632" s="1" t="s">
        <v>73</v>
      </c>
      <c r="E632" s="1" t="s">
        <v>29</v>
      </c>
      <c r="F632" s="1">
        <v>26</v>
      </c>
      <c r="G632" s="1" t="s">
        <v>74</v>
      </c>
      <c r="H632" s="1" t="s">
        <v>31</v>
      </c>
      <c r="I632" s="1" t="s">
        <v>74</v>
      </c>
      <c r="J632" s="1" t="s">
        <v>150</v>
      </c>
      <c r="K632" s="1">
        <v>4</v>
      </c>
      <c r="L632" s="1">
        <v>32877</v>
      </c>
      <c r="M632" s="1">
        <v>10</v>
      </c>
      <c r="N632" s="1">
        <v>13150.8</v>
      </c>
      <c r="O632" s="1">
        <v>21304.3</v>
      </c>
      <c r="P632" s="1">
        <v>68</v>
      </c>
      <c r="Q632" s="1">
        <v>139729.5</v>
      </c>
      <c r="R632" s="1" t="s">
        <v>33</v>
      </c>
      <c r="S632" s="1" t="s">
        <v>63</v>
      </c>
      <c r="T632" s="1" t="s">
        <v>35</v>
      </c>
      <c r="U632" s="1" t="s">
        <v>36</v>
      </c>
      <c r="V632" s="1" t="s">
        <v>37</v>
      </c>
      <c r="W632" s="1">
        <v>1</v>
      </c>
      <c r="X632" s="1" t="s">
        <v>47</v>
      </c>
      <c r="Y632" s="1">
        <v>3</v>
      </c>
      <c r="Z632" s="1" t="s">
        <v>39</v>
      </c>
    </row>
    <row r="633" spans="1:26" x14ac:dyDescent="0.3">
      <c r="A633" s="1" t="s">
        <v>1177</v>
      </c>
      <c r="B633" s="2">
        <v>46007</v>
      </c>
      <c r="C633" s="1" t="s">
        <v>1178</v>
      </c>
      <c r="D633" s="1" t="s">
        <v>28</v>
      </c>
      <c r="E633" s="1" t="s">
        <v>29</v>
      </c>
      <c r="F633" s="1">
        <v>23</v>
      </c>
      <c r="G633" s="1" t="s">
        <v>51</v>
      </c>
      <c r="H633" s="1" t="s">
        <v>52</v>
      </c>
      <c r="I633" s="1" t="s">
        <v>51</v>
      </c>
      <c r="J633" s="1" t="s">
        <v>201</v>
      </c>
      <c r="K633" s="1">
        <v>5</v>
      </c>
      <c r="L633" s="1">
        <v>6859</v>
      </c>
      <c r="M633" s="1">
        <v>20</v>
      </c>
      <c r="N633" s="1">
        <v>6859</v>
      </c>
      <c r="O633" s="1">
        <v>4938.4799999999996</v>
      </c>
      <c r="P633" s="1">
        <v>489</v>
      </c>
      <c r="Q633" s="1">
        <v>32863.480000000003</v>
      </c>
      <c r="R633" s="1" t="s">
        <v>83</v>
      </c>
      <c r="S633" s="1" t="s">
        <v>34</v>
      </c>
      <c r="T633" s="1" t="s">
        <v>35</v>
      </c>
      <c r="U633" s="1" t="s">
        <v>36</v>
      </c>
      <c r="V633" s="1" t="s">
        <v>37</v>
      </c>
      <c r="W633" s="1">
        <v>8</v>
      </c>
      <c r="X633" s="1" t="s">
        <v>38</v>
      </c>
      <c r="Y633" s="1">
        <v>1</v>
      </c>
      <c r="Z633" s="1" t="s">
        <v>39</v>
      </c>
    </row>
    <row r="634" spans="1:26" x14ac:dyDescent="0.3">
      <c r="A634" s="1" t="s">
        <v>1179</v>
      </c>
      <c r="B634" s="2">
        <v>45996</v>
      </c>
      <c r="C634" s="1" t="s">
        <v>1180</v>
      </c>
      <c r="D634" s="1" t="s">
        <v>89</v>
      </c>
      <c r="E634" s="1" t="s">
        <v>29</v>
      </c>
      <c r="F634" s="1">
        <v>56</v>
      </c>
      <c r="G634" s="1" t="s">
        <v>74</v>
      </c>
      <c r="H634" s="1" t="s">
        <v>31</v>
      </c>
      <c r="I634" s="1" t="s">
        <v>74</v>
      </c>
      <c r="J634" s="1" t="s">
        <v>53</v>
      </c>
      <c r="K634" s="1">
        <v>5</v>
      </c>
      <c r="L634" s="1">
        <v>6880</v>
      </c>
      <c r="M634" s="1">
        <v>5</v>
      </c>
      <c r="N634" s="1">
        <v>1720</v>
      </c>
      <c r="O634" s="1">
        <v>5882.4</v>
      </c>
      <c r="P634" s="1">
        <v>355</v>
      </c>
      <c r="Q634" s="1">
        <v>38917.4</v>
      </c>
      <c r="R634" s="1" t="s">
        <v>45</v>
      </c>
      <c r="S634" s="1" t="s">
        <v>63</v>
      </c>
      <c r="T634" s="1" t="s">
        <v>55</v>
      </c>
      <c r="U634" s="1" t="s">
        <v>56</v>
      </c>
      <c r="V634" s="1" t="s">
        <v>57</v>
      </c>
      <c r="W634" s="1">
        <v>8</v>
      </c>
      <c r="X634" s="1" t="s">
        <v>47</v>
      </c>
      <c r="Y634" s="1">
        <v>4</v>
      </c>
      <c r="Z634" s="1" t="s">
        <v>39</v>
      </c>
    </row>
    <row r="635" spans="1:26" x14ac:dyDescent="0.3">
      <c r="A635" s="1" t="s">
        <v>1181</v>
      </c>
      <c r="B635" s="2">
        <v>45814</v>
      </c>
      <c r="C635" s="1" t="s">
        <v>1180</v>
      </c>
      <c r="D635" s="1" t="s">
        <v>111</v>
      </c>
      <c r="E635" s="1" t="s">
        <v>43</v>
      </c>
      <c r="F635" s="1">
        <v>29</v>
      </c>
      <c r="G635" s="1" t="s">
        <v>139</v>
      </c>
      <c r="H635" s="1" t="s">
        <v>31</v>
      </c>
      <c r="I635" s="1" t="s">
        <v>139</v>
      </c>
      <c r="J635" s="1" t="s">
        <v>32</v>
      </c>
      <c r="K635" s="1">
        <v>3</v>
      </c>
      <c r="L635" s="1">
        <v>44405</v>
      </c>
      <c r="M635" s="1">
        <v>20</v>
      </c>
      <c r="N635" s="1">
        <v>26643</v>
      </c>
      <c r="O635" s="1">
        <v>19182.96</v>
      </c>
      <c r="P635" s="1">
        <v>188</v>
      </c>
      <c r="Q635" s="1">
        <v>125942.96</v>
      </c>
      <c r="R635" s="1" t="s">
        <v>45</v>
      </c>
      <c r="S635" s="1" t="s">
        <v>34</v>
      </c>
      <c r="T635" s="1" t="s">
        <v>84</v>
      </c>
      <c r="U635" s="1" t="s">
        <v>85</v>
      </c>
      <c r="V635" s="1" t="s">
        <v>86</v>
      </c>
      <c r="W635" s="1">
        <v>4</v>
      </c>
      <c r="X635" s="1" t="s">
        <v>47</v>
      </c>
      <c r="Y635" s="1">
        <v>3</v>
      </c>
      <c r="Z635" s="1" t="s">
        <v>39</v>
      </c>
    </row>
    <row r="636" spans="1:26" x14ac:dyDescent="0.3">
      <c r="A636" s="1" t="s">
        <v>1182</v>
      </c>
      <c r="B636" s="2">
        <v>45912</v>
      </c>
      <c r="C636" s="1" t="s">
        <v>1183</v>
      </c>
      <c r="D636" s="1" t="s">
        <v>61</v>
      </c>
      <c r="E636" s="1" t="s">
        <v>43</v>
      </c>
      <c r="F636" s="1">
        <v>25</v>
      </c>
      <c r="G636" s="1" t="s">
        <v>99</v>
      </c>
      <c r="H636" s="1" t="s">
        <v>52</v>
      </c>
      <c r="I636" s="1" t="s">
        <v>99</v>
      </c>
      <c r="J636" s="1" t="s">
        <v>62</v>
      </c>
      <c r="K636" s="1">
        <v>5</v>
      </c>
      <c r="L636" s="1">
        <v>36886</v>
      </c>
      <c r="M636" s="1">
        <v>20</v>
      </c>
      <c r="N636" s="1">
        <v>36886</v>
      </c>
      <c r="O636" s="1">
        <v>26557.919999999998</v>
      </c>
      <c r="P636" s="1">
        <v>302</v>
      </c>
      <c r="Q636" s="1">
        <v>174403.92</v>
      </c>
      <c r="R636" s="1" t="s">
        <v>83</v>
      </c>
      <c r="S636" s="1" t="s">
        <v>63</v>
      </c>
      <c r="T636" s="1" t="s">
        <v>84</v>
      </c>
      <c r="U636" s="1" t="s">
        <v>85</v>
      </c>
      <c r="V636" s="1" t="s">
        <v>86</v>
      </c>
      <c r="W636" s="1">
        <v>2</v>
      </c>
      <c r="X636" s="1" t="s">
        <v>47</v>
      </c>
      <c r="Y636" s="1">
        <v>3</v>
      </c>
      <c r="Z636" s="1" t="s">
        <v>91</v>
      </c>
    </row>
    <row r="637" spans="1:26" x14ac:dyDescent="0.3">
      <c r="A637" s="1" t="s">
        <v>1184</v>
      </c>
      <c r="B637" s="2">
        <v>46081</v>
      </c>
      <c r="C637" s="1" t="s">
        <v>1185</v>
      </c>
      <c r="D637" s="1" t="s">
        <v>80</v>
      </c>
      <c r="E637" s="1" t="s">
        <v>29</v>
      </c>
      <c r="F637" s="1">
        <v>31</v>
      </c>
      <c r="G637" s="1" t="s">
        <v>134</v>
      </c>
      <c r="H637" s="1" t="s">
        <v>31</v>
      </c>
      <c r="I637" s="1" t="s">
        <v>134</v>
      </c>
      <c r="J637" s="1" t="s">
        <v>150</v>
      </c>
      <c r="K637" s="1">
        <v>4</v>
      </c>
      <c r="L637" s="1">
        <v>42144</v>
      </c>
      <c r="M637" s="1">
        <v>0</v>
      </c>
      <c r="N637" s="1">
        <v>0</v>
      </c>
      <c r="O637" s="1">
        <v>30343.68</v>
      </c>
      <c r="P637" s="1">
        <v>24</v>
      </c>
      <c r="Q637" s="1">
        <v>198943.68</v>
      </c>
      <c r="R637" s="1" t="s">
        <v>33</v>
      </c>
      <c r="S637" s="1" t="s">
        <v>34</v>
      </c>
      <c r="T637" s="1" t="s">
        <v>46</v>
      </c>
      <c r="U637" s="1" t="s">
        <v>36</v>
      </c>
      <c r="V637" s="1" t="s">
        <v>37</v>
      </c>
      <c r="W637" s="1">
        <v>2</v>
      </c>
      <c r="X637" s="1" t="s">
        <v>47</v>
      </c>
      <c r="Y637" s="1">
        <v>1</v>
      </c>
      <c r="Z637" s="1" t="s">
        <v>91</v>
      </c>
    </row>
    <row r="638" spans="1:26" x14ac:dyDescent="0.3">
      <c r="A638" s="1" t="s">
        <v>1186</v>
      </c>
      <c r="B638" s="2">
        <v>45928</v>
      </c>
      <c r="C638" s="1" t="s">
        <v>1187</v>
      </c>
      <c r="D638" s="1" t="s">
        <v>66</v>
      </c>
      <c r="E638" s="1" t="s">
        <v>43</v>
      </c>
      <c r="F638" s="1">
        <v>28</v>
      </c>
      <c r="G638" s="1" t="s">
        <v>139</v>
      </c>
      <c r="H638" s="1" t="s">
        <v>31</v>
      </c>
      <c r="I638" s="1" t="s">
        <v>139</v>
      </c>
      <c r="J638" s="1" t="s">
        <v>53</v>
      </c>
      <c r="K638" s="1">
        <v>4</v>
      </c>
      <c r="L638" s="1">
        <v>48302</v>
      </c>
      <c r="M638" s="1">
        <v>5</v>
      </c>
      <c r="N638" s="1">
        <v>9660.4</v>
      </c>
      <c r="O638" s="1">
        <v>33038.57</v>
      </c>
      <c r="P638" s="1">
        <v>179</v>
      </c>
      <c r="Q638" s="1">
        <v>216765.17</v>
      </c>
      <c r="R638" s="1" t="s">
        <v>45</v>
      </c>
      <c r="S638" s="1" t="s">
        <v>63</v>
      </c>
      <c r="T638" s="1" t="s">
        <v>103</v>
      </c>
      <c r="U638" s="1" t="s">
        <v>103</v>
      </c>
      <c r="V638" s="1" t="s">
        <v>57</v>
      </c>
      <c r="W638" s="1">
        <v>2</v>
      </c>
      <c r="X638" s="1" t="s">
        <v>47</v>
      </c>
      <c r="Y638" s="1">
        <v>2</v>
      </c>
      <c r="Z638" s="1" t="s">
        <v>47</v>
      </c>
    </row>
    <row r="639" spans="1:26" x14ac:dyDescent="0.3">
      <c r="A639" s="1" t="s">
        <v>1188</v>
      </c>
      <c r="B639" s="2">
        <v>45899</v>
      </c>
      <c r="C639" s="1" t="s">
        <v>1189</v>
      </c>
      <c r="D639" s="1" t="s">
        <v>66</v>
      </c>
      <c r="E639" s="1" t="s">
        <v>43</v>
      </c>
      <c r="F639" s="1">
        <v>38</v>
      </c>
      <c r="G639" s="1" t="s">
        <v>51</v>
      </c>
      <c r="H639" s="1" t="s">
        <v>52</v>
      </c>
      <c r="I639" s="1" t="s">
        <v>51</v>
      </c>
      <c r="J639" s="1" t="s">
        <v>201</v>
      </c>
      <c r="K639" s="1">
        <v>2</v>
      </c>
      <c r="L639" s="1">
        <v>48941</v>
      </c>
      <c r="M639" s="1">
        <v>20</v>
      </c>
      <c r="N639" s="1">
        <v>19576.400000000001</v>
      </c>
      <c r="O639" s="1">
        <v>14095.01</v>
      </c>
      <c r="P639" s="1">
        <v>140</v>
      </c>
      <c r="Q639" s="1">
        <v>92540.61</v>
      </c>
      <c r="R639" s="1" t="s">
        <v>33</v>
      </c>
      <c r="S639" s="1" t="s">
        <v>34</v>
      </c>
      <c r="T639" s="1" t="s">
        <v>46</v>
      </c>
      <c r="U639" s="1" t="s">
        <v>36</v>
      </c>
      <c r="V639" s="1" t="s">
        <v>37</v>
      </c>
      <c r="W639" s="1">
        <v>3</v>
      </c>
      <c r="X639" s="1" t="s">
        <v>47</v>
      </c>
      <c r="Y639" s="1">
        <v>1</v>
      </c>
      <c r="Z639" s="1" t="s">
        <v>47</v>
      </c>
    </row>
    <row r="640" spans="1:26" x14ac:dyDescent="0.3">
      <c r="A640" s="1" t="s">
        <v>1190</v>
      </c>
      <c r="B640" s="2">
        <v>45808</v>
      </c>
      <c r="C640" s="1" t="s">
        <v>1191</v>
      </c>
      <c r="D640" s="1" t="s">
        <v>50</v>
      </c>
      <c r="E640" s="1" t="s">
        <v>29</v>
      </c>
      <c r="F640" s="1">
        <v>60</v>
      </c>
      <c r="G640" s="1" t="s">
        <v>44</v>
      </c>
      <c r="H640" s="1" t="s">
        <v>31</v>
      </c>
      <c r="I640" s="1" t="s">
        <v>44</v>
      </c>
      <c r="J640" s="1" t="s">
        <v>201</v>
      </c>
      <c r="K640" s="1">
        <v>3</v>
      </c>
      <c r="L640" s="1">
        <v>2310</v>
      </c>
      <c r="M640" s="1">
        <v>0</v>
      </c>
      <c r="N640" s="1">
        <v>0</v>
      </c>
      <c r="O640" s="1">
        <v>1247.4000000000001</v>
      </c>
      <c r="P640" s="1">
        <v>179</v>
      </c>
      <c r="Q640" s="1">
        <v>8356.4</v>
      </c>
      <c r="R640" s="1" t="s">
        <v>54</v>
      </c>
      <c r="S640" s="1" t="s">
        <v>34</v>
      </c>
      <c r="T640" s="1" t="s">
        <v>70</v>
      </c>
      <c r="U640" s="1" t="s">
        <v>56</v>
      </c>
      <c r="V640" s="1" t="s">
        <v>57</v>
      </c>
      <c r="W640" s="1">
        <v>8</v>
      </c>
      <c r="X640" s="1" t="s">
        <v>47</v>
      </c>
      <c r="Y640" s="1">
        <v>2</v>
      </c>
      <c r="Z640" s="1" t="s">
        <v>91</v>
      </c>
    </row>
    <row r="641" spans="1:26" x14ac:dyDescent="0.3">
      <c r="A641" s="1" t="s">
        <v>1192</v>
      </c>
      <c r="B641" s="2">
        <v>45947</v>
      </c>
      <c r="C641" s="1" t="s">
        <v>940</v>
      </c>
      <c r="D641" s="1" t="s">
        <v>108</v>
      </c>
      <c r="E641" s="1" t="s">
        <v>29</v>
      </c>
      <c r="F641" s="1">
        <v>51</v>
      </c>
      <c r="G641" s="1" t="s">
        <v>51</v>
      </c>
      <c r="H641" s="1" t="s">
        <v>52</v>
      </c>
      <c r="I641" s="1" t="s">
        <v>51</v>
      </c>
      <c r="J641" s="1" t="s">
        <v>69</v>
      </c>
      <c r="K641" s="1">
        <v>3</v>
      </c>
      <c r="L641" s="1">
        <v>23961</v>
      </c>
      <c r="M641" s="1">
        <v>15</v>
      </c>
      <c r="N641" s="1">
        <v>10782.45</v>
      </c>
      <c r="O641" s="1">
        <v>10998.1</v>
      </c>
      <c r="P641" s="1">
        <v>321</v>
      </c>
      <c r="Q641" s="1">
        <v>72419.649999999994</v>
      </c>
      <c r="R641" s="1" t="s">
        <v>54</v>
      </c>
      <c r="S641" s="1" t="s">
        <v>34</v>
      </c>
      <c r="T641" s="1" t="s">
        <v>84</v>
      </c>
      <c r="U641" s="1" t="s">
        <v>85</v>
      </c>
      <c r="V641" s="1" t="s">
        <v>86</v>
      </c>
      <c r="W641" s="1">
        <v>5</v>
      </c>
      <c r="X641" s="1" t="s">
        <v>47</v>
      </c>
      <c r="Y641" s="1">
        <v>3</v>
      </c>
      <c r="Z641" s="1" t="s">
        <v>39</v>
      </c>
    </row>
    <row r="642" spans="1:26" x14ac:dyDescent="0.3">
      <c r="A642" s="1" t="s">
        <v>1193</v>
      </c>
      <c r="B642" s="2">
        <v>45798</v>
      </c>
      <c r="C642" s="1" t="s">
        <v>1194</v>
      </c>
      <c r="D642" s="1" t="s">
        <v>42</v>
      </c>
      <c r="E642" s="1" t="s">
        <v>43</v>
      </c>
      <c r="F642" s="1">
        <v>46</v>
      </c>
      <c r="G642" s="1" t="s">
        <v>51</v>
      </c>
      <c r="H642" s="1" t="s">
        <v>52</v>
      </c>
      <c r="I642" s="1" t="s">
        <v>51</v>
      </c>
      <c r="J642" s="1" t="s">
        <v>32</v>
      </c>
      <c r="K642" s="1">
        <v>1</v>
      </c>
      <c r="L642" s="1">
        <v>4128</v>
      </c>
      <c r="M642" s="1">
        <v>15</v>
      </c>
      <c r="N642" s="1">
        <v>619.20000000000005</v>
      </c>
      <c r="O642" s="1">
        <v>631.58000000000004</v>
      </c>
      <c r="P642" s="1">
        <v>70</v>
      </c>
      <c r="Q642" s="1">
        <v>4210.38</v>
      </c>
      <c r="R642" s="1" t="s">
        <v>33</v>
      </c>
      <c r="S642" s="1" t="s">
        <v>34</v>
      </c>
      <c r="T642" s="1" t="s">
        <v>95</v>
      </c>
      <c r="U642" s="1" t="s">
        <v>96</v>
      </c>
      <c r="V642" s="1" t="s">
        <v>57</v>
      </c>
      <c r="W642" s="1">
        <v>6</v>
      </c>
      <c r="X642" s="1" t="s">
        <v>38</v>
      </c>
      <c r="Y642" s="1">
        <v>4</v>
      </c>
      <c r="Z642" s="1" t="s">
        <v>58</v>
      </c>
    </row>
    <row r="643" spans="1:26" x14ac:dyDescent="0.3">
      <c r="A643" s="1" t="s">
        <v>1195</v>
      </c>
      <c r="B643" s="2">
        <v>45893</v>
      </c>
      <c r="C643" s="1" t="s">
        <v>538</v>
      </c>
      <c r="D643" s="1" t="s">
        <v>111</v>
      </c>
      <c r="E643" s="1" t="s">
        <v>29</v>
      </c>
      <c r="F643" s="1">
        <v>51</v>
      </c>
      <c r="G643" s="1" t="s">
        <v>51</v>
      </c>
      <c r="H643" s="1" t="s">
        <v>52</v>
      </c>
      <c r="I643" s="1" t="s">
        <v>51</v>
      </c>
      <c r="J643" s="1" t="s">
        <v>69</v>
      </c>
      <c r="K643" s="1">
        <v>3</v>
      </c>
      <c r="L643" s="1">
        <v>11238</v>
      </c>
      <c r="M643" s="1">
        <v>10</v>
      </c>
      <c r="N643" s="1">
        <v>3371.4</v>
      </c>
      <c r="O643" s="1">
        <v>5461.67</v>
      </c>
      <c r="P643" s="1">
        <v>201</v>
      </c>
      <c r="Q643" s="1">
        <v>36005.269999999997</v>
      </c>
      <c r="R643" s="1" t="s">
        <v>83</v>
      </c>
      <c r="S643" s="1" t="s">
        <v>63</v>
      </c>
      <c r="T643" s="1" t="s">
        <v>35</v>
      </c>
      <c r="U643" s="1" t="s">
        <v>36</v>
      </c>
      <c r="V643" s="1" t="s">
        <v>37</v>
      </c>
      <c r="W643" s="1">
        <v>5</v>
      </c>
      <c r="X643" s="1" t="s">
        <v>38</v>
      </c>
      <c r="Y643" s="1">
        <v>1</v>
      </c>
      <c r="Z643" s="1" t="s">
        <v>58</v>
      </c>
    </row>
    <row r="644" spans="1:26" x14ac:dyDescent="0.3">
      <c r="A644" s="1" t="s">
        <v>1196</v>
      </c>
      <c r="B644" s="2">
        <v>46014</v>
      </c>
      <c r="C644" s="1" t="s">
        <v>243</v>
      </c>
      <c r="D644" s="1" t="s">
        <v>80</v>
      </c>
      <c r="E644" s="1" t="s">
        <v>29</v>
      </c>
      <c r="F644" s="1">
        <v>38</v>
      </c>
      <c r="G644" s="1" t="s">
        <v>30</v>
      </c>
      <c r="H644" s="1" t="s">
        <v>31</v>
      </c>
      <c r="I644" s="1" t="s">
        <v>30</v>
      </c>
      <c r="J644" s="1" t="s">
        <v>69</v>
      </c>
      <c r="K644" s="1">
        <v>2</v>
      </c>
      <c r="L644" s="1">
        <v>46694</v>
      </c>
      <c r="M644" s="1">
        <v>10</v>
      </c>
      <c r="N644" s="1">
        <v>9338.7999999999993</v>
      </c>
      <c r="O644" s="1">
        <v>15128.86</v>
      </c>
      <c r="P644" s="1">
        <v>86</v>
      </c>
      <c r="Q644" s="1">
        <v>99264.06</v>
      </c>
      <c r="R644" s="1" t="s">
        <v>83</v>
      </c>
      <c r="S644" s="1" t="s">
        <v>34</v>
      </c>
      <c r="T644" s="1" t="s">
        <v>76</v>
      </c>
      <c r="U644" s="1" t="s">
        <v>77</v>
      </c>
      <c r="V644" s="1" t="s">
        <v>57</v>
      </c>
      <c r="W644" s="1">
        <v>6</v>
      </c>
      <c r="X644" s="1" t="s">
        <v>38</v>
      </c>
      <c r="Y644" s="1">
        <v>4</v>
      </c>
      <c r="Z644" s="1" t="s">
        <v>91</v>
      </c>
    </row>
    <row r="645" spans="1:26" x14ac:dyDescent="0.3">
      <c r="A645" s="1" t="s">
        <v>1197</v>
      </c>
      <c r="B645" s="2">
        <v>46049</v>
      </c>
      <c r="C645" s="1" t="s">
        <v>1198</v>
      </c>
      <c r="D645" s="1" t="s">
        <v>61</v>
      </c>
      <c r="E645" s="1" t="s">
        <v>29</v>
      </c>
      <c r="F645" s="1">
        <v>35</v>
      </c>
      <c r="G645" s="1" t="s">
        <v>94</v>
      </c>
      <c r="H645" s="1" t="s">
        <v>31</v>
      </c>
      <c r="I645" s="1" t="s">
        <v>94</v>
      </c>
      <c r="J645" s="1" t="s">
        <v>62</v>
      </c>
      <c r="K645" s="1">
        <v>5</v>
      </c>
      <c r="L645" s="1">
        <v>34344</v>
      </c>
      <c r="M645" s="1">
        <v>20</v>
      </c>
      <c r="N645" s="1">
        <v>34344</v>
      </c>
      <c r="O645" s="1">
        <v>24727.68</v>
      </c>
      <c r="P645" s="1">
        <v>473</v>
      </c>
      <c r="Q645" s="1">
        <v>162576.68</v>
      </c>
      <c r="R645" s="1" t="s">
        <v>33</v>
      </c>
      <c r="S645" s="1" t="s">
        <v>63</v>
      </c>
      <c r="T645" s="1" t="s">
        <v>103</v>
      </c>
      <c r="U645" s="1" t="s">
        <v>103</v>
      </c>
      <c r="V645" s="1" t="s">
        <v>57</v>
      </c>
      <c r="W645" s="1">
        <v>5</v>
      </c>
      <c r="X645" s="1" t="s">
        <v>47</v>
      </c>
      <c r="Y645" s="1">
        <v>5</v>
      </c>
      <c r="Z645" s="1" t="s">
        <v>58</v>
      </c>
    </row>
    <row r="646" spans="1:26" x14ac:dyDescent="0.3">
      <c r="A646" s="1" t="s">
        <v>1199</v>
      </c>
      <c r="B646" s="2">
        <v>46107</v>
      </c>
      <c r="C646" s="1" t="s">
        <v>1200</v>
      </c>
      <c r="D646" s="1" t="s">
        <v>42</v>
      </c>
      <c r="E646" s="1" t="s">
        <v>43</v>
      </c>
      <c r="F646" s="1">
        <v>22</v>
      </c>
      <c r="G646" s="1" t="s">
        <v>134</v>
      </c>
      <c r="H646" s="1" t="s">
        <v>31</v>
      </c>
      <c r="I646" s="1" t="s">
        <v>134</v>
      </c>
      <c r="J646" s="1" t="s">
        <v>75</v>
      </c>
      <c r="K646" s="1">
        <v>2</v>
      </c>
      <c r="L646" s="1">
        <v>36921</v>
      </c>
      <c r="M646" s="1">
        <v>20</v>
      </c>
      <c r="N646" s="1">
        <v>14768.4</v>
      </c>
      <c r="O646" s="1">
        <v>10633.25</v>
      </c>
      <c r="P646" s="1">
        <v>288</v>
      </c>
      <c r="Q646" s="1">
        <v>69994.850000000006</v>
      </c>
      <c r="R646" s="1" t="s">
        <v>54</v>
      </c>
      <c r="S646" s="1" t="s">
        <v>63</v>
      </c>
      <c r="T646" s="1" t="s">
        <v>55</v>
      </c>
      <c r="U646" s="1" t="s">
        <v>56</v>
      </c>
      <c r="V646" s="1" t="s">
        <v>57</v>
      </c>
      <c r="W646" s="1">
        <v>7</v>
      </c>
      <c r="X646" s="1" t="s">
        <v>47</v>
      </c>
      <c r="Y646" s="1">
        <v>5</v>
      </c>
      <c r="Z646" s="1" t="s">
        <v>58</v>
      </c>
    </row>
    <row r="647" spans="1:26" x14ac:dyDescent="0.3">
      <c r="A647" s="1" t="s">
        <v>1201</v>
      </c>
      <c r="B647" s="2">
        <v>45830</v>
      </c>
      <c r="C647" s="1" t="s">
        <v>310</v>
      </c>
      <c r="D647" s="1" t="s">
        <v>61</v>
      </c>
      <c r="E647" s="1" t="s">
        <v>29</v>
      </c>
      <c r="F647" s="1">
        <v>34</v>
      </c>
      <c r="G647" s="1" t="s">
        <v>30</v>
      </c>
      <c r="H647" s="1" t="s">
        <v>31</v>
      </c>
      <c r="I647" s="1" t="s">
        <v>30</v>
      </c>
      <c r="J647" s="1" t="s">
        <v>112</v>
      </c>
      <c r="K647" s="1">
        <v>3</v>
      </c>
      <c r="L647" s="1">
        <v>4374</v>
      </c>
      <c r="M647" s="1">
        <v>20</v>
      </c>
      <c r="N647" s="1">
        <v>2624.4</v>
      </c>
      <c r="O647" s="1">
        <v>1889.57</v>
      </c>
      <c r="P647" s="1">
        <v>36</v>
      </c>
      <c r="Q647" s="1">
        <v>12423.17</v>
      </c>
      <c r="R647" s="1" t="s">
        <v>83</v>
      </c>
      <c r="S647" s="1" t="s">
        <v>63</v>
      </c>
      <c r="T647" s="1" t="s">
        <v>55</v>
      </c>
      <c r="U647" s="1" t="s">
        <v>56</v>
      </c>
      <c r="V647" s="1" t="s">
        <v>57</v>
      </c>
      <c r="W647" s="1">
        <v>9</v>
      </c>
      <c r="X647" s="1" t="s">
        <v>47</v>
      </c>
      <c r="Y647" s="1">
        <v>1</v>
      </c>
      <c r="Z647" s="1" t="s">
        <v>91</v>
      </c>
    </row>
    <row r="648" spans="1:26" x14ac:dyDescent="0.3">
      <c r="A648" s="1" t="s">
        <v>1202</v>
      </c>
      <c r="B648" s="2">
        <v>45948</v>
      </c>
      <c r="C648" s="1" t="s">
        <v>1152</v>
      </c>
      <c r="D648" s="1" t="s">
        <v>80</v>
      </c>
      <c r="E648" s="1" t="s">
        <v>29</v>
      </c>
      <c r="F648" s="1">
        <v>24</v>
      </c>
      <c r="G648" s="1" t="s">
        <v>74</v>
      </c>
      <c r="H648" s="1" t="s">
        <v>31</v>
      </c>
      <c r="I648" s="1" t="s">
        <v>74</v>
      </c>
      <c r="J648" s="1" t="s">
        <v>102</v>
      </c>
      <c r="K648" s="1">
        <v>5</v>
      </c>
      <c r="L648" s="1">
        <v>31044</v>
      </c>
      <c r="M648" s="1">
        <v>20</v>
      </c>
      <c r="N648" s="1">
        <v>31044</v>
      </c>
      <c r="O648" s="1">
        <v>22351.68</v>
      </c>
      <c r="P648" s="1">
        <v>403</v>
      </c>
      <c r="Q648" s="1">
        <v>146930.68</v>
      </c>
      <c r="R648" s="1" t="s">
        <v>83</v>
      </c>
      <c r="S648" s="1" t="s">
        <v>34</v>
      </c>
      <c r="T648" s="1" t="s">
        <v>76</v>
      </c>
      <c r="U648" s="1" t="s">
        <v>77</v>
      </c>
      <c r="V648" s="1" t="s">
        <v>57</v>
      </c>
      <c r="W648" s="1">
        <v>5</v>
      </c>
      <c r="X648" s="1" t="s">
        <v>47</v>
      </c>
      <c r="Y648" s="1">
        <v>2</v>
      </c>
      <c r="Z648" s="1" t="s">
        <v>47</v>
      </c>
    </row>
    <row r="649" spans="1:26" x14ac:dyDescent="0.3">
      <c r="A649" s="1" t="s">
        <v>1203</v>
      </c>
      <c r="B649" s="2">
        <v>45786</v>
      </c>
      <c r="C649" s="1" t="s">
        <v>184</v>
      </c>
      <c r="D649" s="1" t="s">
        <v>111</v>
      </c>
      <c r="E649" s="1" t="s">
        <v>43</v>
      </c>
      <c r="F649" s="1">
        <v>57</v>
      </c>
      <c r="G649" s="1" t="s">
        <v>67</v>
      </c>
      <c r="H649" s="1" t="s">
        <v>68</v>
      </c>
      <c r="I649" s="1" t="s">
        <v>67</v>
      </c>
      <c r="J649" s="1" t="s">
        <v>69</v>
      </c>
      <c r="K649" s="1">
        <v>3</v>
      </c>
      <c r="L649" s="1">
        <v>43444</v>
      </c>
      <c r="M649" s="1">
        <v>0</v>
      </c>
      <c r="N649" s="1">
        <v>0</v>
      </c>
      <c r="O649" s="1">
        <v>23459.759999999998</v>
      </c>
      <c r="P649" s="1">
        <v>238</v>
      </c>
      <c r="Q649" s="1">
        <v>154029.76000000001</v>
      </c>
      <c r="R649" s="1" t="s">
        <v>33</v>
      </c>
      <c r="S649" s="1" t="s">
        <v>34</v>
      </c>
      <c r="T649" s="1" t="s">
        <v>46</v>
      </c>
      <c r="U649" s="1" t="s">
        <v>36</v>
      </c>
      <c r="V649" s="1" t="s">
        <v>37</v>
      </c>
      <c r="W649" s="1">
        <v>10</v>
      </c>
      <c r="X649" s="1" t="s">
        <v>38</v>
      </c>
      <c r="Y649" s="1">
        <v>4</v>
      </c>
      <c r="Z649" s="1" t="s">
        <v>91</v>
      </c>
    </row>
    <row r="650" spans="1:26" x14ac:dyDescent="0.3">
      <c r="A650" s="1" t="s">
        <v>1204</v>
      </c>
      <c r="B650" s="2">
        <v>46059</v>
      </c>
      <c r="C650" s="1" t="s">
        <v>971</v>
      </c>
      <c r="D650" s="1" t="s">
        <v>66</v>
      </c>
      <c r="E650" s="1" t="s">
        <v>29</v>
      </c>
      <c r="F650" s="1">
        <v>41</v>
      </c>
      <c r="G650" s="1" t="s">
        <v>44</v>
      </c>
      <c r="H650" s="1" t="s">
        <v>31</v>
      </c>
      <c r="I650" s="1" t="s">
        <v>44</v>
      </c>
      <c r="J650" s="1" t="s">
        <v>32</v>
      </c>
      <c r="K650" s="1">
        <v>2</v>
      </c>
      <c r="L650" s="1">
        <v>38898</v>
      </c>
      <c r="M650" s="1">
        <v>10</v>
      </c>
      <c r="N650" s="1">
        <v>7779.6</v>
      </c>
      <c r="O650" s="1">
        <v>12602.95</v>
      </c>
      <c r="P650" s="1">
        <v>277</v>
      </c>
      <c r="Q650" s="1">
        <v>82896.350000000006</v>
      </c>
      <c r="R650" s="1" t="s">
        <v>33</v>
      </c>
      <c r="S650" s="1" t="s">
        <v>34</v>
      </c>
      <c r="T650" s="1" t="s">
        <v>55</v>
      </c>
      <c r="U650" s="1" t="s">
        <v>56</v>
      </c>
      <c r="V650" s="1" t="s">
        <v>57</v>
      </c>
      <c r="W650" s="1">
        <v>10</v>
      </c>
      <c r="X650" s="1" t="s">
        <v>38</v>
      </c>
      <c r="Y650" s="1">
        <v>1</v>
      </c>
      <c r="Z650" s="1" t="s">
        <v>91</v>
      </c>
    </row>
    <row r="651" spans="1:26" x14ac:dyDescent="0.3">
      <c r="A651" s="1" t="s">
        <v>1205</v>
      </c>
      <c r="B651" s="2">
        <v>45773</v>
      </c>
      <c r="C651" s="1" t="s">
        <v>1097</v>
      </c>
      <c r="D651" s="1" t="s">
        <v>42</v>
      </c>
      <c r="E651" s="1" t="s">
        <v>43</v>
      </c>
      <c r="F651" s="1">
        <v>51</v>
      </c>
      <c r="G651" s="1" t="s">
        <v>90</v>
      </c>
      <c r="H651" s="1" t="s">
        <v>31</v>
      </c>
      <c r="I651" s="1" t="s">
        <v>90</v>
      </c>
      <c r="J651" s="1" t="s">
        <v>32</v>
      </c>
      <c r="K651" s="1">
        <v>3</v>
      </c>
      <c r="L651" s="1">
        <v>25634</v>
      </c>
      <c r="M651" s="1">
        <v>20</v>
      </c>
      <c r="N651" s="1">
        <v>15380.4</v>
      </c>
      <c r="O651" s="1">
        <v>11073.89</v>
      </c>
      <c r="P651" s="1">
        <v>490</v>
      </c>
      <c r="Q651" s="1">
        <v>73085.490000000005</v>
      </c>
      <c r="R651" s="1" t="s">
        <v>33</v>
      </c>
      <c r="S651" s="1" t="s">
        <v>34</v>
      </c>
      <c r="T651" s="1" t="s">
        <v>70</v>
      </c>
      <c r="U651" s="1" t="s">
        <v>56</v>
      </c>
      <c r="V651" s="1" t="s">
        <v>57</v>
      </c>
      <c r="W651" s="1">
        <v>10</v>
      </c>
      <c r="X651" s="1" t="s">
        <v>38</v>
      </c>
      <c r="Y651" s="1">
        <v>1</v>
      </c>
      <c r="Z651" s="1" t="s">
        <v>47</v>
      </c>
    </row>
    <row r="652" spans="1:26" x14ac:dyDescent="0.3">
      <c r="A652" s="1" t="s">
        <v>1206</v>
      </c>
      <c r="B652" s="2">
        <v>45872</v>
      </c>
      <c r="C652" s="1" t="s">
        <v>1207</v>
      </c>
      <c r="D652" s="1" t="s">
        <v>108</v>
      </c>
      <c r="E652" s="1" t="s">
        <v>43</v>
      </c>
      <c r="F652" s="1">
        <v>36</v>
      </c>
      <c r="G652" s="1" t="s">
        <v>74</v>
      </c>
      <c r="H652" s="1" t="s">
        <v>31</v>
      </c>
      <c r="I652" s="1" t="s">
        <v>74</v>
      </c>
      <c r="J652" s="1" t="s">
        <v>69</v>
      </c>
      <c r="K652" s="1">
        <v>1</v>
      </c>
      <c r="L652" s="1">
        <v>18070</v>
      </c>
      <c r="M652" s="1">
        <v>5</v>
      </c>
      <c r="N652" s="1">
        <v>903.5</v>
      </c>
      <c r="O652" s="1">
        <v>3089.97</v>
      </c>
      <c r="P652" s="1">
        <v>495</v>
      </c>
      <c r="Q652" s="1">
        <v>20751.47</v>
      </c>
      <c r="R652" s="1" t="s">
        <v>83</v>
      </c>
      <c r="S652" s="1" t="s">
        <v>34</v>
      </c>
      <c r="T652" s="1" t="s">
        <v>70</v>
      </c>
      <c r="U652" s="1" t="s">
        <v>56</v>
      </c>
      <c r="V652" s="1" t="s">
        <v>57</v>
      </c>
      <c r="W652" s="1">
        <v>6</v>
      </c>
      <c r="X652" s="1" t="s">
        <v>38</v>
      </c>
      <c r="Y652" s="1">
        <v>4</v>
      </c>
      <c r="Z652" s="1" t="s">
        <v>39</v>
      </c>
    </row>
    <row r="653" spans="1:26" x14ac:dyDescent="0.3">
      <c r="A653" s="1" t="s">
        <v>1208</v>
      </c>
      <c r="B653" s="2">
        <v>46090</v>
      </c>
      <c r="C653" s="1" t="s">
        <v>528</v>
      </c>
      <c r="D653" s="1" t="s">
        <v>61</v>
      </c>
      <c r="E653" s="1" t="s">
        <v>43</v>
      </c>
      <c r="F653" s="1">
        <v>56</v>
      </c>
      <c r="G653" s="1" t="s">
        <v>44</v>
      </c>
      <c r="H653" s="1" t="s">
        <v>31</v>
      </c>
      <c r="I653" s="1" t="s">
        <v>44</v>
      </c>
      <c r="J653" s="1" t="s">
        <v>62</v>
      </c>
      <c r="K653" s="1">
        <v>1</v>
      </c>
      <c r="L653" s="1">
        <v>25503</v>
      </c>
      <c r="M653" s="1">
        <v>15</v>
      </c>
      <c r="N653" s="1">
        <v>3825.45</v>
      </c>
      <c r="O653" s="1">
        <v>3901.96</v>
      </c>
      <c r="P653" s="1">
        <v>372</v>
      </c>
      <c r="Q653" s="1">
        <v>25951.51</v>
      </c>
      <c r="R653" s="1" t="s">
        <v>83</v>
      </c>
      <c r="S653" s="1" t="s">
        <v>63</v>
      </c>
      <c r="T653" s="1" t="s">
        <v>70</v>
      </c>
      <c r="U653" s="1" t="s">
        <v>56</v>
      </c>
      <c r="V653" s="1" t="s">
        <v>57</v>
      </c>
      <c r="W653" s="1">
        <v>1</v>
      </c>
      <c r="X653" s="1" t="s">
        <v>47</v>
      </c>
      <c r="Y653" s="1">
        <v>2</v>
      </c>
      <c r="Z653" s="1" t="s">
        <v>47</v>
      </c>
    </row>
    <row r="654" spans="1:26" x14ac:dyDescent="0.3">
      <c r="A654" s="1" t="s">
        <v>1209</v>
      </c>
      <c r="B654" s="2">
        <v>45838</v>
      </c>
      <c r="C654" s="1" t="s">
        <v>438</v>
      </c>
      <c r="D654" s="1" t="s">
        <v>61</v>
      </c>
      <c r="E654" s="1" t="s">
        <v>29</v>
      </c>
      <c r="F654" s="1">
        <v>48</v>
      </c>
      <c r="G654" s="1" t="s">
        <v>90</v>
      </c>
      <c r="H654" s="1" t="s">
        <v>31</v>
      </c>
      <c r="I654" s="1" t="s">
        <v>90</v>
      </c>
      <c r="J654" s="1" t="s">
        <v>53</v>
      </c>
      <c r="K654" s="1">
        <v>3</v>
      </c>
      <c r="L654" s="1">
        <v>23347</v>
      </c>
      <c r="M654" s="1">
        <v>20</v>
      </c>
      <c r="N654" s="1">
        <v>14008.2</v>
      </c>
      <c r="O654" s="1">
        <v>10085.9</v>
      </c>
      <c r="P654" s="1">
        <v>18</v>
      </c>
      <c r="Q654" s="1">
        <v>66136.7</v>
      </c>
      <c r="R654" s="1" t="s">
        <v>83</v>
      </c>
      <c r="S654" s="1" t="s">
        <v>34</v>
      </c>
      <c r="T654" s="1" t="s">
        <v>76</v>
      </c>
      <c r="U654" s="1" t="s">
        <v>77</v>
      </c>
      <c r="V654" s="1" t="s">
        <v>57</v>
      </c>
      <c r="W654" s="1">
        <v>4</v>
      </c>
      <c r="X654" s="1" t="s">
        <v>38</v>
      </c>
      <c r="Y654" s="1">
        <v>2</v>
      </c>
      <c r="Z654" s="1" t="s">
        <v>91</v>
      </c>
    </row>
    <row r="655" spans="1:26" x14ac:dyDescent="0.3">
      <c r="A655" s="1" t="s">
        <v>1210</v>
      </c>
      <c r="B655" s="2">
        <v>45776</v>
      </c>
      <c r="C655" s="1" t="s">
        <v>408</v>
      </c>
      <c r="D655" s="1" t="s">
        <v>73</v>
      </c>
      <c r="E655" s="1" t="s">
        <v>43</v>
      </c>
      <c r="F655" s="1">
        <v>37</v>
      </c>
      <c r="G655" s="1" t="s">
        <v>139</v>
      </c>
      <c r="H655" s="1" t="s">
        <v>31</v>
      </c>
      <c r="I655" s="1" t="s">
        <v>139</v>
      </c>
      <c r="J655" s="1" t="s">
        <v>201</v>
      </c>
      <c r="K655" s="1">
        <v>3</v>
      </c>
      <c r="L655" s="1">
        <v>34998</v>
      </c>
      <c r="M655" s="1">
        <v>0</v>
      </c>
      <c r="N655" s="1">
        <v>0</v>
      </c>
      <c r="O655" s="1">
        <v>18898.919999999998</v>
      </c>
      <c r="P655" s="1">
        <v>218</v>
      </c>
      <c r="Q655" s="1">
        <v>124110.92</v>
      </c>
      <c r="R655" s="1" t="s">
        <v>83</v>
      </c>
      <c r="S655" s="1" t="s">
        <v>34</v>
      </c>
      <c r="T655" s="1" t="s">
        <v>55</v>
      </c>
      <c r="U655" s="1" t="s">
        <v>56</v>
      </c>
      <c r="V655" s="1" t="s">
        <v>57</v>
      </c>
      <c r="W655" s="1">
        <v>3</v>
      </c>
      <c r="X655" s="1" t="s">
        <v>47</v>
      </c>
      <c r="Y655" s="1">
        <v>5</v>
      </c>
      <c r="Z655" s="1" t="s">
        <v>47</v>
      </c>
    </row>
    <row r="656" spans="1:26" x14ac:dyDescent="0.3">
      <c r="A656" s="1" t="s">
        <v>1211</v>
      </c>
      <c r="B656" s="2">
        <v>45768</v>
      </c>
      <c r="C656" s="1" t="s">
        <v>425</v>
      </c>
      <c r="D656" s="1" t="s">
        <v>73</v>
      </c>
      <c r="E656" s="1" t="s">
        <v>43</v>
      </c>
      <c r="F656" s="1">
        <v>60</v>
      </c>
      <c r="G656" s="1" t="s">
        <v>99</v>
      </c>
      <c r="H656" s="1" t="s">
        <v>52</v>
      </c>
      <c r="I656" s="1" t="s">
        <v>99</v>
      </c>
      <c r="J656" s="1" t="s">
        <v>112</v>
      </c>
      <c r="K656" s="1">
        <v>2</v>
      </c>
      <c r="L656" s="1">
        <v>20237</v>
      </c>
      <c r="M656" s="1">
        <v>20</v>
      </c>
      <c r="N656" s="1">
        <v>8094.8</v>
      </c>
      <c r="O656" s="1">
        <v>5828.26</v>
      </c>
      <c r="P656" s="1">
        <v>329</v>
      </c>
      <c r="Q656" s="1">
        <v>38536.46</v>
      </c>
      <c r="R656" s="1" t="s">
        <v>54</v>
      </c>
      <c r="S656" s="1" t="s">
        <v>34</v>
      </c>
      <c r="T656" s="1" t="s">
        <v>76</v>
      </c>
      <c r="U656" s="1" t="s">
        <v>77</v>
      </c>
      <c r="V656" s="1" t="s">
        <v>57</v>
      </c>
      <c r="W656" s="1">
        <v>3</v>
      </c>
      <c r="X656" s="1" t="s">
        <v>47</v>
      </c>
      <c r="Y656" s="1">
        <v>4</v>
      </c>
      <c r="Z656" s="1" t="s">
        <v>91</v>
      </c>
    </row>
    <row r="657" spans="1:26" x14ac:dyDescent="0.3">
      <c r="A657" s="1" t="s">
        <v>1212</v>
      </c>
      <c r="B657" s="2">
        <v>45933</v>
      </c>
      <c r="C657" s="1" t="s">
        <v>129</v>
      </c>
      <c r="D657" s="1" t="s">
        <v>28</v>
      </c>
      <c r="E657" s="1" t="s">
        <v>29</v>
      </c>
      <c r="F657" s="1">
        <v>30</v>
      </c>
      <c r="G657" s="1" t="s">
        <v>134</v>
      </c>
      <c r="H657" s="1" t="s">
        <v>31</v>
      </c>
      <c r="I657" s="1" t="s">
        <v>134</v>
      </c>
      <c r="J657" s="1" t="s">
        <v>32</v>
      </c>
      <c r="K657" s="1">
        <v>5</v>
      </c>
      <c r="L657" s="1">
        <v>48600</v>
      </c>
      <c r="M657" s="1">
        <v>15</v>
      </c>
      <c r="N657" s="1">
        <v>36450</v>
      </c>
      <c r="O657" s="1">
        <v>37179</v>
      </c>
      <c r="P657" s="1">
        <v>201</v>
      </c>
      <c r="Q657" s="1">
        <v>243930</v>
      </c>
      <c r="R657" s="1" t="s">
        <v>83</v>
      </c>
      <c r="S657" s="1" t="s">
        <v>63</v>
      </c>
      <c r="T657" s="1" t="s">
        <v>46</v>
      </c>
      <c r="U657" s="1" t="s">
        <v>36</v>
      </c>
      <c r="V657" s="1" t="s">
        <v>37</v>
      </c>
      <c r="W657" s="1">
        <v>8</v>
      </c>
      <c r="X657" s="1" t="s">
        <v>38</v>
      </c>
      <c r="Y657" s="1">
        <v>1</v>
      </c>
      <c r="Z657" s="1" t="s">
        <v>39</v>
      </c>
    </row>
    <row r="658" spans="1:26" x14ac:dyDescent="0.3">
      <c r="A658" s="1" t="s">
        <v>1213</v>
      </c>
      <c r="B658" s="2">
        <v>45941</v>
      </c>
      <c r="C658" s="1" t="s">
        <v>1214</v>
      </c>
      <c r="D658" s="1" t="s">
        <v>89</v>
      </c>
      <c r="E658" s="1" t="s">
        <v>29</v>
      </c>
      <c r="F658" s="1">
        <v>32</v>
      </c>
      <c r="G658" s="1" t="s">
        <v>30</v>
      </c>
      <c r="H658" s="1" t="s">
        <v>31</v>
      </c>
      <c r="I658" s="1" t="s">
        <v>30</v>
      </c>
      <c r="J658" s="1" t="s">
        <v>69</v>
      </c>
      <c r="K658" s="1">
        <v>5</v>
      </c>
      <c r="L658" s="1">
        <v>22607</v>
      </c>
      <c r="M658" s="1">
        <v>15</v>
      </c>
      <c r="N658" s="1">
        <v>16955.25</v>
      </c>
      <c r="O658" s="1">
        <v>17294.349999999999</v>
      </c>
      <c r="P658" s="1">
        <v>90</v>
      </c>
      <c r="Q658" s="1">
        <v>113464.1</v>
      </c>
      <c r="R658" s="1" t="s">
        <v>54</v>
      </c>
      <c r="S658" s="1" t="s">
        <v>34</v>
      </c>
      <c r="T658" s="1" t="s">
        <v>35</v>
      </c>
      <c r="U658" s="1" t="s">
        <v>36</v>
      </c>
      <c r="V658" s="1" t="s">
        <v>37</v>
      </c>
      <c r="W658" s="1">
        <v>6</v>
      </c>
      <c r="X658" s="1" t="s">
        <v>38</v>
      </c>
      <c r="Y658" s="1">
        <v>5</v>
      </c>
      <c r="Z658" s="1" t="s">
        <v>91</v>
      </c>
    </row>
    <row r="659" spans="1:26" x14ac:dyDescent="0.3">
      <c r="A659" s="1" t="s">
        <v>1215</v>
      </c>
      <c r="B659" s="2">
        <v>45935</v>
      </c>
      <c r="C659" s="1" t="s">
        <v>1216</v>
      </c>
      <c r="D659" s="1" t="s">
        <v>61</v>
      </c>
      <c r="E659" s="1" t="s">
        <v>43</v>
      </c>
      <c r="F659" s="1">
        <v>19</v>
      </c>
      <c r="G659" s="1" t="s">
        <v>94</v>
      </c>
      <c r="H659" s="1" t="s">
        <v>31</v>
      </c>
      <c r="I659" s="1" t="s">
        <v>94</v>
      </c>
      <c r="J659" s="1" t="s">
        <v>69</v>
      </c>
      <c r="K659" s="1">
        <v>3</v>
      </c>
      <c r="L659" s="1">
        <v>35119</v>
      </c>
      <c r="M659" s="1">
        <v>10</v>
      </c>
      <c r="N659" s="1">
        <v>10535.7</v>
      </c>
      <c r="O659" s="1">
        <v>17067.830000000002</v>
      </c>
      <c r="P659" s="1">
        <v>267</v>
      </c>
      <c r="Q659" s="1">
        <v>112156.13</v>
      </c>
      <c r="R659" s="1" t="s">
        <v>45</v>
      </c>
      <c r="S659" s="1" t="s">
        <v>34</v>
      </c>
      <c r="T659" s="1" t="s">
        <v>76</v>
      </c>
      <c r="U659" s="1" t="s">
        <v>77</v>
      </c>
      <c r="V659" s="1" t="s">
        <v>57</v>
      </c>
      <c r="W659" s="1">
        <v>5</v>
      </c>
      <c r="X659" s="1" t="s">
        <v>47</v>
      </c>
      <c r="Y659" s="1">
        <v>2</v>
      </c>
      <c r="Z659" s="1" t="s">
        <v>91</v>
      </c>
    </row>
    <row r="660" spans="1:26" x14ac:dyDescent="0.3">
      <c r="A660" s="1" t="s">
        <v>1217</v>
      </c>
      <c r="B660" s="2">
        <v>46119</v>
      </c>
      <c r="C660" s="1" t="s">
        <v>977</v>
      </c>
      <c r="D660" s="1" t="s">
        <v>28</v>
      </c>
      <c r="E660" s="1" t="s">
        <v>29</v>
      </c>
      <c r="F660" s="1">
        <v>49</v>
      </c>
      <c r="G660" s="1" t="s">
        <v>90</v>
      </c>
      <c r="H660" s="1" t="s">
        <v>31</v>
      </c>
      <c r="I660" s="1" t="s">
        <v>90</v>
      </c>
      <c r="J660" s="1" t="s">
        <v>62</v>
      </c>
      <c r="K660" s="1">
        <v>1</v>
      </c>
      <c r="L660" s="1">
        <v>23303</v>
      </c>
      <c r="M660" s="1">
        <v>10</v>
      </c>
      <c r="N660" s="1">
        <v>2330.3000000000002</v>
      </c>
      <c r="O660" s="1">
        <v>3775.09</v>
      </c>
      <c r="P660" s="1">
        <v>211</v>
      </c>
      <c r="Q660" s="1">
        <v>24958.79</v>
      </c>
      <c r="R660" s="1" t="s">
        <v>54</v>
      </c>
      <c r="S660" s="1" t="s">
        <v>34</v>
      </c>
      <c r="T660" s="1" t="s">
        <v>103</v>
      </c>
      <c r="U660" s="1" t="s">
        <v>103</v>
      </c>
      <c r="V660" s="1" t="s">
        <v>57</v>
      </c>
      <c r="W660" s="1">
        <v>10</v>
      </c>
      <c r="X660" s="1" t="s">
        <v>47</v>
      </c>
      <c r="Y660" s="1">
        <v>5</v>
      </c>
      <c r="Z660" s="1" t="s">
        <v>39</v>
      </c>
    </row>
    <row r="661" spans="1:26" x14ac:dyDescent="0.3">
      <c r="A661" s="1" t="s">
        <v>1218</v>
      </c>
      <c r="B661" s="2">
        <v>45839</v>
      </c>
      <c r="C661" s="1" t="s">
        <v>445</v>
      </c>
      <c r="D661" s="1" t="s">
        <v>61</v>
      </c>
      <c r="E661" s="1" t="s">
        <v>43</v>
      </c>
      <c r="F661" s="1">
        <v>47</v>
      </c>
      <c r="G661" s="1" t="s">
        <v>90</v>
      </c>
      <c r="H661" s="1" t="s">
        <v>31</v>
      </c>
      <c r="I661" s="1" t="s">
        <v>90</v>
      </c>
      <c r="J661" s="1" t="s">
        <v>150</v>
      </c>
      <c r="K661" s="1">
        <v>2</v>
      </c>
      <c r="L661" s="1">
        <v>47952</v>
      </c>
      <c r="M661" s="1">
        <v>20</v>
      </c>
      <c r="N661" s="1">
        <v>19180.8</v>
      </c>
      <c r="O661" s="1">
        <v>13810.18</v>
      </c>
      <c r="P661" s="1">
        <v>396</v>
      </c>
      <c r="Q661" s="1">
        <v>90929.38</v>
      </c>
      <c r="R661" s="1" t="s">
        <v>83</v>
      </c>
      <c r="S661" s="1" t="s">
        <v>34</v>
      </c>
      <c r="T661" s="1" t="s">
        <v>46</v>
      </c>
      <c r="U661" s="1" t="s">
        <v>36</v>
      </c>
      <c r="V661" s="1" t="s">
        <v>37</v>
      </c>
      <c r="W661" s="1">
        <v>6</v>
      </c>
      <c r="X661" s="1" t="s">
        <v>38</v>
      </c>
      <c r="Y661" s="1">
        <v>4</v>
      </c>
      <c r="Z661" s="1" t="s">
        <v>91</v>
      </c>
    </row>
    <row r="662" spans="1:26" x14ac:dyDescent="0.3">
      <c r="A662" s="1" t="s">
        <v>1219</v>
      </c>
      <c r="B662" s="2">
        <v>45945</v>
      </c>
      <c r="C662" s="1" t="s">
        <v>680</v>
      </c>
      <c r="D662" s="1" t="s">
        <v>66</v>
      </c>
      <c r="E662" s="1" t="s">
        <v>43</v>
      </c>
      <c r="F662" s="1">
        <v>56</v>
      </c>
      <c r="G662" s="1" t="s">
        <v>30</v>
      </c>
      <c r="H662" s="1" t="s">
        <v>31</v>
      </c>
      <c r="I662" s="1" t="s">
        <v>30</v>
      </c>
      <c r="J662" s="1" t="s">
        <v>102</v>
      </c>
      <c r="K662" s="1">
        <v>5</v>
      </c>
      <c r="L662" s="1">
        <v>32236</v>
      </c>
      <c r="M662" s="1">
        <v>0</v>
      </c>
      <c r="N662" s="1">
        <v>0</v>
      </c>
      <c r="O662" s="1">
        <v>29012.400000000001</v>
      </c>
      <c r="P662" s="1">
        <v>327</v>
      </c>
      <c r="Q662" s="1">
        <v>190519.4</v>
      </c>
      <c r="R662" s="1" t="s">
        <v>54</v>
      </c>
      <c r="S662" s="1" t="s">
        <v>34</v>
      </c>
      <c r="T662" s="1" t="s">
        <v>55</v>
      </c>
      <c r="U662" s="1" t="s">
        <v>56</v>
      </c>
      <c r="V662" s="1" t="s">
        <v>57</v>
      </c>
      <c r="W662" s="1">
        <v>6</v>
      </c>
      <c r="X662" s="1" t="s">
        <v>38</v>
      </c>
      <c r="Y662" s="1">
        <v>4</v>
      </c>
      <c r="Z662" s="1" t="s">
        <v>47</v>
      </c>
    </row>
    <row r="663" spans="1:26" x14ac:dyDescent="0.3">
      <c r="A663" s="1" t="s">
        <v>1220</v>
      </c>
      <c r="B663" s="2">
        <v>45933</v>
      </c>
      <c r="C663" s="1" t="s">
        <v>279</v>
      </c>
      <c r="D663" s="1" t="s">
        <v>80</v>
      </c>
      <c r="E663" s="1" t="s">
        <v>43</v>
      </c>
      <c r="F663" s="1">
        <v>29</v>
      </c>
      <c r="G663" s="1" t="s">
        <v>90</v>
      </c>
      <c r="H663" s="1" t="s">
        <v>31</v>
      </c>
      <c r="I663" s="1" t="s">
        <v>90</v>
      </c>
      <c r="J663" s="1" t="s">
        <v>201</v>
      </c>
      <c r="K663" s="1">
        <v>1</v>
      </c>
      <c r="L663" s="1">
        <v>35972</v>
      </c>
      <c r="M663" s="1">
        <v>5</v>
      </c>
      <c r="N663" s="1">
        <v>1798.6</v>
      </c>
      <c r="O663" s="1">
        <v>6151.21</v>
      </c>
      <c r="P663" s="1">
        <v>96</v>
      </c>
      <c r="Q663" s="1">
        <v>40420.61</v>
      </c>
      <c r="R663" s="1" t="s">
        <v>54</v>
      </c>
      <c r="S663" s="1" t="s">
        <v>34</v>
      </c>
      <c r="T663" s="1" t="s">
        <v>84</v>
      </c>
      <c r="U663" s="1" t="s">
        <v>85</v>
      </c>
      <c r="V663" s="1" t="s">
        <v>86</v>
      </c>
      <c r="W663" s="1">
        <v>10</v>
      </c>
      <c r="X663" s="1" t="s">
        <v>38</v>
      </c>
      <c r="Y663" s="1">
        <v>4</v>
      </c>
      <c r="Z663" s="1" t="s">
        <v>47</v>
      </c>
    </row>
    <row r="664" spans="1:26" x14ac:dyDescent="0.3">
      <c r="A664" s="1" t="s">
        <v>1221</v>
      </c>
      <c r="B664" s="2">
        <v>46074</v>
      </c>
      <c r="C664" s="1" t="s">
        <v>1222</v>
      </c>
      <c r="D664" s="1" t="s">
        <v>50</v>
      </c>
      <c r="E664" s="1" t="s">
        <v>29</v>
      </c>
      <c r="F664" s="1">
        <v>34</v>
      </c>
      <c r="G664" s="1" t="s">
        <v>134</v>
      </c>
      <c r="H664" s="1" t="s">
        <v>31</v>
      </c>
      <c r="I664" s="1" t="s">
        <v>134</v>
      </c>
      <c r="J664" s="1" t="s">
        <v>32</v>
      </c>
      <c r="K664" s="1">
        <v>3</v>
      </c>
      <c r="L664" s="1">
        <v>43548</v>
      </c>
      <c r="M664" s="1">
        <v>10</v>
      </c>
      <c r="N664" s="1">
        <v>13064.4</v>
      </c>
      <c r="O664" s="1">
        <v>21164.33</v>
      </c>
      <c r="P664" s="1">
        <v>336</v>
      </c>
      <c r="Q664" s="1">
        <v>139079.93</v>
      </c>
      <c r="R664" s="1" t="s">
        <v>54</v>
      </c>
      <c r="S664" s="1" t="s">
        <v>34</v>
      </c>
      <c r="T664" s="1" t="s">
        <v>70</v>
      </c>
      <c r="U664" s="1" t="s">
        <v>56</v>
      </c>
      <c r="V664" s="1" t="s">
        <v>57</v>
      </c>
      <c r="W664" s="1">
        <v>8</v>
      </c>
      <c r="X664" s="1" t="s">
        <v>38</v>
      </c>
      <c r="Y664" s="1">
        <v>4</v>
      </c>
      <c r="Z664" s="1" t="s">
        <v>47</v>
      </c>
    </row>
    <row r="665" spans="1:26" x14ac:dyDescent="0.3">
      <c r="A665" s="1" t="s">
        <v>1223</v>
      </c>
      <c r="B665" s="2">
        <v>46090</v>
      </c>
      <c r="C665" s="1" t="s">
        <v>1224</v>
      </c>
      <c r="D665" s="1" t="s">
        <v>108</v>
      </c>
      <c r="E665" s="1" t="s">
        <v>29</v>
      </c>
      <c r="F665" s="1">
        <v>54</v>
      </c>
      <c r="G665" s="1" t="s">
        <v>74</v>
      </c>
      <c r="H665" s="1" t="s">
        <v>31</v>
      </c>
      <c r="I665" s="1" t="s">
        <v>74</v>
      </c>
      <c r="J665" s="1" t="s">
        <v>75</v>
      </c>
      <c r="K665" s="1">
        <v>4</v>
      </c>
      <c r="L665" s="1">
        <v>7915</v>
      </c>
      <c r="M665" s="1">
        <v>10</v>
      </c>
      <c r="N665" s="1">
        <v>3166</v>
      </c>
      <c r="O665" s="1">
        <v>5128.92</v>
      </c>
      <c r="P665" s="1">
        <v>361</v>
      </c>
      <c r="Q665" s="1">
        <v>33983.919999999998</v>
      </c>
      <c r="R665" s="1" t="s">
        <v>33</v>
      </c>
      <c r="S665" s="1" t="s">
        <v>34</v>
      </c>
      <c r="T665" s="1" t="s">
        <v>84</v>
      </c>
      <c r="U665" s="1" t="s">
        <v>85</v>
      </c>
      <c r="V665" s="1" t="s">
        <v>86</v>
      </c>
      <c r="W665" s="1">
        <v>5</v>
      </c>
      <c r="X665" s="1" t="s">
        <v>47</v>
      </c>
      <c r="Y665" s="1">
        <v>1</v>
      </c>
      <c r="Z665" s="1" t="s">
        <v>47</v>
      </c>
    </row>
    <row r="666" spans="1:26" x14ac:dyDescent="0.3">
      <c r="A666" s="1" t="s">
        <v>1225</v>
      </c>
      <c r="B666" s="2">
        <v>45905</v>
      </c>
      <c r="C666" s="1" t="s">
        <v>1226</v>
      </c>
      <c r="D666" s="1" t="s">
        <v>89</v>
      </c>
      <c r="E666" s="1" t="s">
        <v>43</v>
      </c>
      <c r="F666" s="1">
        <v>45</v>
      </c>
      <c r="G666" s="1" t="s">
        <v>139</v>
      </c>
      <c r="H666" s="1" t="s">
        <v>31</v>
      </c>
      <c r="I666" s="1" t="s">
        <v>139</v>
      </c>
      <c r="J666" s="1" t="s">
        <v>102</v>
      </c>
      <c r="K666" s="1">
        <v>3</v>
      </c>
      <c r="L666" s="1">
        <v>3759</v>
      </c>
      <c r="M666" s="1">
        <v>0</v>
      </c>
      <c r="N666" s="1">
        <v>0</v>
      </c>
      <c r="O666" s="1">
        <v>2029.86</v>
      </c>
      <c r="P666" s="1">
        <v>446</v>
      </c>
      <c r="Q666" s="1">
        <v>13752.86</v>
      </c>
      <c r="R666" s="1" t="s">
        <v>45</v>
      </c>
      <c r="S666" s="1" t="s">
        <v>34</v>
      </c>
      <c r="T666" s="1" t="s">
        <v>76</v>
      </c>
      <c r="U666" s="1" t="s">
        <v>77</v>
      </c>
      <c r="V666" s="1" t="s">
        <v>57</v>
      </c>
      <c r="W666" s="1">
        <v>4</v>
      </c>
      <c r="X666" s="1" t="s">
        <v>38</v>
      </c>
      <c r="Y666" s="1">
        <v>4</v>
      </c>
      <c r="Z666" s="1" t="s">
        <v>39</v>
      </c>
    </row>
    <row r="667" spans="1:26" x14ac:dyDescent="0.3">
      <c r="A667" s="1" t="s">
        <v>1227</v>
      </c>
      <c r="B667" s="2">
        <v>46101</v>
      </c>
      <c r="C667" s="1" t="s">
        <v>1077</v>
      </c>
      <c r="D667" s="1" t="s">
        <v>42</v>
      </c>
      <c r="E667" s="1" t="s">
        <v>43</v>
      </c>
      <c r="F667" s="1">
        <v>18</v>
      </c>
      <c r="G667" s="1" t="s">
        <v>99</v>
      </c>
      <c r="H667" s="1" t="s">
        <v>52</v>
      </c>
      <c r="I667" s="1" t="s">
        <v>99</v>
      </c>
      <c r="J667" s="1" t="s">
        <v>125</v>
      </c>
      <c r="K667" s="1">
        <v>1</v>
      </c>
      <c r="L667" s="1">
        <v>17726</v>
      </c>
      <c r="M667" s="1">
        <v>10</v>
      </c>
      <c r="N667" s="1">
        <v>1772.6</v>
      </c>
      <c r="O667" s="1">
        <v>2871.61</v>
      </c>
      <c r="P667" s="1">
        <v>165</v>
      </c>
      <c r="Q667" s="1">
        <v>18990.009999999998</v>
      </c>
      <c r="R667" s="1" t="s">
        <v>33</v>
      </c>
      <c r="S667" s="1" t="s">
        <v>34</v>
      </c>
      <c r="T667" s="1" t="s">
        <v>55</v>
      </c>
      <c r="U667" s="1" t="s">
        <v>56</v>
      </c>
      <c r="V667" s="1" t="s">
        <v>57</v>
      </c>
      <c r="W667" s="1">
        <v>8</v>
      </c>
      <c r="X667" s="1" t="s">
        <v>47</v>
      </c>
      <c r="Y667" s="1">
        <v>5</v>
      </c>
      <c r="Z667" s="1" t="s">
        <v>47</v>
      </c>
    </row>
    <row r="668" spans="1:26" x14ac:dyDescent="0.3">
      <c r="A668" s="1" t="s">
        <v>1228</v>
      </c>
      <c r="B668" s="2">
        <v>45931</v>
      </c>
      <c r="C668" s="1" t="s">
        <v>1229</v>
      </c>
      <c r="D668" s="1" t="s">
        <v>61</v>
      </c>
      <c r="E668" s="1" t="s">
        <v>29</v>
      </c>
      <c r="F668" s="1">
        <v>56</v>
      </c>
      <c r="G668" s="1" t="s">
        <v>99</v>
      </c>
      <c r="H668" s="1" t="s">
        <v>52</v>
      </c>
      <c r="I668" s="1" t="s">
        <v>99</v>
      </c>
      <c r="J668" s="1" t="s">
        <v>53</v>
      </c>
      <c r="K668" s="1">
        <v>3</v>
      </c>
      <c r="L668" s="1">
        <v>13518</v>
      </c>
      <c r="M668" s="1">
        <v>0</v>
      </c>
      <c r="N668" s="1">
        <v>0</v>
      </c>
      <c r="O668" s="1">
        <v>7299.72</v>
      </c>
      <c r="P668" s="1">
        <v>220</v>
      </c>
      <c r="Q668" s="1">
        <v>48073.72</v>
      </c>
      <c r="R668" s="1" t="s">
        <v>33</v>
      </c>
      <c r="S668" s="1" t="s">
        <v>63</v>
      </c>
      <c r="T668" s="1" t="s">
        <v>70</v>
      </c>
      <c r="U668" s="1" t="s">
        <v>56</v>
      </c>
      <c r="V668" s="1" t="s">
        <v>57</v>
      </c>
      <c r="W668" s="1">
        <v>9</v>
      </c>
      <c r="X668" s="1" t="s">
        <v>38</v>
      </c>
      <c r="Y668" s="1">
        <v>4</v>
      </c>
      <c r="Z668" s="1" t="s">
        <v>47</v>
      </c>
    </row>
    <row r="669" spans="1:26" x14ac:dyDescent="0.3">
      <c r="A669" s="1" t="s">
        <v>1230</v>
      </c>
      <c r="B669" s="2">
        <v>46109</v>
      </c>
      <c r="C669" s="1" t="s">
        <v>1231</v>
      </c>
      <c r="D669" s="1" t="s">
        <v>89</v>
      </c>
      <c r="E669" s="1" t="s">
        <v>29</v>
      </c>
      <c r="F669" s="1">
        <v>43</v>
      </c>
      <c r="G669" s="1" t="s">
        <v>30</v>
      </c>
      <c r="H669" s="1" t="s">
        <v>31</v>
      </c>
      <c r="I669" s="1" t="s">
        <v>30</v>
      </c>
      <c r="J669" s="1" t="s">
        <v>150</v>
      </c>
      <c r="K669" s="1">
        <v>5</v>
      </c>
      <c r="L669" s="1">
        <v>48662</v>
      </c>
      <c r="M669" s="1">
        <v>0</v>
      </c>
      <c r="N669" s="1">
        <v>0</v>
      </c>
      <c r="O669" s="1">
        <v>43795.8</v>
      </c>
      <c r="P669" s="1">
        <v>270</v>
      </c>
      <c r="Q669" s="1">
        <v>287375.8</v>
      </c>
      <c r="R669" s="1" t="s">
        <v>45</v>
      </c>
      <c r="S669" s="1" t="s">
        <v>63</v>
      </c>
      <c r="T669" s="1" t="s">
        <v>35</v>
      </c>
      <c r="U669" s="1" t="s">
        <v>36</v>
      </c>
      <c r="V669" s="1" t="s">
        <v>37</v>
      </c>
      <c r="W669" s="1">
        <v>10</v>
      </c>
      <c r="X669" s="1" t="s">
        <v>38</v>
      </c>
      <c r="Y669" s="1">
        <v>5</v>
      </c>
      <c r="Z669" s="1" t="s">
        <v>39</v>
      </c>
    </row>
    <row r="670" spans="1:26" x14ac:dyDescent="0.3">
      <c r="A670" s="1" t="s">
        <v>1232</v>
      </c>
      <c r="B670" s="2">
        <v>45998</v>
      </c>
      <c r="C670" s="1" t="s">
        <v>851</v>
      </c>
      <c r="D670" s="1" t="s">
        <v>73</v>
      </c>
      <c r="E670" s="1" t="s">
        <v>43</v>
      </c>
      <c r="F670" s="1">
        <v>32</v>
      </c>
      <c r="G670" s="1" t="s">
        <v>44</v>
      </c>
      <c r="H670" s="1" t="s">
        <v>31</v>
      </c>
      <c r="I670" s="1" t="s">
        <v>44</v>
      </c>
      <c r="J670" s="1" t="s">
        <v>112</v>
      </c>
      <c r="K670" s="1">
        <v>4</v>
      </c>
      <c r="L670" s="1">
        <v>48803</v>
      </c>
      <c r="M670" s="1">
        <v>0</v>
      </c>
      <c r="N670" s="1">
        <v>0</v>
      </c>
      <c r="O670" s="1">
        <v>35138.160000000003</v>
      </c>
      <c r="P670" s="1">
        <v>191</v>
      </c>
      <c r="Q670" s="1">
        <v>230541.16</v>
      </c>
      <c r="R670" s="1" t="s">
        <v>83</v>
      </c>
      <c r="S670" s="1" t="s">
        <v>34</v>
      </c>
      <c r="T670" s="1" t="s">
        <v>35</v>
      </c>
      <c r="U670" s="1" t="s">
        <v>36</v>
      </c>
      <c r="V670" s="1" t="s">
        <v>37</v>
      </c>
      <c r="W670" s="1">
        <v>2</v>
      </c>
      <c r="X670" s="1" t="s">
        <v>38</v>
      </c>
      <c r="Y670" s="1">
        <v>2</v>
      </c>
      <c r="Z670" s="1" t="s">
        <v>47</v>
      </c>
    </row>
    <row r="671" spans="1:26" x14ac:dyDescent="0.3">
      <c r="A671" s="1" t="s">
        <v>1233</v>
      </c>
      <c r="B671" s="2">
        <v>46072</v>
      </c>
      <c r="C671" s="1" t="s">
        <v>1234</v>
      </c>
      <c r="D671" s="1" t="s">
        <v>61</v>
      </c>
      <c r="E671" s="1" t="s">
        <v>29</v>
      </c>
      <c r="F671" s="1">
        <v>33</v>
      </c>
      <c r="G671" s="1" t="s">
        <v>74</v>
      </c>
      <c r="H671" s="1" t="s">
        <v>31</v>
      </c>
      <c r="I671" s="1" t="s">
        <v>74</v>
      </c>
      <c r="J671" s="1" t="s">
        <v>62</v>
      </c>
      <c r="K671" s="1">
        <v>1</v>
      </c>
      <c r="L671" s="1">
        <v>20388</v>
      </c>
      <c r="M671" s="1">
        <v>0</v>
      </c>
      <c r="N671" s="1">
        <v>0</v>
      </c>
      <c r="O671" s="1">
        <v>3669.84</v>
      </c>
      <c r="P671" s="1">
        <v>118</v>
      </c>
      <c r="Q671" s="1">
        <v>24175.84</v>
      </c>
      <c r="R671" s="1" t="s">
        <v>54</v>
      </c>
      <c r="S671" s="1" t="s">
        <v>34</v>
      </c>
      <c r="T671" s="1" t="s">
        <v>55</v>
      </c>
      <c r="U671" s="1" t="s">
        <v>56</v>
      </c>
      <c r="V671" s="1" t="s">
        <v>57</v>
      </c>
      <c r="W671" s="1">
        <v>2</v>
      </c>
      <c r="X671" s="1" t="s">
        <v>47</v>
      </c>
      <c r="Y671" s="1">
        <v>2</v>
      </c>
      <c r="Z671" s="1" t="s">
        <v>91</v>
      </c>
    </row>
    <row r="672" spans="1:26" x14ac:dyDescent="0.3">
      <c r="A672" s="1" t="s">
        <v>1235</v>
      </c>
      <c r="B672" s="2">
        <v>46085</v>
      </c>
      <c r="C672" s="1" t="s">
        <v>713</v>
      </c>
      <c r="D672" s="1" t="s">
        <v>89</v>
      </c>
      <c r="E672" s="1" t="s">
        <v>29</v>
      </c>
      <c r="F672" s="1">
        <v>54</v>
      </c>
      <c r="G672" s="1" t="s">
        <v>51</v>
      </c>
      <c r="H672" s="1" t="s">
        <v>52</v>
      </c>
      <c r="I672" s="1" t="s">
        <v>51</v>
      </c>
      <c r="J672" s="1" t="s">
        <v>69</v>
      </c>
      <c r="K672" s="1">
        <v>1</v>
      </c>
      <c r="L672" s="1">
        <v>38234</v>
      </c>
      <c r="M672" s="1">
        <v>15</v>
      </c>
      <c r="N672" s="1">
        <v>5735.1</v>
      </c>
      <c r="O672" s="1">
        <v>5849.8</v>
      </c>
      <c r="P672" s="1">
        <v>117</v>
      </c>
      <c r="Q672" s="1">
        <v>38465.699999999997</v>
      </c>
      <c r="R672" s="1" t="s">
        <v>33</v>
      </c>
      <c r="S672" s="1" t="s">
        <v>34</v>
      </c>
      <c r="T672" s="1" t="s">
        <v>46</v>
      </c>
      <c r="U672" s="1" t="s">
        <v>36</v>
      </c>
      <c r="V672" s="1" t="s">
        <v>37</v>
      </c>
      <c r="W672" s="1">
        <v>6</v>
      </c>
      <c r="X672" s="1" t="s">
        <v>47</v>
      </c>
      <c r="Y672" s="1">
        <v>3</v>
      </c>
      <c r="Z672" s="1" t="s">
        <v>58</v>
      </c>
    </row>
    <row r="673" spans="1:26" x14ac:dyDescent="0.3">
      <c r="A673" s="1" t="s">
        <v>1236</v>
      </c>
      <c r="B673" s="2">
        <v>45898</v>
      </c>
      <c r="C673" s="1" t="s">
        <v>1237</v>
      </c>
      <c r="D673" s="1" t="s">
        <v>50</v>
      </c>
      <c r="E673" s="1" t="s">
        <v>43</v>
      </c>
      <c r="F673" s="1">
        <v>26</v>
      </c>
      <c r="G673" s="1" t="s">
        <v>134</v>
      </c>
      <c r="H673" s="1" t="s">
        <v>31</v>
      </c>
      <c r="I673" s="1" t="s">
        <v>134</v>
      </c>
      <c r="J673" s="1" t="s">
        <v>125</v>
      </c>
      <c r="K673" s="1">
        <v>3</v>
      </c>
      <c r="L673" s="1">
        <v>36323</v>
      </c>
      <c r="M673" s="1">
        <v>10</v>
      </c>
      <c r="N673" s="1">
        <v>10896.9</v>
      </c>
      <c r="O673" s="1">
        <v>17652.98</v>
      </c>
      <c r="P673" s="1">
        <v>446</v>
      </c>
      <c r="Q673" s="1">
        <v>116171.08</v>
      </c>
      <c r="R673" s="1" t="s">
        <v>83</v>
      </c>
      <c r="S673" s="1" t="s">
        <v>34</v>
      </c>
      <c r="T673" s="1" t="s">
        <v>46</v>
      </c>
      <c r="U673" s="1" t="s">
        <v>36</v>
      </c>
      <c r="V673" s="1" t="s">
        <v>37</v>
      </c>
      <c r="W673" s="1">
        <v>3</v>
      </c>
      <c r="X673" s="1" t="s">
        <v>38</v>
      </c>
      <c r="Y673" s="1">
        <v>2</v>
      </c>
      <c r="Z673" s="1" t="s">
        <v>39</v>
      </c>
    </row>
    <row r="674" spans="1:26" x14ac:dyDescent="0.3">
      <c r="A674" s="1" t="s">
        <v>1238</v>
      </c>
      <c r="B674" s="2">
        <v>45789</v>
      </c>
      <c r="C674" s="1" t="s">
        <v>1239</v>
      </c>
      <c r="D674" s="1" t="s">
        <v>111</v>
      </c>
      <c r="E674" s="1" t="s">
        <v>29</v>
      </c>
      <c r="F674" s="1">
        <v>28</v>
      </c>
      <c r="G674" s="1" t="s">
        <v>30</v>
      </c>
      <c r="H674" s="1" t="s">
        <v>31</v>
      </c>
      <c r="I674" s="1" t="s">
        <v>30</v>
      </c>
      <c r="J674" s="1" t="s">
        <v>75</v>
      </c>
      <c r="K674" s="1">
        <v>1</v>
      </c>
      <c r="L674" s="1">
        <v>37469</v>
      </c>
      <c r="M674" s="1">
        <v>10</v>
      </c>
      <c r="N674" s="1">
        <v>3746.9</v>
      </c>
      <c r="O674" s="1">
        <v>6069.98</v>
      </c>
      <c r="P674" s="1">
        <v>343</v>
      </c>
      <c r="Q674" s="1">
        <v>40135.08</v>
      </c>
      <c r="R674" s="1" t="s">
        <v>45</v>
      </c>
      <c r="S674" s="1" t="s">
        <v>63</v>
      </c>
      <c r="T674" s="1" t="s">
        <v>46</v>
      </c>
      <c r="U674" s="1" t="s">
        <v>36</v>
      </c>
      <c r="V674" s="1" t="s">
        <v>37</v>
      </c>
      <c r="W674" s="1">
        <v>8</v>
      </c>
      <c r="X674" s="1" t="s">
        <v>47</v>
      </c>
      <c r="Y674" s="1">
        <v>3</v>
      </c>
      <c r="Z674" s="1" t="s">
        <v>91</v>
      </c>
    </row>
    <row r="675" spans="1:26" x14ac:dyDescent="0.3">
      <c r="A675" s="1" t="s">
        <v>1240</v>
      </c>
      <c r="B675" s="2">
        <v>45947</v>
      </c>
      <c r="C675" s="1" t="s">
        <v>235</v>
      </c>
      <c r="D675" s="1" t="s">
        <v>80</v>
      </c>
      <c r="E675" s="1" t="s">
        <v>29</v>
      </c>
      <c r="F675" s="1">
        <v>40</v>
      </c>
      <c r="G675" s="1" t="s">
        <v>67</v>
      </c>
      <c r="H675" s="1" t="s">
        <v>68</v>
      </c>
      <c r="I675" s="1" t="s">
        <v>67</v>
      </c>
      <c r="J675" s="1" t="s">
        <v>69</v>
      </c>
      <c r="K675" s="1">
        <v>2</v>
      </c>
      <c r="L675" s="1">
        <v>8036</v>
      </c>
      <c r="M675" s="1">
        <v>15</v>
      </c>
      <c r="N675" s="1">
        <v>2410.8000000000002</v>
      </c>
      <c r="O675" s="1">
        <v>2459.02</v>
      </c>
      <c r="P675" s="1">
        <v>129</v>
      </c>
      <c r="Q675" s="1">
        <v>16249.22</v>
      </c>
      <c r="R675" s="1" t="s">
        <v>33</v>
      </c>
      <c r="S675" s="1" t="s">
        <v>63</v>
      </c>
      <c r="T675" s="1" t="s">
        <v>76</v>
      </c>
      <c r="U675" s="1" t="s">
        <v>77</v>
      </c>
      <c r="V675" s="1" t="s">
        <v>57</v>
      </c>
      <c r="W675" s="1">
        <v>8</v>
      </c>
      <c r="X675" s="1" t="s">
        <v>47</v>
      </c>
      <c r="Y675" s="1">
        <v>5</v>
      </c>
      <c r="Z675" s="1" t="s">
        <v>47</v>
      </c>
    </row>
    <row r="676" spans="1:26" x14ac:dyDescent="0.3">
      <c r="A676" s="1" t="s">
        <v>1241</v>
      </c>
      <c r="B676" s="2">
        <v>45940</v>
      </c>
      <c r="C676" s="1" t="s">
        <v>654</v>
      </c>
      <c r="D676" s="1" t="s">
        <v>28</v>
      </c>
      <c r="E676" s="1" t="s">
        <v>43</v>
      </c>
      <c r="F676" s="1">
        <v>34</v>
      </c>
      <c r="G676" s="1" t="s">
        <v>51</v>
      </c>
      <c r="H676" s="1" t="s">
        <v>52</v>
      </c>
      <c r="I676" s="1" t="s">
        <v>51</v>
      </c>
      <c r="J676" s="1" t="s">
        <v>201</v>
      </c>
      <c r="K676" s="1">
        <v>1</v>
      </c>
      <c r="L676" s="1">
        <v>7033</v>
      </c>
      <c r="M676" s="1">
        <v>0</v>
      </c>
      <c r="N676" s="1">
        <v>0</v>
      </c>
      <c r="O676" s="1">
        <v>1265.94</v>
      </c>
      <c r="P676" s="1">
        <v>330</v>
      </c>
      <c r="Q676" s="1">
        <v>8628.94</v>
      </c>
      <c r="R676" s="1" t="s">
        <v>54</v>
      </c>
      <c r="S676" s="1" t="s">
        <v>63</v>
      </c>
      <c r="T676" s="1" t="s">
        <v>103</v>
      </c>
      <c r="U676" s="1" t="s">
        <v>103</v>
      </c>
      <c r="V676" s="1" t="s">
        <v>57</v>
      </c>
      <c r="W676" s="1">
        <v>9</v>
      </c>
      <c r="X676" s="1" t="s">
        <v>38</v>
      </c>
      <c r="Y676" s="1">
        <v>5</v>
      </c>
      <c r="Z676" s="1" t="s">
        <v>47</v>
      </c>
    </row>
    <row r="677" spans="1:26" x14ac:dyDescent="0.3">
      <c r="A677" s="1" t="s">
        <v>1242</v>
      </c>
      <c r="B677" s="2">
        <v>46047</v>
      </c>
      <c r="C677" s="1" t="s">
        <v>1243</v>
      </c>
      <c r="D677" s="1" t="s">
        <v>28</v>
      </c>
      <c r="E677" s="1" t="s">
        <v>43</v>
      </c>
      <c r="F677" s="1">
        <v>54</v>
      </c>
      <c r="G677" s="1" t="s">
        <v>67</v>
      </c>
      <c r="H677" s="1" t="s">
        <v>68</v>
      </c>
      <c r="I677" s="1" t="s">
        <v>67</v>
      </c>
      <c r="J677" s="1" t="s">
        <v>125</v>
      </c>
      <c r="K677" s="1">
        <v>3</v>
      </c>
      <c r="L677" s="1">
        <v>21275</v>
      </c>
      <c r="M677" s="1">
        <v>10</v>
      </c>
      <c r="N677" s="1">
        <v>6382.5</v>
      </c>
      <c r="O677" s="1">
        <v>10339.65</v>
      </c>
      <c r="P677" s="1">
        <v>126</v>
      </c>
      <c r="Q677" s="1">
        <v>67908.149999999994</v>
      </c>
      <c r="R677" s="1" t="s">
        <v>83</v>
      </c>
      <c r="S677" s="1" t="s">
        <v>34</v>
      </c>
      <c r="T677" s="1" t="s">
        <v>76</v>
      </c>
      <c r="U677" s="1" t="s">
        <v>77</v>
      </c>
      <c r="V677" s="1" t="s">
        <v>57</v>
      </c>
      <c r="W677" s="1">
        <v>7</v>
      </c>
      <c r="X677" s="1" t="s">
        <v>47</v>
      </c>
      <c r="Y677" s="1">
        <v>5</v>
      </c>
      <c r="Z677" s="1" t="s">
        <v>47</v>
      </c>
    </row>
    <row r="678" spans="1:26" x14ac:dyDescent="0.3">
      <c r="A678" s="1" t="s">
        <v>1244</v>
      </c>
      <c r="B678" s="2">
        <v>46043</v>
      </c>
      <c r="C678" s="1" t="s">
        <v>1245</v>
      </c>
      <c r="D678" s="1" t="s">
        <v>42</v>
      </c>
      <c r="E678" s="1" t="s">
        <v>29</v>
      </c>
      <c r="F678" s="1">
        <v>26</v>
      </c>
      <c r="G678" s="1" t="s">
        <v>44</v>
      </c>
      <c r="H678" s="1" t="s">
        <v>31</v>
      </c>
      <c r="I678" s="1" t="s">
        <v>44</v>
      </c>
      <c r="J678" s="1" t="s">
        <v>32</v>
      </c>
      <c r="K678" s="1">
        <v>1</v>
      </c>
      <c r="L678" s="1">
        <v>30273</v>
      </c>
      <c r="M678" s="1">
        <v>0</v>
      </c>
      <c r="N678" s="1">
        <v>0</v>
      </c>
      <c r="O678" s="1">
        <v>5449.14</v>
      </c>
      <c r="P678" s="1">
        <v>128</v>
      </c>
      <c r="Q678" s="1">
        <v>35850.14</v>
      </c>
      <c r="R678" s="1" t="s">
        <v>45</v>
      </c>
      <c r="S678" s="1" t="s">
        <v>34</v>
      </c>
      <c r="T678" s="1" t="s">
        <v>95</v>
      </c>
      <c r="U678" s="1" t="s">
        <v>96</v>
      </c>
      <c r="V678" s="1" t="s">
        <v>57</v>
      </c>
      <c r="W678" s="1">
        <v>3</v>
      </c>
      <c r="X678" s="1" t="s">
        <v>47</v>
      </c>
      <c r="Y678" s="1">
        <v>2</v>
      </c>
      <c r="Z678" s="1" t="s">
        <v>91</v>
      </c>
    </row>
    <row r="679" spans="1:26" x14ac:dyDescent="0.3">
      <c r="A679" s="1" t="s">
        <v>1246</v>
      </c>
      <c r="B679" s="2">
        <v>45773</v>
      </c>
      <c r="C679" s="1" t="s">
        <v>1200</v>
      </c>
      <c r="D679" s="1" t="s">
        <v>89</v>
      </c>
      <c r="E679" s="1" t="s">
        <v>29</v>
      </c>
      <c r="F679" s="1">
        <v>46</v>
      </c>
      <c r="G679" s="1" t="s">
        <v>44</v>
      </c>
      <c r="H679" s="1" t="s">
        <v>31</v>
      </c>
      <c r="I679" s="1" t="s">
        <v>44</v>
      </c>
      <c r="J679" s="1" t="s">
        <v>75</v>
      </c>
      <c r="K679" s="1">
        <v>5</v>
      </c>
      <c r="L679" s="1">
        <v>35557</v>
      </c>
      <c r="M679" s="1">
        <v>20</v>
      </c>
      <c r="N679" s="1">
        <v>35557</v>
      </c>
      <c r="O679" s="1">
        <v>25601.040000000001</v>
      </c>
      <c r="P679" s="1">
        <v>86</v>
      </c>
      <c r="Q679" s="1">
        <v>167915.04</v>
      </c>
      <c r="R679" s="1" t="s">
        <v>54</v>
      </c>
      <c r="S679" s="1" t="s">
        <v>34</v>
      </c>
      <c r="T679" s="1" t="s">
        <v>35</v>
      </c>
      <c r="U679" s="1" t="s">
        <v>36</v>
      </c>
      <c r="V679" s="1" t="s">
        <v>37</v>
      </c>
      <c r="W679" s="1">
        <v>9</v>
      </c>
      <c r="X679" s="1" t="s">
        <v>47</v>
      </c>
      <c r="Y679" s="1">
        <v>1</v>
      </c>
      <c r="Z679" s="1" t="s">
        <v>47</v>
      </c>
    </row>
    <row r="680" spans="1:26" x14ac:dyDescent="0.3">
      <c r="A680" s="1" t="s">
        <v>1247</v>
      </c>
      <c r="B680" s="2">
        <v>45858</v>
      </c>
      <c r="C680" s="1" t="s">
        <v>1248</v>
      </c>
      <c r="D680" s="1" t="s">
        <v>73</v>
      </c>
      <c r="E680" s="1" t="s">
        <v>43</v>
      </c>
      <c r="F680" s="1">
        <v>43</v>
      </c>
      <c r="G680" s="1" t="s">
        <v>90</v>
      </c>
      <c r="H680" s="1" t="s">
        <v>31</v>
      </c>
      <c r="I680" s="1" t="s">
        <v>90</v>
      </c>
      <c r="J680" s="1" t="s">
        <v>125</v>
      </c>
      <c r="K680" s="1">
        <v>4</v>
      </c>
      <c r="L680" s="1">
        <v>43332</v>
      </c>
      <c r="M680" s="1">
        <v>20</v>
      </c>
      <c r="N680" s="1">
        <v>34665.599999999999</v>
      </c>
      <c r="O680" s="1">
        <v>24959.23</v>
      </c>
      <c r="P680" s="1">
        <v>354</v>
      </c>
      <c r="Q680" s="1">
        <v>163975.63</v>
      </c>
      <c r="R680" s="1" t="s">
        <v>54</v>
      </c>
      <c r="S680" s="1" t="s">
        <v>63</v>
      </c>
      <c r="T680" s="1" t="s">
        <v>95</v>
      </c>
      <c r="U680" s="1" t="s">
        <v>96</v>
      </c>
      <c r="V680" s="1" t="s">
        <v>57</v>
      </c>
      <c r="W680" s="1">
        <v>1</v>
      </c>
      <c r="X680" s="1" t="s">
        <v>47</v>
      </c>
      <c r="Y680" s="1">
        <v>4</v>
      </c>
      <c r="Z680" s="1" t="s">
        <v>39</v>
      </c>
    </row>
    <row r="681" spans="1:26" x14ac:dyDescent="0.3">
      <c r="A681" s="1" t="s">
        <v>1249</v>
      </c>
      <c r="B681" s="2">
        <v>45794</v>
      </c>
      <c r="C681" s="1" t="s">
        <v>1187</v>
      </c>
      <c r="D681" s="1" t="s">
        <v>50</v>
      </c>
      <c r="E681" s="1" t="s">
        <v>43</v>
      </c>
      <c r="F681" s="1">
        <v>41</v>
      </c>
      <c r="G681" s="1" t="s">
        <v>134</v>
      </c>
      <c r="H681" s="1" t="s">
        <v>31</v>
      </c>
      <c r="I681" s="1" t="s">
        <v>134</v>
      </c>
      <c r="J681" s="1" t="s">
        <v>125</v>
      </c>
      <c r="K681" s="1">
        <v>5</v>
      </c>
      <c r="L681" s="1">
        <v>10495</v>
      </c>
      <c r="M681" s="1">
        <v>10</v>
      </c>
      <c r="N681" s="1">
        <v>5247.5</v>
      </c>
      <c r="O681" s="1">
        <v>8500.9500000000007</v>
      </c>
      <c r="P681" s="1">
        <v>92</v>
      </c>
      <c r="Q681" s="1">
        <v>55820.45</v>
      </c>
      <c r="R681" s="1" t="s">
        <v>83</v>
      </c>
      <c r="S681" s="1" t="s">
        <v>63</v>
      </c>
      <c r="T681" s="1" t="s">
        <v>70</v>
      </c>
      <c r="U681" s="1" t="s">
        <v>56</v>
      </c>
      <c r="V681" s="1" t="s">
        <v>57</v>
      </c>
      <c r="W681" s="1">
        <v>8</v>
      </c>
      <c r="X681" s="1" t="s">
        <v>38</v>
      </c>
      <c r="Y681" s="1">
        <v>4</v>
      </c>
      <c r="Z681" s="1" t="s">
        <v>39</v>
      </c>
    </row>
    <row r="682" spans="1:26" x14ac:dyDescent="0.3">
      <c r="A682" s="1" t="s">
        <v>1250</v>
      </c>
      <c r="B682" s="2">
        <v>45959</v>
      </c>
      <c r="C682" s="1" t="s">
        <v>241</v>
      </c>
      <c r="D682" s="1" t="s">
        <v>50</v>
      </c>
      <c r="E682" s="1" t="s">
        <v>29</v>
      </c>
      <c r="F682" s="1">
        <v>19</v>
      </c>
      <c r="G682" s="1" t="s">
        <v>94</v>
      </c>
      <c r="H682" s="1" t="s">
        <v>31</v>
      </c>
      <c r="I682" s="1" t="s">
        <v>94</v>
      </c>
      <c r="J682" s="1" t="s">
        <v>102</v>
      </c>
      <c r="K682" s="1">
        <v>4</v>
      </c>
      <c r="L682" s="1">
        <v>8623</v>
      </c>
      <c r="M682" s="1">
        <v>5</v>
      </c>
      <c r="N682" s="1">
        <v>1724.6</v>
      </c>
      <c r="O682" s="1">
        <v>5898.13</v>
      </c>
      <c r="P682" s="1">
        <v>358</v>
      </c>
      <c r="Q682" s="1">
        <v>39023.53</v>
      </c>
      <c r="R682" s="1" t="s">
        <v>33</v>
      </c>
      <c r="S682" s="1" t="s">
        <v>63</v>
      </c>
      <c r="T682" s="1" t="s">
        <v>95</v>
      </c>
      <c r="U682" s="1" t="s">
        <v>96</v>
      </c>
      <c r="V682" s="1" t="s">
        <v>57</v>
      </c>
      <c r="W682" s="1">
        <v>9</v>
      </c>
      <c r="X682" s="1" t="s">
        <v>47</v>
      </c>
      <c r="Y682" s="1">
        <v>2</v>
      </c>
      <c r="Z682" s="1" t="s">
        <v>47</v>
      </c>
    </row>
    <row r="683" spans="1:26" x14ac:dyDescent="0.3">
      <c r="A683" s="1" t="s">
        <v>1251</v>
      </c>
      <c r="B683" s="2">
        <v>45798</v>
      </c>
      <c r="C683" s="1" t="s">
        <v>168</v>
      </c>
      <c r="D683" s="1" t="s">
        <v>28</v>
      </c>
      <c r="E683" s="1" t="s">
        <v>43</v>
      </c>
      <c r="F683" s="1">
        <v>33</v>
      </c>
      <c r="G683" s="1" t="s">
        <v>90</v>
      </c>
      <c r="H683" s="1" t="s">
        <v>31</v>
      </c>
      <c r="I683" s="1" t="s">
        <v>90</v>
      </c>
      <c r="J683" s="1" t="s">
        <v>150</v>
      </c>
      <c r="K683" s="1">
        <v>1</v>
      </c>
      <c r="L683" s="1">
        <v>12855</v>
      </c>
      <c r="M683" s="1">
        <v>0</v>
      </c>
      <c r="N683" s="1">
        <v>0</v>
      </c>
      <c r="O683" s="1">
        <v>2313.9</v>
      </c>
      <c r="P683" s="1">
        <v>289</v>
      </c>
      <c r="Q683" s="1">
        <v>15457.9</v>
      </c>
      <c r="R683" s="1" t="s">
        <v>83</v>
      </c>
      <c r="S683" s="1" t="s">
        <v>63</v>
      </c>
      <c r="T683" s="1" t="s">
        <v>55</v>
      </c>
      <c r="U683" s="1" t="s">
        <v>56</v>
      </c>
      <c r="V683" s="1" t="s">
        <v>57</v>
      </c>
      <c r="W683" s="1">
        <v>1</v>
      </c>
      <c r="X683" s="1" t="s">
        <v>47</v>
      </c>
      <c r="Y683" s="1">
        <v>2</v>
      </c>
      <c r="Z683" s="1" t="s">
        <v>39</v>
      </c>
    </row>
    <row r="684" spans="1:26" x14ac:dyDescent="0.3">
      <c r="A684" s="1" t="s">
        <v>1252</v>
      </c>
      <c r="B684" s="2">
        <v>45845</v>
      </c>
      <c r="C684" s="1" t="s">
        <v>1253</v>
      </c>
      <c r="D684" s="1" t="s">
        <v>50</v>
      </c>
      <c r="E684" s="1" t="s">
        <v>29</v>
      </c>
      <c r="F684" s="1">
        <v>38</v>
      </c>
      <c r="G684" s="1" t="s">
        <v>99</v>
      </c>
      <c r="H684" s="1" t="s">
        <v>52</v>
      </c>
      <c r="I684" s="1" t="s">
        <v>99</v>
      </c>
      <c r="J684" s="1" t="s">
        <v>150</v>
      </c>
      <c r="K684" s="1">
        <v>5</v>
      </c>
      <c r="L684" s="1">
        <v>7313</v>
      </c>
      <c r="M684" s="1">
        <v>10</v>
      </c>
      <c r="N684" s="1">
        <v>3656.5</v>
      </c>
      <c r="O684" s="1">
        <v>5923.53</v>
      </c>
      <c r="P684" s="1">
        <v>78</v>
      </c>
      <c r="Q684" s="1">
        <v>38910.03</v>
      </c>
      <c r="R684" s="1" t="s">
        <v>45</v>
      </c>
      <c r="S684" s="1" t="s">
        <v>34</v>
      </c>
      <c r="T684" s="1" t="s">
        <v>95</v>
      </c>
      <c r="U684" s="1" t="s">
        <v>96</v>
      </c>
      <c r="V684" s="1" t="s">
        <v>57</v>
      </c>
      <c r="W684" s="1">
        <v>1</v>
      </c>
      <c r="X684" s="1" t="s">
        <v>47</v>
      </c>
      <c r="Y684" s="1">
        <v>3</v>
      </c>
      <c r="Z684" s="1" t="s">
        <v>91</v>
      </c>
    </row>
    <row r="685" spans="1:26" x14ac:dyDescent="0.3">
      <c r="A685" s="1" t="s">
        <v>1254</v>
      </c>
      <c r="B685" s="2">
        <v>45783</v>
      </c>
      <c r="C685" s="1" t="s">
        <v>1255</v>
      </c>
      <c r="D685" s="1" t="s">
        <v>89</v>
      </c>
      <c r="E685" s="1" t="s">
        <v>29</v>
      </c>
      <c r="F685" s="1">
        <v>29</v>
      </c>
      <c r="G685" s="1" t="s">
        <v>90</v>
      </c>
      <c r="H685" s="1" t="s">
        <v>31</v>
      </c>
      <c r="I685" s="1" t="s">
        <v>90</v>
      </c>
      <c r="J685" s="1" t="s">
        <v>102</v>
      </c>
      <c r="K685" s="1">
        <v>1</v>
      </c>
      <c r="L685" s="1">
        <v>19819</v>
      </c>
      <c r="M685" s="1">
        <v>0</v>
      </c>
      <c r="N685" s="1">
        <v>0</v>
      </c>
      <c r="O685" s="1">
        <v>3567.42</v>
      </c>
      <c r="P685" s="1">
        <v>273</v>
      </c>
      <c r="Q685" s="1">
        <v>23659.42</v>
      </c>
      <c r="R685" s="1" t="s">
        <v>33</v>
      </c>
      <c r="S685" s="1" t="s">
        <v>63</v>
      </c>
      <c r="T685" s="1" t="s">
        <v>35</v>
      </c>
      <c r="U685" s="1" t="s">
        <v>36</v>
      </c>
      <c r="V685" s="1" t="s">
        <v>37</v>
      </c>
      <c r="W685" s="1">
        <v>3</v>
      </c>
      <c r="X685" s="1" t="s">
        <v>47</v>
      </c>
      <c r="Y685" s="1">
        <v>2</v>
      </c>
      <c r="Z685" s="1" t="s">
        <v>39</v>
      </c>
    </row>
    <row r="686" spans="1:26" x14ac:dyDescent="0.3">
      <c r="A686" s="1" t="s">
        <v>1256</v>
      </c>
      <c r="B686" s="2">
        <v>45917</v>
      </c>
      <c r="C686" s="1" t="s">
        <v>1257</v>
      </c>
      <c r="D686" s="1" t="s">
        <v>89</v>
      </c>
      <c r="E686" s="1" t="s">
        <v>43</v>
      </c>
      <c r="F686" s="1">
        <v>30</v>
      </c>
      <c r="G686" s="1" t="s">
        <v>30</v>
      </c>
      <c r="H686" s="1" t="s">
        <v>31</v>
      </c>
      <c r="I686" s="1" t="s">
        <v>30</v>
      </c>
      <c r="J686" s="1" t="s">
        <v>125</v>
      </c>
      <c r="K686" s="1">
        <v>5</v>
      </c>
      <c r="L686" s="1">
        <v>49125</v>
      </c>
      <c r="M686" s="1">
        <v>0</v>
      </c>
      <c r="N686" s="1">
        <v>0</v>
      </c>
      <c r="O686" s="1">
        <v>44212.5</v>
      </c>
      <c r="P686" s="1">
        <v>132</v>
      </c>
      <c r="Q686" s="1">
        <v>289969.5</v>
      </c>
      <c r="R686" s="1" t="s">
        <v>54</v>
      </c>
      <c r="S686" s="1" t="s">
        <v>63</v>
      </c>
      <c r="T686" s="1" t="s">
        <v>95</v>
      </c>
      <c r="U686" s="1" t="s">
        <v>96</v>
      </c>
      <c r="V686" s="1" t="s">
        <v>57</v>
      </c>
      <c r="W686" s="1">
        <v>2</v>
      </c>
      <c r="X686" s="1" t="s">
        <v>38</v>
      </c>
      <c r="Y686" s="1">
        <v>1</v>
      </c>
      <c r="Z686" s="1" t="s">
        <v>58</v>
      </c>
    </row>
    <row r="687" spans="1:26" x14ac:dyDescent="0.3">
      <c r="A687" s="1" t="s">
        <v>1258</v>
      </c>
      <c r="B687" s="2">
        <v>46090</v>
      </c>
      <c r="C687" s="1" t="s">
        <v>975</v>
      </c>
      <c r="D687" s="1" t="s">
        <v>61</v>
      </c>
      <c r="E687" s="1" t="s">
        <v>29</v>
      </c>
      <c r="F687" s="1">
        <v>56</v>
      </c>
      <c r="G687" s="1" t="s">
        <v>67</v>
      </c>
      <c r="H687" s="1" t="s">
        <v>68</v>
      </c>
      <c r="I687" s="1" t="s">
        <v>67</v>
      </c>
      <c r="J687" s="1" t="s">
        <v>69</v>
      </c>
      <c r="K687" s="1">
        <v>3</v>
      </c>
      <c r="L687" s="1">
        <v>40023</v>
      </c>
      <c r="M687" s="1">
        <v>5</v>
      </c>
      <c r="N687" s="1">
        <v>6003.45</v>
      </c>
      <c r="O687" s="1">
        <v>20531.8</v>
      </c>
      <c r="P687" s="1">
        <v>233</v>
      </c>
      <c r="Q687" s="1">
        <v>134830.35</v>
      </c>
      <c r="R687" s="1" t="s">
        <v>33</v>
      </c>
      <c r="S687" s="1" t="s">
        <v>63</v>
      </c>
      <c r="T687" s="1" t="s">
        <v>76</v>
      </c>
      <c r="U687" s="1" t="s">
        <v>77</v>
      </c>
      <c r="V687" s="1" t="s">
        <v>57</v>
      </c>
      <c r="W687" s="1">
        <v>1</v>
      </c>
      <c r="X687" s="1" t="s">
        <v>38</v>
      </c>
      <c r="Y687" s="1">
        <v>2</v>
      </c>
      <c r="Z687" s="1" t="s">
        <v>39</v>
      </c>
    </row>
    <row r="688" spans="1:26" x14ac:dyDescent="0.3">
      <c r="A688" s="1" t="s">
        <v>1259</v>
      </c>
      <c r="B688" s="2">
        <v>45849</v>
      </c>
      <c r="C688" s="1" t="s">
        <v>734</v>
      </c>
      <c r="D688" s="1" t="s">
        <v>73</v>
      </c>
      <c r="E688" s="1" t="s">
        <v>29</v>
      </c>
      <c r="F688" s="1">
        <v>56</v>
      </c>
      <c r="G688" s="1" t="s">
        <v>30</v>
      </c>
      <c r="H688" s="1" t="s">
        <v>31</v>
      </c>
      <c r="I688" s="1" t="s">
        <v>30</v>
      </c>
      <c r="J688" s="1" t="s">
        <v>75</v>
      </c>
      <c r="K688" s="1">
        <v>1</v>
      </c>
      <c r="L688" s="1">
        <v>11177</v>
      </c>
      <c r="M688" s="1">
        <v>20</v>
      </c>
      <c r="N688" s="1">
        <v>2235.4</v>
      </c>
      <c r="O688" s="1">
        <v>1609.49</v>
      </c>
      <c r="P688" s="1">
        <v>174</v>
      </c>
      <c r="Q688" s="1">
        <v>10725.09</v>
      </c>
      <c r="R688" s="1" t="s">
        <v>54</v>
      </c>
      <c r="S688" s="1" t="s">
        <v>63</v>
      </c>
      <c r="T688" s="1" t="s">
        <v>76</v>
      </c>
      <c r="U688" s="1" t="s">
        <v>77</v>
      </c>
      <c r="V688" s="1" t="s">
        <v>57</v>
      </c>
      <c r="W688" s="1">
        <v>10</v>
      </c>
      <c r="X688" s="1" t="s">
        <v>38</v>
      </c>
      <c r="Y688" s="1">
        <v>5</v>
      </c>
      <c r="Z688" s="1" t="s">
        <v>47</v>
      </c>
    </row>
    <row r="689" spans="1:26" x14ac:dyDescent="0.3">
      <c r="A689" s="1" t="s">
        <v>1260</v>
      </c>
      <c r="B689" s="2">
        <v>45783</v>
      </c>
      <c r="C689" s="1" t="s">
        <v>423</v>
      </c>
      <c r="D689" s="1" t="s">
        <v>61</v>
      </c>
      <c r="E689" s="1" t="s">
        <v>29</v>
      </c>
      <c r="F689" s="1">
        <v>44</v>
      </c>
      <c r="G689" s="1" t="s">
        <v>74</v>
      </c>
      <c r="H689" s="1" t="s">
        <v>31</v>
      </c>
      <c r="I689" s="1" t="s">
        <v>74</v>
      </c>
      <c r="J689" s="1" t="s">
        <v>69</v>
      </c>
      <c r="K689" s="1">
        <v>4</v>
      </c>
      <c r="L689" s="1">
        <v>43124</v>
      </c>
      <c r="M689" s="1">
        <v>15</v>
      </c>
      <c r="N689" s="1">
        <v>25874.400000000001</v>
      </c>
      <c r="O689" s="1">
        <v>26391.89</v>
      </c>
      <c r="P689" s="1">
        <v>187</v>
      </c>
      <c r="Q689" s="1">
        <v>173200.49</v>
      </c>
      <c r="R689" s="1" t="s">
        <v>33</v>
      </c>
      <c r="S689" s="1" t="s">
        <v>63</v>
      </c>
      <c r="T689" s="1" t="s">
        <v>103</v>
      </c>
      <c r="U689" s="1" t="s">
        <v>103</v>
      </c>
      <c r="V689" s="1" t="s">
        <v>57</v>
      </c>
      <c r="W689" s="1">
        <v>8</v>
      </c>
      <c r="X689" s="1" t="s">
        <v>47</v>
      </c>
      <c r="Y689" s="1">
        <v>3</v>
      </c>
      <c r="Z689" s="1" t="s">
        <v>91</v>
      </c>
    </row>
    <row r="690" spans="1:26" x14ac:dyDescent="0.3">
      <c r="A690" s="1" t="s">
        <v>1261</v>
      </c>
      <c r="B690" s="2">
        <v>46033</v>
      </c>
      <c r="C690" s="1" t="s">
        <v>1262</v>
      </c>
      <c r="D690" s="1" t="s">
        <v>108</v>
      </c>
      <c r="E690" s="1" t="s">
        <v>29</v>
      </c>
      <c r="F690" s="1">
        <v>51</v>
      </c>
      <c r="G690" s="1" t="s">
        <v>74</v>
      </c>
      <c r="H690" s="1" t="s">
        <v>31</v>
      </c>
      <c r="I690" s="1" t="s">
        <v>74</v>
      </c>
      <c r="J690" s="1" t="s">
        <v>201</v>
      </c>
      <c r="K690" s="1">
        <v>1</v>
      </c>
      <c r="L690" s="1">
        <v>1063</v>
      </c>
      <c r="M690" s="1">
        <v>5</v>
      </c>
      <c r="N690" s="1">
        <v>53.15</v>
      </c>
      <c r="O690" s="1">
        <v>181.77</v>
      </c>
      <c r="P690" s="1">
        <v>2</v>
      </c>
      <c r="Q690" s="1">
        <v>1193.6199999999999</v>
      </c>
      <c r="R690" s="1" t="s">
        <v>33</v>
      </c>
      <c r="S690" s="1" t="s">
        <v>34</v>
      </c>
      <c r="T690" s="1" t="s">
        <v>103</v>
      </c>
      <c r="U690" s="1" t="s">
        <v>103</v>
      </c>
      <c r="V690" s="1" t="s">
        <v>57</v>
      </c>
      <c r="W690" s="1">
        <v>6</v>
      </c>
      <c r="X690" s="1" t="s">
        <v>47</v>
      </c>
      <c r="Y690" s="1">
        <v>5</v>
      </c>
      <c r="Z690" s="1" t="s">
        <v>39</v>
      </c>
    </row>
    <row r="691" spans="1:26" x14ac:dyDescent="0.3">
      <c r="A691" s="1" t="s">
        <v>1263</v>
      </c>
      <c r="B691" s="2">
        <v>46039</v>
      </c>
      <c r="C691" s="1" t="s">
        <v>678</v>
      </c>
      <c r="D691" s="1" t="s">
        <v>80</v>
      </c>
      <c r="E691" s="1" t="s">
        <v>43</v>
      </c>
      <c r="F691" s="1">
        <v>34</v>
      </c>
      <c r="G691" s="1" t="s">
        <v>74</v>
      </c>
      <c r="H691" s="1" t="s">
        <v>31</v>
      </c>
      <c r="I691" s="1" t="s">
        <v>74</v>
      </c>
      <c r="J691" s="1" t="s">
        <v>102</v>
      </c>
      <c r="K691" s="1">
        <v>2</v>
      </c>
      <c r="L691" s="1">
        <v>862</v>
      </c>
      <c r="M691" s="1">
        <v>0</v>
      </c>
      <c r="N691" s="1">
        <v>0</v>
      </c>
      <c r="O691" s="1">
        <v>310.32</v>
      </c>
      <c r="P691" s="1">
        <v>38</v>
      </c>
      <c r="Q691" s="1">
        <v>2072.3200000000002</v>
      </c>
      <c r="R691" s="1" t="s">
        <v>54</v>
      </c>
      <c r="S691" s="1" t="s">
        <v>63</v>
      </c>
      <c r="T691" s="1" t="s">
        <v>70</v>
      </c>
      <c r="U691" s="1" t="s">
        <v>56</v>
      </c>
      <c r="V691" s="1" t="s">
        <v>57</v>
      </c>
      <c r="W691" s="1">
        <v>4</v>
      </c>
      <c r="X691" s="1" t="s">
        <v>47</v>
      </c>
      <c r="Y691" s="1">
        <v>5</v>
      </c>
      <c r="Z691" s="1" t="s">
        <v>47</v>
      </c>
    </row>
    <row r="692" spans="1:26" x14ac:dyDescent="0.3">
      <c r="A692" s="1" t="s">
        <v>1264</v>
      </c>
      <c r="B692" s="2">
        <v>46103</v>
      </c>
      <c r="C692" s="1" t="s">
        <v>1265</v>
      </c>
      <c r="D692" s="1" t="s">
        <v>89</v>
      </c>
      <c r="E692" s="1" t="s">
        <v>29</v>
      </c>
      <c r="F692" s="1">
        <v>18</v>
      </c>
      <c r="G692" s="1" t="s">
        <v>99</v>
      </c>
      <c r="H692" s="1" t="s">
        <v>52</v>
      </c>
      <c r="I692" s="1" t="s">
        <v>99</v>
      </c>
      <c r="J692" s="1" t="s">
        <v>150</v>
      </c>
      <c r="K692" s="1">
        <v>3</v>
      </c>
      <c r="L692" s="1">
        <v>48398</v>
      </c>
      <c r="M692" s="1">
        <v>0</v>
      </c>
      <c r="N692" s="1">
        <v>0</v>
      </c>
      <c r="O692" s="1">
        <v>26134.92</v>
      </c>
      <c r="P692" s="1">
        <v>450</v>
      </c>
      <c r="Q692" s="1">
        <v>171778.92</v>
      </c>
      <c r="R692" s="1" t="s">
        <v>83</v>
      </c>
      <c r="S692" s="1" t="s">
        <v>34</v>
      </c>
      <c r="T692" s="1" t="s">
        <v>46</v>
      </c>
      <c r="U692" s="1" t="s">
        <v>36</v>
      </c>
      <c r="V692" s="1" t="s">
        <v>37</v>
      </c>
      <c r="W692" s="1">
        <v>1</v>
      </c>
      <c r="X692" s="1" t="s">
        <v>47</v>
      </c>
      <c r="Y692" s="1">
        <v>5</v>
      </c>
      <c r="Z692" s="1" t="s">
        <v>91</v>
      </c>
    </row>
    <row r="693" spans="1:26" x14ac:dyDescent="0.3">
      <c r="A693" s="1" t="s">
        <v>1266</v>
      </c>
      <c r="B693" s="2">
        <v>45981</v>
      </c>
      <c r="C693" s="1" t="s">
        <v>1267</v>
      </c>
      <c r="D693" s="1" t="s">
        <v>111</v>
      </c>
      <c r="E693" s="1" t="s">
        <v>43</v>
      </c>
      <c r="F693" s="1">
        <v>57</v>
      </c>
      <c r="G693" s="1" t="s">
        <v>134</v>
      </c>
      <c r="H693" s="1" t="s">
        <v>31</v>
      </c>
      <c r="I693" s="1" t="s">
        <v>134</v>
      </c>
      <c r="J693" s="1" t="s">
        <v>102</v>
      </c>
      <c r="K693" s="1">
        <v>4</v>
      </c>
      <c r="L693" s="1">
        <v>39778</v>
      </c>
      <c r="M693" s="1">
        <v>10</v>
      </c>
      <c r="N693" s="1">
        <v>15911.2</v>
      </c>
      <c r="O693" s="1">
        <v>25776.14</v>
      </c>
      <c r="P693" s="1">
        <v>252</v>
      </c>
      <c r="Q693" s="1">
        <v>169228.94</v>
      </c>
      <c r="R693" s="1" t="s">
        <v>33</v>
      </c>
      <c r="S693" s="1" t="s">
        <v>34</v>
      </c>
      <c r="T693" s="1" t="s">
        <v>70</v>
      </c>
      <c r="U693" s="1" t="s">
        <v>56</v>
      </c>
      <c r="V693" s="1" t="s">
        <v>57</v>
      </c>
      <c r="W693" s="1">
        <v>6</v>
      </c>
      <c r="X693" s="1" t="s">
        <v>47</v>
      </c>
      <c r="Y693" s="1">
        <v>5</v>
      </c>
      <c r="Z693" s="1" t="s">
        <v>39</v>
      </c>
    </row>
    <row r="694" spans="1:26" x14ac:dyDescent="0.3">
      <c r="A694" s="1" t="s">
        <v>1268</v>
      </c>
      <c r="B694" s="2">
        <v>45859</v>
      </c>
      <c r="C694" s="1" t="s">
        <v>1269</v>
      </c>
      <c r="D694" s="1" t="s">
        <v>42</v>
      </c>
      <c r="E694" s="1" t="s">
        <v>29</v>
      </c>
      <c r="F694" s="1">
        <v>42</v>
      </c>
      <c r="G694" s="1" t="s">
        <v>99</v>
      </c>
      <c r="H694" s="1" t="s">
        <v>52</v>
      </c>
      <c r="I694" s="1" t="s">
        <v>99</v>
      </c>
      <c r="J694" s="1" t="s">
        <v>125</v>
      </c>
      <c r="K694" s="1">
        <v>2</v>
      </c>
      <c r="L694" s="1">
        <v>25407</v>
      </c>
      <c r="M694" s="1">
        <v>0</v>
      </c>
      <c r="N694" s="1">
        <v>0</v>
      </c>
      <c r="O694" s="1">
        <v>9146.52</v>
      </c>
      <c r="P694" s="1">
        <v>193</v>
      </c>
      <c r="Q694" s="1">
        <v>60153.52</v>
      </c>
      <c r="R694" s="1" t="s">
        <v>83</v>
      </c>
      <c r="S694" s="1" t="s">
        <v>34</v>
      </c>
      <c r="T694" s="1" t="s">
        <v>55</v>
      </c>
      <c r="U694" s="1" t="s">
        <v>56</v>
      </c>
      <c r="V694" s="1" t="s">
        <v>57</v>
      </c>
      <c r="W694" s="1">
        <v>5</v>
      </c>
      <c r="X694" s="1" t="s">
        <v>38</v>
      </c>
      <c r="Y694" s="1">
        <v>3</v>
      </c>
      <c r="Z694" s="1" t="s">
        <v>91</v>
      </c>
    </row>
    <row r="695" spans="1:26" x14ac:dyDescent="0.3">
      <c r="A695" s="1" t="s">
        <v>1270</v>
      </c>
      <c r="B695" s="2">
        <v>45761</v>
      </c>
      <c r="C695" s="1" t="s">
        <v>1271</v>
      </c>
      <c r="D695" s="1" t="s">
        <v>61</v>
      </c>
      <c r="E695" s="1" t="s">
        <v>43</v>
      </c>
      <c r="F695" s="1">
        <v>33</v>
      </c>
      <c r="G695" s="1" t="s">
        <v>67</v>
      </c>
      <c r="H695" s="1" t="s">
        <v>68</v>
      </c>
      <c r="I695" s="1" t="s">
        <v>67</v>
      </c>
      <c r="J695" s="1" t="s">
        <v>62</v>
      </c>
      <c r="K695" s="1">
        <v>1</v>
      </c>
      <c r="L695" s="1">
        <v>34030</v>
      </c>
      <c r="M695" s="1">
        <v>5</v>
      </c>
      <c r="N695" s="1">
        <v>1701.5</v>
      </c>
      <c r="O695" s="1">
        <v>5819.13</v>
      </c>
      <c r="P695" s="1">
        <v>148</v>
      </c>
      <c r="Q695" s="1">
        <v>38295.629999999997</v>
      </c>
      <c r="R695" s="1" t="s">
        <v>33</v>
      </c>
      <c r="S695" s="1" t="s">
        <v>34</v>
      </c>
      <c r="T695" s="1" t="s">
        <v>70</v>
      </c>
      <c r="U695" s="1" t="s">
        <v>56</v>
      </c>
      <c r="V695" s="1" t="s">
        <v>57</v>
      </c>
      <c r="W695" s="1">
        <v>5</v>
      </c>
      <c r="X695" s="1" t="s">
        <v>47</v>
      </c>
      <c r="Y695" s="1">
        <v>5</v>
      </c>
      <c r="Z695" s="1" t="s">
        <v>39</v>
      </c>
    </row>
    <row r="696" spans="1:26" x14ac:dyDescent="0.3">
      <c r="A696" s="1" t="s">
        <v>1272</v>
      </c>
      <c r="B696" s="2">
        <v>45761</v>
      </c>
      <c r="C696" s="1" t="s">
        <v>1273</v>
      </c>
      <c r="D696" s="1" t="s">
        <v>28</v>
      </c>
      <c r="E696" s="1" t="s">
        <v>29</v>
      </c>
      <c r="F696" s="1">
        <v>55</v>
      </c>
      <c r="G696" s="1" t="s">
        <v>44</v>
      </c>
      <c r="H696" s="1" t="s">
        <v>31</v>
      </c>
      <c r="I696" s="1" t="s">
        <v>44</v>
      </c>
      <c r="J696" s="1" t="s">
        <v>125</v>
      </c>
      <c r="K696" s="1">
        <v>2</v>
      </c>
      <c r="L696" s="1">
        <v>27846</v>
      </c>
      <c r="M696" s="1">
        <v>20</v>
      </c>
      <c r="N696" s="1">
        <v>11138.4</v>
      </c>
      <c r="O696" s="1">
        <v>8019.65</v>
      </c>
      <c r="P696" s="1">
        <v>421</v>
      </c>
      <c r="Q696" s="1">
        <v>52994.25</v>
      </c>
      <c r="R696" s="1" t="s">
        <v>83</v>
      </c>
      <c r="S696" s="1" t="s">
        <v>63</v>
      </c>
      <c r="T696" s="1" t="s">
        <v>103</v>
      </c>
      <c r="U696" s="1" t="s">
        <v>103</v>
      </c>
      <c r="V696" s="1" t="s">
        <v>57</v>
      </c>
      <c r="W696" s="1">
        <v>4</v>
      </c>
      <c r="X696" s="1" t="s">
        <v>47</v>
      </c>
      <c r="Y696" s="1">
        <v>5</v>
      </c>
      <c r="Z696" s="1" t="s">
        <v>91</v>
      </c>
    </row>
    <row r="697" spans="1:26" x14ac:dyDescent="0.3">
      <c r="A697" s="1" t="s">
        <v>1274</v>
      </c>
      <c r="B697" s="2">
        <v>45954</v>
      </c>
      <c r="C697" s="1" t="s">
        <v>848</v>
      </c>
      <c r="D697" s="1" t="s">
        <v>66</v>
      </c>
      <c r="E697" s="1" t="s">
        <v>43</v>
      </c>
      <c r="F697" s="1">
        <v>52</v>
      </c>
      <c r="G697" s="1" t="s">
        <v>134</v>
      </c>
      <c r="H697" s="1" t="s">
        <v>31</v>
      </c>
      <c r="I697" s="1" t="s">
        <v>134</v>
      </c>
      <c r="J697" s="1" t="s">
        <v>75</v>
      </c>
      <c r="K697" s="1">
        <v>1</v>
      </c>
      <c r="L697" s="1">
        <v>38289</v>
      </c>
      <c r="M697" s="1">
        <v>15</v>
      </c>
      <c r="N697" s="1">
        <v>5743.35</v>
      </c>
      <c r="O697" s="1">
        <v>5858.22</v>
      </c>
      <c r="P697" s="1">
        <v>315</v>
      </c>
      <c r="Q697" s="1">
        <v>38718.870000000003</v>
      </c>
      <c r="R697" s="1" t="s">
        <v>33</v>
      </c>
      <c r="S697" s="1" t="s">
        <v>63</v>
      </c>
      <c r="T697" s="1" t="s">
        <v>84</v>
      </c>
      <c r="U697" s="1" t="s">
        <v>85</v>
      </c>
      <c r="V697" s="1" t="s">
        <v>86</v>
      </c>
      <c r="W697" s="1">
        <v>3</v>
      </c>
      <c r="X697" s="1" t="s">
        <v>47</v>
      </c>
      <c r="Y697" s="1">
        <v>2</v>
      </c>
      <c r="Z697" s="1" t="s">
        <v>58</v>
      </c>
    </row>
    <row r="698" spans="1:26" x14ac:dyDescent="0.3">
      <c r="A698" s="1" t="s">
        <v>1275</v>
      </c>
      <c r="B698" s="2">
        <v>45931</v>
      </c>
      <c r="C698" s="1" t="s">
        <v>1276</v>
      </c>
      <c r="D698" s="1" t="s">
        <v>73</v>
      </c>
      <c r="E698" s="1" t="s">
        <v>29</v>
      </c>
      <c r="F698" s="1">
        <v>46</v>
      </c>
      <c r="G698" s="1" t="s">
        <v>44</v>
      </c>
      <c r="H698" s="1" t="s">
        <v>31</v>
      </c>
      <c r="I698" s="1" t="s">
        <v>44</v>
      </c>
      <c r="J698" s="1" t="s">
        <v>75</v>
      </c>
      <c r="K698" s="1">
        <v>3</v>
      </c>
      <c r="L698" s="1">
        <v>40712</v>
      </c>
      <c r="M698" s="1">
        <v>0</v>
      </c>
      <c r="N698" s="1">
        <v>0</v>
      </c>
      <c r="O698" s="1">
        <v>21984.48</v>
      </c>
      <c r="P698" s="1">
        <v>238</v>
      </c>
      <c r="Q698" s="1">
        <v>144358.48000000001</v>
      </c>
      <c r="R698" s="1" t="s">
        <v>33</v>
      </c>
      <c r="S698" s="1" t="s">
        <v>63</v>
      </c>
      <c r="T698" s="1" t="s">
        <v>95</v>
      </c>
      <c r="U698" s="1" t="s">
        <v>96</v>
      </c>
      <c r="V698" s="1" t="s">
        <v>57</v>
      </c>
      <c r="W698" s="1">
        <v>5</v>
      </c>
      <c r="X698" s="1" t="s">
        <v>38</v>
      </c>
      <c r="Y698" s="1">
        <v>5</v>
      </c>
      <c r="Z698" s="1" t="s">
        <v>58</v>
      </c>
    </row>
    <row r="699" spans="1:26" x14ac:dyDescent="0.3">
      <c r="A699" s="1" t="s">
        <v>1277</v>
      </c>
      <c r="B699" s="2">
        <v>45774</v>
      </c>
      <c r="C699" s="1" t="s">
        <v>671</v>
      </c>
      <c r="D699" s="1" t="s">
        <v>80</v>
      </c>
      <c r="E699" s="1" t="s">
        <v>29</v>
      </c>
      <c r="F699" s="1">
        <v>23</v>
      </c>
      <c r="G699" s="1" t="s">
        <v>44</v>
      </c>
      <c r="H699" s="1" t="s">
        <v>31</v>
      </c>
      <c r="I699" s="1" t="s">
        <v>44</v>
      </c>
      <c r="J699" s="1" t="s">
        <v>125</v>
      </c>
      <c r="K699" s="1">
        <v>1</v>
      </c>
      <c r="L699" s="1">
        <v>38286</v>
      </c>
      <c r="M699" s="1">
        <v>5</v>
      </c>
      <c r="N699" s="1">
        <v>1914.3</v>
      </c>
      <c r="O699" s="1">
        <v>6546.91</v>
      </c>
      <c r="P699" s="1">
        <v>264</v>
      </c>
      <c r="Q699" s="1">
        <v>43182.61</v>
      </c>
      <c r="R699" s="1" t="s">
        <v>54</v>
      </c>
      <c r="S699" s="1" t="s">
        <v>63</v>
      </c>
      <c r="T699" s="1" t="s">
        <v>35</v>
      </c>
      <c r="U699" s="1" t="s">
        <v>36</v>
      </c>
      <c r="V699" s="1" t="s">
        <v>37</v>
      </c>
      <c r="W699" s="1">
        <v>4</v>
      </c>
      <c r="X699" s="1" t="s">
        <v>47</v>
      </c>
      <c r="Y699" s="1">
        <v>4</v>
      </c>
      <c r="Z699" s="1" t="s">
        <v>91</v>
      </c>
    </row>
    <row r="700" spans="1:26" x14ac:dyDescent="0.3">
      <c r="A700" s="1" t="s">
        <v>1278</v>
      </c>
      <c r="B700" s="2">
        <v>45926</v>
      </c>
      <c r="C700" s="1" t="s">
        <v>1279</v>
      </c>
      <c r="D700" s="1" t="s">
        <v>50</v>
      </c>
      <c r="E700" s="1" t="s">
        <v>43</v>
      </c>
      <c r="F700" s="1">
        <v>21</v>
      </c>
      <c r="G700" s="1" t="s">
        <v>67</v>
      </c>
      <c r="H700" s="1" t="s">
        <v>68</v>
      </c>
      <c r="I700" s="1" t="s">
        <v>67</v>
      </c>
      <c r="J700" s="1" t="s">
        <v>150</v>
      </c>
      <c r="K700" s="1">
        <v>3</v>
      </c>
      <c r="L700" s="1">
        <v>38505</v>
      </c>
      <c r="M700" s="1">
        <v>10</v>
      </c>
      <c r="N700" s="1">
        <v>11551.5</v>
      </c>
      <c r="O700" s="1">
        <v>18713.43</v>
      </c>
      <c r="P700" s="1">
        <v>469</v>
      </c>
      <c r="Q700" s="1">
        <v>123145.93</v>
      </c>
      <c r="R700" s="1" t="s">
        <v>83</v>
      </c>
      <c r="S700" s="1" t="s">
        <v>34</v>
      </c>
      <c r="T700" s="1" t="s">
        <v>95</v>
      </c>
      <c r="U700" s="1" t="s">
        <v>96</v>
      </c>
      <c r="V700" s="1" t="s">
        <v>57</v>
      </c>
      <c r="W700" s="1">
        <v>7</v>
      </c>
      <c r="X700" s="1" t="s">
        <v>38</v>
      </c>
      <c r="Y700" s="1">
        <v>1</v>
      </c>
      <c r="Z700" s="1" t="s">
        <v>39</v>
      </c>
    </row>
    <row r="701" spans="1:26" x14ac:dyDescent="0.3">
      <c r="A701" s="1" t="s">
        <v>1280</v>
      </c>
      <c r="B701" s="2">
        <v>45835</v>
      </c>
      <c r="C701" s="1" t="s">
        <v>911</v>
      </c>
      <c r="D701" s="1" t="s">
        <v>50</v>
      </c>
      <c r="E701" s="1" t="s">
        <v>29</v>
      </c>
      <c r="F701" s="1">
        <v>41</v>
      </c>
      <c r="G701" s="1" t="s">
        <v>139</v>
      </c>
      <c r="H701" s="1" t="s">
        <v>31</v>
      </c>
      <c r="I701" s="1" t="s">
        <v>139</v>
      </c>
      <c r="J701" s="1" t="s">
        <v>75</v>
      </c>
      <c r="K701" s="1">
        <v>1</v>
      </c>
      <c r="L701" s="1">
        <v>37853</v>
      </c>
      <c r="M701" s="1">
        <v>20</v>
      </c>
      <c r="N701" s="1">
        <v>7570.6</v>
      </c>
      <c r="O701" s="1">
        <v>5450.83</v>
      </c>
      <c r="P701" s="1">
        <v>363</v>
      </c>
      <c r="Q701" s="1">
        <v>36096.230000000003</v>
      </c>
      <c r="R701" s="1" t="s">
        <v>54</v>
      </c>
      <c r="S701" s="1" t="s">
        <v>34</v>
      </c>
      <c r="T701" s="1" t="s">
        <v>84</v>
      </c>
      <c r="U701" s="1" t="s">
        <v>85</v>
      </c>
      <c r="V701" s="1" t="s">
        <v>86</v>
      </c>
      <c r="W701" s="1">
        <v>3</v>
      </c>
      <c r="X701" s="1" t="s">
        <v>38</v>
      </c>
      <c r="Y701" s="1">
        <v>1</v>
      </c>
      <c r="Z701" s="1" t="s">
        <v>58</v>
      </c>
    </row>
    <row r="702" spans="1:26" x14ac:dyDescent="0.3">
      <c r="A702" s="1" t="s">
        <v>1281</v>
      </c>
      <c r="B702" s="2">
        <v>45848</v>
      </c>
      <c r="C702" s="1" t="s">
        <v>1282</v>
      </c>
      <c r="D702" s="1" t="s">
        <v>111</v>
      </c>
      <c r="E702" s="1" t="s">
        <v>29</v>
      </c>
      <c r="F702" s="1">
        <v>46</v>
      </c>
      <c r="G702" s="1" t="s">
        <v>139</v>
      </c>
      <c r="H702" s="1" t="s">
        <v>31</v>
      </c>
      <c r="I702" s="1" t="s">
        <v>139</v>
      </c>
      <c r="J702" s="1" t="s">
        <v>53</v>
      </c>
      <c r="K702" s="1">
        <v>1</v>
      </c>
      <c r="L702" s="1">
        <v>23378</v>
      </c>
      <c r="M702" s="1">
        <v>5</v>
      </c>
      <c r="N702" s="1">
        <v>1168.9000000000001</v>
      </c>
      <c r="O702" s="1">
        <v>3997.64</v>
      </c>
      <c r="P702" s="1">
        <v>1</v>
      </c>
      <c r="Q702" s="1">
        <v>26207.74</v>
      </c>
      <c r="R702" s="1" t="s">
        <v>33</v>
      </c>
      <c r="S702" s="1" t="s">
        <v>34</v>
      </c>
      <c r="T702" s="1" t="s">
        <v>46</v>
      </c>
      <c r="U702" s="1" t="s">
        <v>36</v>
      </c>
      <c r="V702" s="1" t="s">
        <v>37</v>
      </c>
      <c r="W702" s="1">
        <v>5</v>
      </c>
      <c r="X702" s="1" t="s">
        <v>38</v>
      </c>
      <c r="Y702" s="1">
        <v>3</v>
      </c>
      <c r="Z702" s="1" t="s">
        <v>91</v>
      </c>
    </row>
    <row r="703" spans="1:26" x14ac:dyDescent="0.3">
      <c r="A703" s="1" t="s">
        <v>1283</v>
      </c>
      <c r="B703" s="2">
        <v>45869</v>
      </c>
      <c r="C703" s="1" t="s">
        <v>1284</v>
      </c>
      <c r="D703" s="1" t="s">
        <v>28</v>
      </c>
      <c r="E703" s="1" t="s">
        <v>43</v>
      </c>
      <c r="F703" s="1">
        <v>48</v>
      </c>
      <c r="G703" s="1" t="s">
        <v>99</v>
      </c>
      <c r="H703" s="1" t="s">
        <v>52</v>
      </c>
      <c r="I703" s="1" t="s">
        <v>99</v>
      </c>
      <c r="J703" s="1" t="s">
        <v>53</v>
      </c>
      <c r="K703" s="1">
        <v>2</v>
      </c>
      <c r="L703" s="1">
        <v>34921</v>
      </c>
      <c r="M703" s="1">
        <v>5</v>
      </c>
      <c r="N703" s="1">
        <v>3492.1</v>
      </c>
      <c r="O703" s="1">
        <v>11942.98</v>
      </c>
      <c r="P703" s="1">
        <v>248</v>
      </c>
      <c r="Q703" s="1">
        <v>78540.88</v>
      </c>
      <c r="R703" s="1" t="s">
        <v>33</v>
      </c>
      <c r="S703" s="1" t="s">
        <v>63</v>
      </c>
      <c r="T703" s="1" t="s">
        <v>95</v>
      </c>
      <c r="U703" s="1" t="s">
        <v>96</v>
      </c>
      <c r="V703" s="1" t="s">
        <v>57</v>
      </c>
      <c r="W703" s="1">
        <v>1</v>
      </c>
      <c r="X703" s="1" t="s">
        <v>38</v>
      </c>
      <c r="Y703" s="1">
        <v>2</v>
      </c>
      <c r="Z703" s="1" t="s">
        <v>39</v>
      </c>
    </row>
    <row r="704" spans="1:26" x14ac:dyDescent="0.3">
      <c r="A704" s="1" t="s">
        <v>1285</v>
      </c>
      <c r="B704" s="2">
        <v>45790</v>
      </c>
      <c r="C704" s="1" t="s">
        <v>1286</v>
      </c>
      <c r="D704" s="1" t="s">
        <v>61</v>
      </c>
      <c r="E704" s="1" t="s">
        <v>43</v>
      </c>
      <c r="F704" s="1">
        <v>39</v>
      </c>
      <c r="G704" s="1" t="s">
        <v>90</v>
      </c>
      <c r="H704" s="1" t="s">
        <v>31</v>
      </c>
      <c r="I704" s="1" t="s">
        <v>90</v>
      </c>
      <c r="J704" s="1" t="s">
        <v>62</v>
      </c>
      <c r="K704" s="1">
        <v>4</v>
      </c>
      <c r="L704" s="1">
        <v>17871</v>
      </c>
      <c r="M704" s="1">
        <v>5</v>
      </c>
      <c r="N704" s="1">
        <v>3574.2</v>
      </c>
      <c r="O704" s="1">
        <v>12223.76</v>
      </c>
      <c r="P704" s="1">
        <v>178</v>
      </c>
      <c r="Q704" s="1">
        <v>80311.56</v>
      </c>
      <c r="R704" s="1" t="s">
        <v>54</v>
      </c>
      <c r="S704" s="1" t="s">
        <v>63</v>
      </c>
      <c r="T704" s="1" t="s">
        <v>70</v>
      </c>
      <c r="U704" s="1" t="s">
        <v>56</v>
      </c>
      <c r="V704" s="1" t="s">
        <v>57</v>
      </c>
      <c r="W704" s="1">
        <v>8</v>
      </c>
      <c r="X704" s="1" t="s">
        <v>38</v>
      </c>
      <c r="Y704" s="1">
        <v>5</v>
      </c>
      <c r="Z704" s="1" t="s">
        <v>47</v>
      </c>
    </row>
    <row r="705" spans="1:26" x14ac:dyDescent="0.3">
      <c r="A705" s="1" t="s">
        <v>1287</v>
      </c>
      <c r="B705" s="2">
        <v>46003</v>
      </c>
      <c r="C705" s="1" t="s">
        <v>834</v>
      </c>
      <c r="D705" s="1" t="s">
        <v>80</v>
      </c>
      <c r="E705" s="1" t="s">
        <v>29</v>
      </c>
      <c r="F705" s="1">
        <v>46</v>
      </c>
      <c r="G705" s="1" t="s">
        <v>94</v>
      </c>
      <c r="H705" s="1" t="s">
        <v>31</v>
      </c>
      <c r="I705" s="1" t="s">
        <v>94</v>
      </c>
      <c r="J705" s="1" t="s">
        <v>53</v>
      </c>
      <c r="K705" s="1">
        <v>4</v>
      </c>
      <c r="L705" s="1">
        <v>45708</v>
      </c>
      <c r="M705" s="1">
        <v>20</v>
      </c>
      <c r="N705" s="1">
        <v>36566.400000000001</v>
      </c>
      <c r="O705" s="1">
        <v>26327.81</v>
      </c>
      <c r="P705" s="1">
        <v>230</v>
      </c>
      <c r="Q705" s="1">
        <v>172823.41</v>
      </c>
      <c r="R705" s="1" t="s">
        <v>33</v>
      </c>
      <c r="S705" s="1" t="s">
        <v>34</v>
      </c>
      <c r="T705" s="1" t="s">
        <v>103</v>
      </c>
      <c r="U705" s="1" t="s">
        <v>103</v>
      </c>
      <c r="V705" s="1" t="s">
        <v>57</v>
      </c>
      <c r="W705" s="1">
        <v>10</v>
      </c>
      <c r="X705" s="1" t="s">
        <v>47</v>
      </c>
      <c r="Y705" s="1">
        <v>4</v>
      </c>
      <c r="Z705" s="1" t="s">
        <v>47</v>
      </c>
    </row>
    <row r="706" spans="1:26" x14ac:dyDescent="0.3">
      <c r="A706" s="1" t="s">
        <v>1288</v>
      </c>
      <c r="B706" s="2">
        <v>45867</v>
      </c>
      <c r="C706" s="1" t="s">
        <v>1289</v>
      </c>
      <c r="D706" s="1" t="s">
        <v>61</v>
      </c>
      <c r="E706" s="1" t="s">
        <v>29</v>
      </c>
      <c r="F706" s="1">
        <v>45</v>
      </c>
      <c r="G706" s="1" t="s">
        <v>51</v>
      </c>
      <c r="H706" s="1" t="s">
        <v>52</v>
      </c>
      <c r="I706" s="1" t="s">
        <v>51</v>
      </c>
      <c r="J706" s="1" t="s">
        <v>102</v>
      </c>
      <c r="K706" s="1">
        <v>4</v>
      </c>
      <c r="L706" s="1">
        <v>30414</v>
      </c>
      <c r="M706" s="1">
        <v>5</v>
      </c>
      <c r="N706" s="1">
        <v>6082.8</v>
      </c>
      <c r="O706" s="1">
        <v>20803.18</v>
      </c>
      <c r="P706" s="1">
        <v>367</v>
      </c>
      <c r="Q706" s="1">
        <v>136743.38</v>
      </c>
      <c r="R706" s="1" t="s">
        <v>33</v>
      </c>
      <c r="S706" s="1" t="s">
        <v>63</v>
      </c>
      <c r="T706" s="1" t="s">
        <v>76</v>
      </c>
      <c r="U706" s="1" t="s">
        <v>77</v>
      </c>
      <c r="V706" s="1" t="s">
        <v>57</v>
      </c>
      <c r="W706" s="1">
        <v>8</v>
      </c>
      <c r="X706" s="1" t="s">
        <v>38</v>
      </c>
      <c r="Y706" s="1">
        <v>4</v>
      </c>
      <c r="Z706" s="1" t="s">
        <v>91</v>
      </c>
    </row>
    <row r="707" spans="1:26" x14ac:dyDescent="0.3">
      <c r="A707" s="1" t="s">
        <v>1290</v>
      </c>
      <c r="B707" s="2">
        <v>45963</v>
      </c>
      <c r="C707" s="1" t="s">
        <v>1291</v>
      </c>
      <c r="D707" s="1" t="s">
        <v>80</v>
      </c>
      <c r="E707" s="1" t="s">
        <v>43</v>
      </c>
      <c r="F707" s="1">
        <v>28</v>
      </c>
      <c r="G707" s="1" t="s">
        <v>90</v>
      </c>
      <c r="H707" s="1" t="s">
        <v>31</v>
      </c>
      <c r="I707" s="1" t="s">
        <v>90</v>
      </c>
      <c r="J707" s="1" t="s">
        <v>32</v>
      </c>
      <c r="K707" s="1">
        <v>3</v>
      </c>
      <c r="L707" s="1">
        <v>20894</v>
      </c>
      <c r="M707" s="1">
        <v>15</v>
      </c>
      <c r="N707" s="1">
        <v>9402.2999999999993</v>
      </c>
      <c r="O707" s="1">
        <v>9590.35</v>
      </c>
      <c r="P707" s="1">
        <v>68</v>
      </c>
      <c r="Q707" s="1">
        <v>62938.05</v>
      </c>
      <c r="R707" s="1" t="s">
        <v>54</v>
      </c>
      <c r="S707" s="1" t="s">
        <v>63</v>
      </c>
      <c r="T707" s="1" t="s">
        <v>35</v>
      </c>
      <c r="U707" s="1" t="s">
        <v>36</v>
      </c>
      <c r="V707" s="1" t="s">
        <v>37</v>
      </c>
      <c r="W707" s="1">
        <v>1</v>
      </c>
      <c r="X707" s="1" t="s">
        <v>47</v>
      </c>
      <c r="Y707" s="1">
        <v>5</v>
      </c>
      <c r="Z707" s="1" t="s">
        <v>58</v>
      </c>
    </row>
    <row r="708" spans="1:26" x14ac:dyDescent="0.3">
      <c r="A708" s="1" t="s">
        <v>1292</v>
      </c>
      <c r="B708" s="2">
        <v>46001</v>
      </c>
      <c r="C708" s="1" t="s">
        <v>1293</v>
      </c>
      <c r="D708" s="1" t="s">
        <v>66</v>
      </c>
      <c r="E708" s="1" t="s">
        <v>29</v>
      </c>
      <c r="F708" s="1">
        <v>35</v>
      </c>
      <c r="G708" s="1" t="s">
        <v>99</v>
      </c>
      <c r="H708" s="1" t="s">
        <v>52</v>
      </c>
      <c r="I708" s="1" t="s">
        <v>99</v>
      </c>
      <c r="J708" s="1" t="s">
        <v>150</v>
      </c>
      <c r="K708" s="1">
        <v>1</v>
      </c>
      <c r="L708" s="1">
        <v>9009</v>
      </c>
      <c r="M708" s="1">
        <v>15</v>
      </c>
      <c r="N708" s="1">
        <v>1351.35</v>
      </c>
      <c r="O708" s="1">
        <v>1378.38</v>
      </c>
      <c r="P708" s="1">
        <v>466</v>
      </c>
      <c r="Q708" s="1">
        <v>9502.0300000000007</v>
      </c>
      <c r="R708" s="1" t="s">
        <v>54</v>
      </c>
      <c r="S708" s="1" t="s">
        <v>63</v>
      </c>
      <c r="T708" s="1" t="s">
        <v>76</v>
      </c>
      <c r="U708" s="1" t="s">
        <v>77</v>
      </c>
      <c r="V708" s="1" t="s">
        <v>57</v>
      </c>
      <c r="W708" s="1">
        <v>7</v>
      </c>
      <c r="X708" s="1" t="s">
        <v>47</v>
      </c>
      <c r="Y708" s="1">
        <v>3</v>
      </c>
      <c r="Z708" s="1" t="s">
        <v>39</v>
      </c>
    </row>
    <row r="709" spans="1:26" x14ac:dyDescent="0.3">
      <c r="A709" s="1" t="s">
        <v>1294</v>
      </c>
      <c r="B709" s="2">
        <v>45876</v>
      </c>
      <c r="C709" s="1" t="s">
        <v>443</v>
      </c>
      <c r="D709" s="1" t="s">
        <v>42</v>
      </c>
      <c r="E709" s="1" t="s">
        <v>29</v>
      </c>
      <c r="F709" s="1">
        <v>36</v>
      </c>
      <c r="G709" s="1" t="s">
        <v>30</v>
      </c>
      <c r="H709" s="1" t="s">
        <v>31</v>
      </c>
      <c r="I709" s="1" t="s">
        <v>30</v>
      </c>
      <c r="J709" s="1" t="s">
        <v>75</v>
      </c>
      <c r="K709" s="1">
        <v>4</v>
      </c>
      <c r="L709" s="1">
        <v>40980</v>
      </c>
      <c r="M709" s="1">
        <v>20</v>
      </c>
      <c r="N709" s="1">
        <v>32784</v>
      </c>
      <c r="O709" s="1">
        <v>23604.48</v>
      </c>
      <c r="P709" s="1">
        <v>302</v>
      </c>
      <c r="Q709" s="1">
        <v>155042.48000000001</v>
      </c>
      <c r="R709" s="1" t="s">
        <v>54</v>
      </c>
      <c r="S709" s="1" t="s">
        <v>63</v>
      </c>
      <c r="T709" s="1" t="s">
        <v>95</v>
      </c>
      <c r="U709" s="1" t="s">
        <v>96</v>
      </c>
      <c r="V709" s="1" t="s">
        <v>57</v>
      </c>
      <c r="W709" s="1">
        <v>10</v>
      </c>
      <c r="X709" s="1" t="s">
        <v>47</v>
      </c>
      <c r="Y709" s="1">
        <v>3</v>
      </c>
      <c r="Z709" s="1" t="s">
        <v>39</v>
      </c>
    </row>
    <row r="710" spans="1:26" x14ac:dyDescent="0.3">
      <c r="A710" s="1" t="s">
        <v>1295</v>
      </c>
      <c r="B710" s="2">
        <v>45777</v>
      </c>
      <c r="C710" s="1" t="s">
        <v>1167</v>
      </c>
      <c r="D710" s="1" t="s">
        <v>89</v>
      </c>
      <c r="E710" s="1" t="s">
        <v>43</v>
      </c>
      <c r="F710" s="1">
        <v>53</v>
      </c>
      <c r="G710" s="1" t="s">
        <v>139</v>
      </c>
      <c r="H710" s="1" t="s">
        <v>31</v>
      </c>
      <c r="I710" s="1" t="s">
        <v>139</v>
      </c>
      <c r="J710" s="1" t="s">
        <v>125</v>
      </c>
      <c r="K710" s="1">
        <v>4</v>
      </c>
      <c r="L710" s="1">
        <v>17805</v>
      </c>
      <c r="M710" s="1">
        <v>5</v>
      </c>
      <c r="N710" s="1">
        <v>3561</v>
      </c>
      <c r="O710" s="1">
        <v>12178.62</v>
      </c>
      <c r="P710" s="1">
        <v>278</v>
      </c>
      <c r="Q710" s="1">
        <v>80115.62</v>
      </c>
      <c r="R710" s="1" t="s">
        <v>33</v>
      </c>
      <c r="S710" s="1" t="s">
        <v>63</v>
      </c>
      <c r="T710" s="1" t="s">
        <v>55</v>
      </c>
      <c r="U710" s="1" t="s">
        <v>56</v>
      </c>
      <c r="V710" s="1" t="s">
        <v>57</v>
      </c>
      <c r="W710" s="1">
        <v>2</v>
      </c>
      <c r="X710" s="1" t="s">
        <v>47</v>
      </c>
      <c r="Y710" s="1">
        <v>4</v>
      </c>
      <c r="Z710" s="1" t="s">
        <v>58</v>
      </c>
    </row>
    <row r="711" spans="1:26" x14ac:dyDescent="0.3">
      <c r="A711" s="1" t="s">
        <v>1296</v>
      </c>
      <c r="B711" s="2">
        <v>46051</v>
      </c>
      <c r="C711" s="1" t="s">
        <v>962</v>
      </c>
      <c r="D711" s="1" t="s">
        <v>50</v>
      </c>
      <c r="E711" s="1" t="s">
        <v>29</v>
      </c>
      <c r="F711" s="1">
        <v>56</v>
      </c>
      <c r="G711" s="1" t="s">
        <v>134</v>
      </c>
      <c r="H711" s="1" t="s">
        <v>31</v>
      </c>
      <c r="I711" s="1" t="s">
        <v>134</v>
      </c>
      <c r="J711" s="1" t="s">
        <v>150</v>
      </c>
      <c r="K711" s="1">
        <v>3</v>
      </c>
      <c r="L711" s="1">
        <v>27997</v>
      </c>
      <c r="M711" s="1">
        <v>10</v>
      </c>
      <c r="N711" s="1">
        <v>8399.1</v>
      </c>
      <c r="O711" s="1">
        <v>13606.54</v>
      </c>
      <c r="P711" s="1">
        <v>430</v>
      </c>
      <c r="Q711" s="1">
        <v>89628.44</v>
      </c>
      <c r="R711" s="1" t="s">
        <v>45</v>
      </c>
      <c r="S711" s="1" t="s">
        <v>34</v>
      </c>
      <c r="T711" s="1" t="s">
        <v>84</v>
      </c>
      <c r="U711" s="1" t="s">
        <v>85</v>
      </c>
      <c r="V711" s="1" t="s">
        <v>86</v>
      </c>
      <c r="W711" s="1">
        <v>7</v>
      </c>
      <c r="X711" s="1" t="s">
        <v>47</v>
      </c>
      <c r="Y711" s="1">
        <v>1</v>
      </c>
      <c r="Z711" s="1" t="s">
        <v>39</v>
      </c>
    </row>
    <row r="712" spans="1:26" x14ac:dyDescent="0.3">
      <c r="A712" s="1" t="s">
        <v>1297</v>
      </c>
      <c r="B712" s="2">
        <v>45854</v>
      </c>
      <c r="C712" s="1" t="s">
        <v>107</v>
      </c>
      <c r="D712" s="1" t="s">
        <v>66</v>
      </c>
      <c r="E712" s="1" t="s">
        <v>29</v>
      </c>
      <c r="F712" s="1">
        <v>58</v>
      </c>
      <c r="G712" s="1" t="s">
        <v>30</v>
      </c>
      <c r="H712" s="1" t="s">
        <v>31</v>
      </c>
      <c r="I712" s="1" t="s">
        <v>30</v>
      </c>
      <c r="J712" s="1" t="s">
        <v>125</v>
      </c>
      <c r="K712" s="1">
        <v>3</v>
      </c>
      <c r="L712" s="1">
        <v>16676</v>
      </c>
      <c r="M712" s="1">
        <v>5</v>
      </c>
      <c r="N712" s="1">
        <v>2501.4</v>
      </c>
      <c r="O712" s="1">
        <v>8554.7900000000009</v>
      </c>
      <c r="P712" s="1">
        <v>328</v>
      </c>
      <c r="Q712" s="1">
        <v>56409.39</v>
      </c>
      <c r="R712" s="1" t="s">
        <v>54</v>
      </c>
      <c r="S712" s="1" t="s">
        <v>63</v>
      </c>
      <c r="T712" s="1" t="s">
        <v>46</v>
      </c>
      <c r="U712" s="1" t="s">
        <v>36</v>
      </c>
      <c r="V712" s="1" t="s">
        <v>37</v>
      </c>
      <c r="W712" s="1">
        <v>1</v>
      </c>
      <c r="X712" s="1" t="s">
        <v>38</v>
      </c>
      <c r="Y712" s="1">
        <v>1</v>
      </c>
      <c r="Z712" s="1" t="s">
        <v>39</v>
      </c>
    </row>
    <row r="713" spans="1:26" x14ac:dyDescent="0.3">
      <c r="A713" s="1" t="s">
        <v>1298</v>
      </c>
      <c r="B713" s="2">
        <v>46046</v>
      </c>
      <c r="C713" s="1" t="s">
        <v>881</v>
      </c>
      <c r="D713" s="1" t="s">
        <v>80</v>
      </c>
      <c r="E713" s="1" t="s">
        <v>43</v>
      </c>
      <c r="F713" s="1">
        <v>50</v>
      </c>
      <c r="G713" s="1" t="s">
        <v>74</v>
      </c>
      <c r="H713" s="1" t="s">
        <v>31</v>
      </c>
      <c r="I713" s="1" t="s">
        <v>74</v>
      </c>
      <c r="J713" s="1" t="s">
        <v>32</v>
      </c>
      <c r="K713" s="1">
        <v>1</v>
      </c>
      <c r="L713" s="1">
        <v>29242</v>
      </c>
      <c r="M713" s="1">
        <v>20</v>
      </c>
      <c r="N713" s="1">
        <v>5848.4</v>
      </c>
      <c r="O713" s="1">
        <v>4210.8500000000004</v>
      </c>
      <c r="P713" s="1">
        <v>375</v>
      </c>
      <c r="Q713" s="1">
        <v>27979.45</v>
      </c>
      <c r="R713" s="1" t="s">
        <v>54</v>
      </c>
      <c r="S713" s="1" t="s">
        <v>63</v>
      </c>
      <c r="T713" s="1" t="s">
        <v>84</v>
      </c>
      <c r="U713" s="1" t="s">
        <v>85</v>
      </c>
      <c r="V713" s="1" t="s">
        <v>86</v>
      </c>
      <c r="W713" s="1">
        <v>3</v>
      </c>
      <c r="X713" s="1" t="s">
        <v>38</v>
      </c>
      <c r="Y713" s="1">
        <v>4</v>
      </c>
      <c r="Z713" s="1" t="s">
        <v>58</v>
      </c>
    </row>
    <row r="714" spans="1:26" x14ac:dyDescent="0.3">
      <c r="A714" s="1" t="s">
        <v>1299</v>
      </c>
      <c r="B714" s="2">
        <v>45858</v>
      </c>
      <c r="C714" s="1" t="s">
        <v>509</v>
      </c>
      <c r="D714" s="1" t="s">
        <v>50</v>
      </c>
      <c r="E714" s="1" t="s">
        <v>29</v>
      </c>
      <c r="F714" s="1">
        <v>41</v>
      </c>
      <c r="G714" s="1" t="s">
        <v>94</v>
      </c>
      <c r="H714" s="1" t="s">
        <v>31</v>
      </c>
      <c r="I714" s="1" t="s">
        <v>94</v>
      </c>
      <c r="J714" s="1" t="s">
        <v>32</v>
      </c>
      <c r="K714" s="1">
        <v>4</v>
      </c>
      <c r="L714" s="1">
        <v>11472</v>
      </c>
      <c r="M714" s="1">
        <v>5</v>
      </c>
      <c r="N714" s="1">
        <v>2294.4</v>
      </c>
      <c r="O714" s="1">
        <v>7846.85</v>
      </c>
      <c r="P714" s="1">
        <v>166</v>
      </c>
      <c r="Q714" s="1">
        <v>51606.45</v>
      </c>
      <c r="R714" s="1" t="s">
        <v>33</v>
      </c>
      <c r="S714" s="1" t="s">
        <v>63</v>
      </c>
      <c r="T714" s="1" t="s">
        <v>46</v>
      </c>
      <c r="U714" s="1" t="s">
        <v>36</v>
      </c>
      <c r="V714" s="1" t="s">
        <v>37</v>
      </c>
      <c r="W714" s="1">
        <v>7</v>
      </c>
      <c r="X714" s="1" t="s">
        <v>47</v>
      </c>
      <c r="Y714" s="1">
        <v>2</v>
      </c>
      <c r="Z714" s="1" t="s">
        <v>58</v>
      </c>
    </row>
    <row r="715" spans="1:26" x14ac:dyDescent="0.3">
      <c r="A715" s="1" t="s">
        <v>1300</v>
      </c>
      <c r="B715" s="2">
        <v>45818</v>
      </c>
      <c r="C715" s="1" t="s">
        <v>1301</v>
      </c>
      <c r="D715" s="1" t="s">
        <v>50</v>
      </c>
      <c r="E715" s="1" t="s">
        <v>29</v>
      </c>
      <c r="F715" s="1">
        <v>59</v>
      </c>
      <c r="G715" s="1" t="s">
        <v>90</v>
      </c>
      <c r="H715" s="1" t="s">
        <v>31</v>
      </c>
      <c r="I715" s="1" t="s">
        <v>90</v>
      </c>
      <c r="J715" s="1" t="s">
        <v>53</v>
      </c>
      <c r="K715" s="1">
        <v>1</v>
      </c>
      <c r="L715" s="1">
        <v>47287</v>
      </c>
      <c r="M715" s="1">
        <v>0</v>
      </c>
      <c r="N715" s="1">
        <v>0</v>
      </c>
      <c r="O715" s="1">
        <v>8511.66</v>
      </c>
      <c r="P715" s="1">
        <v>494</v>
      </c>
      <c r="Q715" s="1">
        <v>56292.66</v>
      </c>
      <c r="R715" s="1" t="s">
        <v>45</v>
      </c>
      <c r="S715" s="1" t="s">
        <v>63</v>
      </c>
      <c r="T715" s="1" t="s">
        <v>76</v>
      </c>
      <c r="U715" s="1" t="s">
        <v>77</v>
      </c>
      <c r="V715" s="1" t="s">
        <v>57</v>
      </c>
      <c r="W715" s="1">
        <v>6</v>
      </c>
      <c r="X715" s="1" t="s">
        <v>38</v>
      </c>
      <c r="Y715" s="1">
        <v>1</v>
      </c>
      <c r="Z715" s="1" t="s">
        <v>58</v>
      </c>
    </row>
    <row r="716" spans="1:26" x14ac:dyDescent="0.3">
      <c r="A716" s="1" t="s">
        <v>1302</v>
      </c>
      <c r="B716" s="2">
        <v>45884</v>
      </c>
      <c r="C716" s="1" t="s">
        <v>447</v>
      </c>
      <c r="D716" s="1" t="s">
        <v>73</v>
      </c>
      <c r="E716" s="1" t="s">
        <v>29</v>
      </c>
      <c r="F716" s="1">
        <v>54</v>
      </c>
      <c r="G716" s="1" t="s">
        <v>67</v>
      </c>
      <c r="H716" s="1" t="s">
        <v>68</v>
      </c>
      <c r="I716" s="1" t="s">
        <v>67</v>
      </c>
      <c r="J716" s="1" t="s">
        <v>62</v>
      </c>
      <c r="K716" s="1">
        <v>1</v>
      </c>
      <c r="L716" s="1">
        <v>27319</v>
      </c>
      <c r="M716" s="1">
        <v>20</v>
      </c>
      <c r="N716" s="1">
        <v>5463.8</v>
      </c>
      <c r="O716" s="1">
        <v>3933.94</v>
      </c>
      <c r="P716" s="1">
        <v>240</v>
      </c>
      <c r="Q716" s="1">
        <v>26029.14</v>
      </c>
      <c r="R716" s="1" t="s">
        <v>54</v>
      </c>
      <c r="S716" s="1" t="s">
        <v>63</v>
      </c>
      <c r="T716" s="1" t="s">
        <v>76</v>
      </c>
      <c r="U716" s="1" t="s">
        <v>77</v>
      </c>
      <c r="V716" s="1" t="s">
        <v>57</v>
      </c>
      <c r="W716" s="1">
        <v>3</v>
      </c>
      <c r="X716" s="1" t="s">
        <v>38</v>
      </c>
      <c r="Y716" s="1">
        <v>2</v>
      </c>
      <c r="Z716" s="1" t="s">
        <v>58</v>
      </c>
    </row>
    <row r="717" spans="1:26" x14ac:dyDescent="0.3">
      <c r="A717" s="1" t="s">
        <v>1303</v>
      </c>
      <c r="B717" s="2">
        <v>45765</v>
      </c>
      <c r="C717" s="1" t="s">
        <v>1304</v>
      </c>
      <c r="D717" s="1" t="s">
        <v>61</v>
      </c>
      <c r="E717" s="1" t="s">
        <v>43</v>
      </c>
      <c r="F717" s="1">
        <v>23</v>
      </c>
      <c r="G717" s="1" t="s">
        <v>134</v>
      </c>
      <c r="H717" s="1" t="s">
        <v>31</v>
      </c>
      <c r="I717" s="1" t="s">
        <v>134</v>
      </c>
      <c r="J717" s="1" t="s">
        <v>150</v>
      </c>
      <c r="K717" s="1">
        <v>2</v>
      </c>
      <c r="L717" s="1">
        <v>23777</v>
      </c>
      <c r="M717" s="1">
        <v>5</v>
      </c>
      <c r="N717" s="1">
        <v>2377.6999999999998</v>
      </c>
      <c r="O717" s="1">
        <v>8131.73</v>
      </c>
      <c r="P717" s="1">
        <v>196</v>
      </c>
      <c r="Q717" s="1">
        <v>53504.03</v>
      </c>
      <c r="R717" s="1" t="s">
        <v>83</v>
      </c>
      <c r="S717" s="1" t="s">
        <v>34</v>
      </c>
      <c r="T717" s="1" t="s">
        <v>84</v>
      </c>
      <c r="U717" s="1" t="s">
        <v>85</v>
      </c>
      <c r="V717" s="1" t="s">
        <v>86</v>
      </c>
      <c r="W717" s="1">
        <v>10</v>
      </c>
      <c r="X717" s="1" t="s">
        <v>47</v>
      </c>
      <c r="Y717" s="1">
        <v>2</v>
      </c>
      <c r="Z717" s="1" t="s">
        <v>47</v>
      </c>
    </row>
    <row r="718" spans="1:26" x14ac:dyDescent="0.3">
      <c r="A718" s="1" t="s">
        <v>1305</v>
      </c>
      <c r="B718" s="2">
        <v>45853</v>
      </c>
      <c r="C718" s="1" t="s">
        <v>1306</v>
      </c>
      <c r="D718" s="1" t="s">
        <v>80</v>
      </c>
      <c r="E718" s="1" t="s">
        <v>43</v>
      </c>
      <c r="F718" s="1">
        <v>49</v>
      </c>
      <c r="G718" s="1" t="s">
        <v>67</v>
      </c>
      <c r="H718" s="1" t="s">
        <v>68</v>
      </c>
      <c r="I718" s="1" t="s">
        <v>67</v>
      </c>
      <c r="J718" s="1" t="s">
        <v>32</v>
      </c>
      <c r="K718" s="1">
        <v>2</v>
      </c>
      <c r="L718" s="1">
        <v>47273</v>
      </c>
      <c r="M718" s="1">
        <v>15</v>
      </c>
      <c r="N718" s="1">
        <v>14181.9</v>
      </c>
      <c r="O718" s="1">
        <v>14465.54</v>
      </c>
      <c r="P718" s="1">
        <v>460</v>
      </c>
      <c r="Q718" s="1">
        <v>95289.64</v>
      </c>
      <c r="R718" s="1" t="s">
        <v>45</v>
      </c>
      <c r="S718" s="1" t="s">
        <v>34</v>
      </c>
      <c r="T718" s="1" t="s">
        <v>76</v>
      </c>
      <c r="U718" s="1" t="s">
        <v>77</v>
      </c>
      <c r="V718" s="1" t="s">
        <v>57</v>
      </c>
      <c r="W718" s="1">
        <v>2</v>
      </c>
      <c r="X718" s="1" t="s">
        <v>47</v>
      </c>
      <c r="Y718" s="1">
        <v>5</v>
      </c>
      <c r="Z718" s="1" t="s">
        <v>91</v>
      </c>
    </row>
    <row r="719" spans="1:26" x14ac:dyDescent="0.3">
      <c r="A719" s="1" t="s">
        <v>1307</v>
      </c>
      <c r="B719" s="2">
        <v>45948</v>
      </c>
      <c r="C719" s="1" t="s">
        <v>133</v>
      </c>
      <c r="D719" s="1" t="s">
        <v>50</v>
      </c>
      <c r="E719" s="1" t="s">
        <v>29</v>
      </c>
      <c r="F719" s="1">
        <v>55</v>
      </c>
      <c r="G719" s="1" t="s">
        <v>139</v>
      </c>
      <c r="H719" s="1" t="s">
        <v>31</v>
      </c>
      <c r="I719" s="1" t="s">
        <v>139</v>
      </c>
      <c r="J719" s="1" t="s">
        <v>69</v>
      </c>
      <c r="K719" s="1">
        <v>4</v>
      </c>
      <c r="L719" s="1">
        <v>5695</v>
      </c>
      <c r="M719" s="1">
        <v>5</v>
      </c>
      <c r="N719" s="1">
        <v>1139</v>
      </c>
      <c r="O719" s="1">
        <v>3895.38</v>
      </c>
      <c r="P719" s="1">
        <v>183</v>
      </c>
      <c r="Q719" s="1">
        <v>25719.38</v>
      </c>
      <c r="R719" s="1" t="s">
        <v>45</v>
      </c>
      <c r="S719" s="1" t="s">
        <v>63</v>
      </c>
      <c r="T719" s="1" t="s">
        <v>70</v>
      </c>
      <c r="U719" s="1" t="s">
        <v>56</v>
      </c>
      <c r="V719" s="1" t="s">
        <v>57</v>
      </c>
      <c r="W719" s="1">
        <v>9</v>
      </c>
      <c r="X719" s="1" t="s">
        <v>38</v>
      </c>
      <c r="Y719" s="1">
        <v>4</v>
      </c>
      <c r="Z719" s="1" t="s">
        <v>91</v>
      </c>
    </row>
    <row r="720" spans="1:26" x14ac:dyDescent="0.3">
      <c r="A720" s="1" t="s">
        <v>1308</v>
      </c>
      <c r="B720" s="2">
        <v>46032</v>
      </c>
      <c r="C720" s="1" t="s">
        <v>1309</v>
      </c>
      <c r="D720" s="1" t="s">
        <v>28</v>
      </c>
      <c r="E720" s="1" t="s">
        <v>29</v>
      </c>
      <c r="F720" s="1">
        <v>33</v>
      </c>
      <c r="G720" s="1" t="s">
        <v>30</v>
      </c>
      <c r="H720" s="1" t="s">
        <v>31</v>
      </c>
      <c r="I720" s="1" t="s">
        <v>30</v>
      </c>
      <c r="J720" s="1" t="s">
        <v>62</v>
      </c>
      <c r="K720" s="1">
        <v>4</v>
      </c>
      <c r="L720" s="1">
        <v>25749</v>
      </c>
      <c r="M720" s="1">
        <v>0</v>
      </c>
      <c r="N720" s="1">
        <v>0</v>
      </c>
      <c r="O720" s="1">
        <v>18539.28</v>
      </c>
      <c r="P720" s="1">
        <v>488</v>
      </c>
      <c r="Q720" s="1">
        <v>122023.28</v>
      </c>
      <c r="R720" s="1" t="s">
        <v>45</v>
      </c>
      <c r="S720" s="1" t="s">
        <v>63</v>
      </c>
      <c r="T720" s="1" t="s">
        <v>46</v>
      </c>
      <c r="U720" s="1" t="s">
        <v>36</v>
      </c>
      <c r="V720" s="1" t="s">
        <v>37</v>
      </c>
      <c r="W720" s="1">
        <v>6</v>
      </c>
      <c r="X720" s="1" t="s">
        <v>47</v>
      </c>
      <c r="Y720" s="1">
        <v>1</v>
      </c>
      <c r="Z720" s="1" t="s">
        <v>47</v>
      </c>
    </row>
    <row r="721" spans="1:26" x14ac:dyDescent="0.3">
      <c r="A721" s="1" t="s">
        <v>1310</v>
      </c>
      <c r="B721" s="2">
        <v>46094</v>
      </c>
      <c r="C721" s="1" t="s">
        <v>1117</v>
      </c>
      <c r="D721" s="1" t="s">
        <v>73</v>
      </c>
      <c r="E721" s="1" t="s">
        <v>43</v>
      </c>
      <c r="F721" s="1">
        <v>48</v>
      </c>
      <c r="G721" s="1" t="s">
        <v>67</v>
      </c>
      <c r="H721" s="1" t="s">
        <v>68</v>
      </c>
      <c r="I721" s="1" t="s">
        <v>67</v>
      </c>
      <c r="J721" s="1" t="s">
        <v>53</v>
      </c>
      <c r="K721" s="1">
        <v>3</v>
      </c>
      <c r="L721" s="1">
        <v>20383</v>
      </c>
      <c r="M721" s="1">
        <v>20</v>
      </c>
      <c r="N721" s="1">
        <v>12229.8</v>
      </c>
      <c r="O721" s="1">
        <v>8805.4599999999991</v>
      </c>
      <c r="P721" s="1">
        <v>320</v>
      </c>
      <c r="Q721" s="1">
        <v>58044.66</v>
      </c>
      <c r="R721" s="1" t="s">
        <v>83</v>
      </c>
      <c r="S721" s="1" t="s">
        <v>63</v>
      </c>
      <c r="T721" s="1" t="s">
        <v>35</v>
      </c>
      <c r="U721" s="1" t="s">
        <v>36</v>
      </c>
      <c r="V721" s="1" t="s">
        <v>37</v>
      </c>
      <c r="W721" s="1">
        <v>1</v>
      </c>
      <c r="X721" s="1" t="s">
        <v>47</v>
      </c>
      <c r="Y721" s="1">
        <v>2</v>
      </c>
      <c r="Z721" s="1" t="s">
        <v>39</v>
      </c>
    </row>
    <row r="722" spans="1:26" x14ac:dyDescent="0.3">
      <c r="A722" s="1" t="s">
        <v>1311</v>
      </c>
      <c r="B722" s="2">
        <v>45809</v>
      </c>
      <c r="C722" s="1" t="s">
        <v>660</v>
      </c>
      <c r="D722" s="1" t="s">
        <v>50</v>
      </c>
      <c r="E722" s="1" t="s">
        <v>43</v>
      </c>
      <c r="F722" s="1">
        <v>34</v>
      </c>
      <c r="G722" s="1" t="s">
        <v>44</v>
      </c>
      <c r="H722" s="1" t="s">
        <v>31</v>
      </c>
      <c r="I722" s="1" t="s">
        <v>44</v>
      </c>
      <c r="J722" s="1" t="s">
        <v>32</v>
      </c>
      <c r="K722" s="1">
        <v>4</v>
      </c>
      <c r="L722" s="1">
        <v>44550</v>
      </c>
      <c r="M722" s="1">
        <v>10</v>
      </c>
      <c r="N722" s="1">
        <v>17820</v>
      </c>
      <c r="O722" s="1">
        <v>28868.400000000001</v>
      </c>
      <c r="P722" s="1">
        <v>449</v>
      </c>
      <c r="Q722" s="1">
        <v>189697.4</v>
      </c>
      <c r="R722" s="1" t="s">
        <v>33</v>
      </c>
      <c r="S722" s="1" t="s">
        <v>63</v>
      </c>
      <c r="T722" s="1" t="s">
        <v>35</v>
      </c>
      <c r="U722" s="1" t="s">
        <v>36</v>
      </c>
      <c r="V722" s="1" t="s">
        <v>37</v>
      </c>
      <c r="W722" s="1">
        <v>7</v>
      </c>
      <c r="X722" s="1" t="s">
        <v>38</v>
      </c>
      <c r="Y722" s="1">
        <v>3</v>
      </c>
      <c r="Z722" s="1" t="s">
        <v>47</v>
      </c>
    </row>
    <row r="723" spans="1:26" x14ac:dyDescent="0.3">
      <c r="A723" s="1" t="s">
        <v>1312</v>
      </c>
      <c r="B723" s="2">
        <v>45988</v>
      </c>
      <c r="C723" s="1" t="s">
        <v>1313</v>
      </c>
      <c r="D723" s="1" t="s">
        <v>61</v>
      </c>
      <c r="E723" s="1" t="s">
        <v>43</v>
      </c>
      <c r="F723" s="1">
        <v>35</v>
      </c>
      <c r="G723" s="1" t="s">
        <v>139</v>
      </c>
      <c r="H723" s="1" t="s">
        <v>31</v>
      </c>
      <c r="I723" s="1" t="s">
        <v>139</v>
      </c>
      <c r="J723" s="1" t="s">
        <v>112</v>
      </c>
      <c r="K723" s="1">
        <v>3</v>
      </c>
      <c r="L723" s="1">
        <v>17487</v>
      </c>
      <c r="M723" s="1">
        <v>20</v>
      </c>
      <c r="N723" s="1">
        <v>10492.2</v>
      </c>
      <c r="O723" s="1">
        <v>7554.38</v>
      </c>
      <c r="P723" s="1">
        <v>447</v>
      </c>
      <c r="Q723" s="1">
        <v>49970.18</v>
      </c>
      <c r="R723" s="1" t="s">
        <v>83</v>
      </c>
      <c r="S723" s="1" t="s">
        <v>34</v>
      </c>
      <c r="T723" s="1" t="s">
        <v>70</v>
      </c>
      <c r="U723" s="1" t="s">
        <v>56</v>
      </c>
      <c r="V723" s="1" t="s">
        <v>57</v>
      </c>
      <c r="W723" s="1">
        <v>10</v>
      </c>
      <c r="X723" s="1" t="s">
        <v>38</v>
      </c>
      <c r="Y723" s="1">
        <v>5</v>
      </c>
      <c r="Z723" s="1" t="s">
        <v>39</v>
      </c>
    </row>
    <row r="724" spans="1:26" x14ac:dyDescent="0.3">
      <c r="A724" s="1" t="s">
        <v>1314</v>
      </c>
      <c r="B724" s="2">
        <v>46017</v>
      </c>
      <c r="C724" s="1" t="s">
        <v>1239</v>
      </c>
      <c r="D724" s="1" t="s">
        <v>73</v>
      </c>
      <c r="E724" s="1" t="s">
        <v>29</v>
      </c>
      <c r="F724" s="1">
        <v>20</v>
      </c>
      <c r="G724" s="1" t="s">
        <v>44</v>
      </c>
      <c r="H724" s="1" t="s">
        <v>31</v>
      </c>
      <c r="I724" s="1" t="s">
        <v>44</v>
      </c>
      <c r="J724" s="1" t="s">
        <v>75</v>
      </c>
      <c r="K724" s="1">
        <v>3</v>
      </c>
      <c r="L724" s="1">
        <v>32893</v>
      </c>
      <c r="M724" s="1">
        <v>5</v>
      </c>
      <c r="N724" s="1">
        <v>4933.95</v>
      </c>
      <c r="O724" s="1">
        <v>16874.11</v>
      </c>
      <c r="P724" s="1">
        <v>386</v>
      </c>
      <c r="Q724" s="1">
        <v>111005.16</v>
      </c>
      <c r="R724" s="1" t="s">
        <v>54</v>
      </c>
      <c r="S724" s="1" t="s">
        <v>63</v>
      </c>
      <c r="T724" s="1" t="s">
        <v>35</v>
      </c>
      <c r="U724" s="1" t="s">
        <v>36</v>
      </c>
      <c r="V724" s="1" t="s">
        <v>37</v>
      </c>
      <c r="W724" s="1">
        <v>7</v>
      </c>
      <c r="X724" s="1" t="s">
        <v>38</v>
      </c>
      <c r="Y724" s="1">
        <v>4</v>
      </c>
      <c r="Z724" s="1" t="s">
        <v>47</v>
      </c>
    </row>
    <row r="725" spans="1:26" x14ac:dyDescent="0.3">
      <c r="A725" s="1" t="s">
        <v>1315</v>
      </c>
      <c r="B725" s="2">
        <v>45898</v>
      </c>
      <c r="C725" s="1" t="s">
        <v>1167</v>
      </c>
      <c r="D725" s="1" t="s">
        <v>80</v>
      </c>
      <c r="E725" s="1" t="s">
        <v>43</v>
      </c>
      <c r="F725" s="1">
        <v>33</v>
      </c>
      <c r="G725" s="1" t="s">
        <v>99</v>
      </c>
      <c r="H725" s="1" t="s">
        <v>52</v>
      </c>
      <c r="I725" s="1" t="s">
        <v>99</v>
      </c>
      <c r="J725" s="1" t="s">
        <v>112</v>
      </c>
      <c r="K725" s="1">
        <v>2</v>
      </c>
      <c r="L725" s="1">
        <v>48999</v>
      </c>
      <c r="M725" s="1">
        <v>10</v>
      </c>
      <c r="N725" s="1">
        <v>9799.7999999999993</v>
      </c>
      <c r="O725" s="1">
        <v>15875.68</v>
      </c>
      <c r="P725" s="1">
        <v>136</v>
      </c>
      <c r="Q725" s="1">
        <v>104209.88</v>
      </c>
      <c r="R725" s="1" t="s">
        <v>54</v>
      </c>
      <c r="S725" s="1" t="s">
        <v>63</v>
      </c>
      <c r="T725" s="1" t="s">
        <v>35</v>
      </c>
      <c r="U725" s="1" t="s">
        <v>36</v>
      </c>
      <c r="V725" s="1" t="s">
        <v>37</v>
      </c>
      <c r="W725" s="1">
        <v>7</v>
      </c>
      <c r="X725" s="1" t="s">
        <v>38</v>
      </c>
      <c r="Y725" s="1">
        <v>1</v>
      </c>
      <c r="Z725" s="1" t="s">
        <v>39</v>
      </c>
    </row>
    <row r="726" spans="1:26" x14ac:dyDescent="0.3">
      <c r="A726" s="1" t="s">
        <v>1316</v>
      </c>
      <c r="B726" s="2">
        <v>45788</v>
      </c>
      <c r="C726" s="1" t="s">
        <v>1317</v>
      </c>
      <c r="D726" s="1" t="s">
        <v>80</v>
      </c>
      <c r="E726" s="1" t="s">
        <v>43</v>
      </c>
      <c r="F726" s="1">
        <v>54</v>
      </c>
      <c r="G726" s="1" t="s">
        <v>139</v>
      </c>
      <c r="H726" s="1" t="s">
        <v>31</v>
      </c>
      <c r="I726" s="1" t="s">
        <v>139</v>
      </c>
      <c r="J726" s="1" t="s">
        <v>201</v>
      </c>
      <c r="K726" s="1">
        <v>5</v>
      </c>
      <c r="L726" s="1">
        <v>21651</v>
      </c>
      <c r="M726" s="1">
        <v>15</v>
      </c>
      <c r="N726" s="1">
        <v>16238.25</v>
      </c>
      <c r="O726" s="1">
        <v>16563.009999999998</v>
      </c>
      <c r="P726" s="1">
        <v>226</v>
      </c>
      <c r="Q726" s="1">
        <v>108805.75999999999</v>
      </c>
      <c r="R726" s="1" t="s">
        <v>54</v>
      </c>
      <c r="S726" s="1" t="s">
        <v>34</v>
      </c>
      <c r="T726" s="1" t="s">
        <v>70</v>
      </c>
      <c r="U726" s="1" t="s">
        <v>56</v>
      </c>
      <c r="V726" s="1" t="s">
        <v>57</v>
      </c>
      <c r="W726" s="1">
        <v>2</v>
      </c>
      <c r="X726" s="1" t="s">
        <v>38</v>
      </c>
      <c r="Y726" s="1">
        <v>3</v>
      </c>
      <c r="Z726" s="1" t="s">
        <v>39</v>
      </c>
    </row>
    <row r="727" spans="1:26" x14ac:dyDescent="0.3">
      <c r="A727" s="1" t="s">
        <v>1318</v>
      </c>
      <c r="B727" s="2">
        <v>46112</v>
      </c>
      <c r="C727" s="1" t="s">
        <v>609</v>
      </c>
      <c r="D727" s="1" t="s">
        <v>108</v>
      </c>
      <c r="E727" s="1" t="s">
        <v>43</v>
      </c>
      <c r="F727" s="1">
        <v>21</v>
      </c>
      <c r="G727" s="1" t="s">
        <v>134</v>
      </c>
      <c r="H727" s="1" t="s">
        <v>31</v>
      </c>
      <c r="I727" s="1" t="s">
        <v>134</v>
      </c>
      <c r="J727" s="1" t="s">
        <v>75</v>
      </c>
      <c r="K727" s="1">
        <v>3</v>
      </c>
      <c r="L727" s="1">
        <v>33508</v>
      </c>
      <c r="M727" s="1">
        <v>10</v>
      </c>
      <c r="N727" s="1">
        <v>10052.4</v>
      </c>
      <c r="O727" s="1">
        <v>16284.89</v>
      </c>
      <c r="P727" s="1">
        <v>103</v>
      </c>
      <c r="Q727" s="1">
        <v>106859.49</v>
      </c>
      <c r="R727" s="1" t="s">
        <v>33</v>
      </c>
      <c r="S727" s="1" t="s">
        <v>63</v>
      </c>
      <c r="T727" s="1" t="s">
        <v>46</v>
      </c>
      <c r="U727" s="1" t="s">
        <v>36</v>
      </c>
      <c r="V727" s="1" t="s">
        <v>37</v>
      </c>
      <c r="W727" s="1">
        <v>5</v>
      </c>
      <c r="X727" s="1" t="s">
        <v>47</v>
      </c>
      <c r="Y727" s="1">
        <v>1</v>
      </c>
      <c r="Z727" s="1" t="s">
        <v>47</v>
      </c>
    </row>
    <row r="728" spans="1:26" x14ac:dyDescent="0.3">
      <c r="A728" s="1" t="s">
        <v>1319</v>
      </c>
      <c r="B728" s="2">
        <v>45924</v>
      </c>
      <c r="C728" s="1" t="s">
        <v>906</v>
      </c>
      <c r="D728" s="1" t="s">
        <v>42</v>
      </c>
      <c r="E728" s="1" t="s">
        <v>29</v>
      </c>
      <c r="F728" s="1">
        <v>41</v>
      </c>
      <c r="G728" s="1" t="s">
        <v>139</v>
      </c>
      <c r="H728" s="1" t="s">
        <v>31</v>
      </c>
      <c r="I728" s="1" t="s">
        <v>139</v>
      </c>
      <c r="J728" s="1" t="s">
        <v>150</v>
      </c>
      <c r="K728" s="1">
        <v>2</v>
      </c>
      <c r="L728" s="1">
        <v>43281</v>
      </c>
      <c r="M728" s="1">
        <v>5</v>
      </c>
      <c r="N728" s="1">
        <v>4328.1000000000004</v>
      </c>
      <c r="O728" s="1">
        <v>14802.1</v>
      </c>
      <c r="P728" s="1">
        <v>87</v>
      </c>
      <c r="Q728" s="1">
        <v>97123</v>
      </c>
      <c r="R728" s="1" t="s">
        <v>45</v>
      </c>
      <c r="S728" s="1" t="s">
        <v>63</v>
      </c>
      <c r="T728" s="1" t="s">
        <v>35</v>
      </c>
      <c r="U728" s="1" t="s">
        <v>36</v>
      </c>
      <c r="V728" s="1" t="s">
        <v>37</v>
      </c>
      <c r="W728" s="1">
        <v>7</v>
      </c>
      <c r="X728" s="1" t="s">
        <v>47</v>
      </c>
      <c r="Y728" s="1">
        <v>1</v>
      </c>
      <c r="Z728" s="1" t="s">
        <v>47</v>
      </c>
    </row>
    <row r="729" spans="1:26" x14ac:dyDescent="0.3">
      <c r="A729" s="1" t="s">
        <v>1320</v>
      </c>
      <c r="B729" s="2">
        <v>45852</v>
      </c>
      <c r="C729" s="1" t="s">
        <v>851</v>
      </c>
      <c r="D729" s="1" t="s">
        <v>66</v>
      </c>
      <c r="E729" s="1" t="s">
        <v>29</v>
      </c>
      <c r="F729" s="1">
        <v>30</v>
      </c>
      <c r="G729" s="1" t="s">
        <v>30</v>
      </c>
      <c r="H729" s="1" t="s">
        <v>31</v>
      </c>
      <c r="I729" s="1" t="s">
        <v>30</v>
      </c>
      <c r="J729" s="1" t="s">
        <v>112</v>
      </c>
      <c r="K729" s="1">
        <v>2</v>
      </c>
      <c r="L729" s="1">
        <v>41547</v>
      </c>
      <c r="M729" s="1">
        <v>10</v>
      </c>
      <c r="N729" s="1">
        <v>8309.4</v>
      </c>
      <c r="O729" s="1">
        <v>13461.23</v>
      </c>
      <c r="P729" s="1">
        <v>154</v>
      </c>
      <c r="Q729" s="1">
        <v>88399.83</v>
      </c>
      <c r="R729" s="1" t="s">
        <v>45</v>
      </c>
      <c r="S729" s="1" t="s">
        <v>63</v>
      </c>
      <c r="T729" s="1" t="s">
        <v>70</v>
      </c>
      <c r="U729" s="1" t="s">
        <v>56</v>
      </c>
      <c r="V729" s="1" t="s">
        <v>57</v>
      </c>
      <c r="W729" s="1">
        <v>4</v>
      </c>
      <c r="X729" s="1" t="s">
        <v>38</v>
      </c>
      <c r="Y729" s="1">
        <v>3</v>
      </c>
      <c r="Z729" s="1" t="s">
        <v>58</v>
      </c>
    </row>
    <row r="730" spans="1:26" x14ac:dyDescent="0.3">
      <c r="A730" s="1" t="s">
        <v>1321</v>
      </c>
      <c r="B730" s="2">
        <v>45974</v>
      </c>
      <c r="C730" s="1" t="s">
        <v>1322</v>
      </c>
      <c r="D730" s="1" t="s">
        <v>61</v>
      </c>
      <c r="E730" s="1" t="s">
        <v>29</v>
      </c>
      <c r="F730" s="1">
        <v>26</v>
      </c>
      <c r="G730" s="1" t="s">
        <v>74</v>
      </c>
      <c r="H730" s="1" t="s">
        <v>31</v>
      </c>
      <c r="I730" s="1" t="s">
        <v>74</v>
      </c>
      <c r="J730" s="1" t="s">
        <v>125</v>
      </c>
      <c r="K730" s="1">
        <v>3</v>
      </c>
      <c r="L730" s="1">
        <v>27978</v>
      </c>
      <c r="M730" s="1">
        <v>5</v>
      </c>
      <c r="N730" s="1">
        <v>4196.7</v>
      </c>
      <c r="O730" s="1">
        <v>14352.71</v>
      </c>
      <c r="P730" s="1">
        <v>109</v>
      </c>
      <c r="Q730" s="1">
        <v>94199.01</v>
      </c>
      <c r="R730" s="1" t="s">
        <v>54</v>
      </c>
      <c r="S730" s="1" t="s">
        <v>63</v>
      </c>
      <c r="T730" s="1" t="s">
        <v>35</v>
      </c>
      <c r="U730" s="1" t="s">
        <v>36</v>
      </c>
      <c r="V730" s="1" t="s">
        <v>37</v>
      </c>
      <c r="W730" s="1">
        <v>7</v>
      </c>
      <c r="X730" s="1" t="s">
        <v>38</v>
      </c>
      <c r="Y730" s="1">
        <v>2</v>
      </c>
      <c r="Z730" s="1" t="s">
        <v>47</v>
      </c>
    </row>
    <row r="731" spans="1:26" x14ac:dyDescent="0.3">
      <c r="A731" s="1" t="s">
        <v>1323</v>
      </c>
      <c r="B731" s="2">
        <v>45962</v>
      </c>
      <c r="C731" s="1" t="s">
        <v>1324</v>
      </c>
      <c r="D731" s="1" t="s">
        <v>61</v>
      </c>
      <c r="E731" s="1" t="s">
        <v>43</v>
      </c>
      <c r="F731" s="1">
        <v>28</v>
      </c>
      <c r="G731" s="1" t="s">
        <v>134</v>
      </c>
      <c r="H731" s="1" t="s">
        <v>31</v>
      </c>
      <c r="I731" s="1" t="s">
        <v>134</v>
      </c>
      <c r="J731" s="1" t="s">
        <v>201</v>
      </c>
      <c r="K731" s="1">
        <v>1</v>
      </c>
      <c r="L731" s="1">
        <v>45792</v>
      </c>
      <c r="M731" s="1">
        <v>20</v>
      </c>
      <c r="N731" s="1">
        <v>9158.4</v>
      </c>
      <c r="O731" s="1">
        <v>6594.05</v>
      </c>
      <c r="P731" s="1">
        <v>224</v>
      </c>
      <c r="Q731" s="1">
        <v>43451.65</v>
      </c>
      <c r="R731" s="1" t="s">
        <v>33</v>
      </c>
      <c r="S731" s="1" t="s">
        <v>63</v>
      </c>
      <c r="T731" s="1" t="s">
        <v>95</v>
      </c>
      <c r="U731" s="1" t="s">
        <v>96</v>
      </c>
      <c r="V731" s="1" t="s">
        <v>57</v>
      </c>
      <c r="W731" s="1">
        <v>6</v>
      </c>
      <c r="X731" s="1" t="s">
        <v>47</v>
      </c>
      <c r="Y731" s="1">
        <v>3</v>
      </c>
      <c r="Z731" s="1" t="s">
        <v>58</v>
      </c>
    </row>
    <row r="732" spans="1:26" x14ac:dyDescent="0.3">
      <c r="A732" s="1" t="s">
        <v>1325</v>
      </c>
      <c r="B732" s="2">
        <v>46030</v>
      </c>
      <c r="C732" s="1" t="s">
        <v>223</v>
      </c>
      <c r="D732" s="1" t="s">
        <v>61</v>
      </c>
      <c r="E732" s="1" t="s">
        <v>29</v>
      </c>
      <c r="F732" s="1">
        <v>46</v>
      </c>
      <c r="G732" s="1" t="s">
        <v>99</v>
      </c>
      <c r="H732" s="1" t="s">
        <v>52</v>
      </c>
      <c r="I732" s="1" t="s">
        <v>99</v>
      </c>
      <c r="J732" s="1" t="s">
        <v>32</v>
      </c>
      <c r="K732" s="1">
        <v>3</v>
      </c>
      <c r="L732" s="1">
        <v>42112</v>
      </c>
      <c r="M732" s="1">
        <v>10</v>
      </c>
      <c r="N732" s="1">
        <v>12633.6</v>
      </c>
      <c r="O732" s="1">
        <v>20466.43</v>
      </c>
      <c r="P732" s="1">
        <v>357</v>
      </c>
      <c r="Q732" s="1">
        <v>134525.82999999999</v>
      </c>
      <c r="R732" s="1" t="s">
        <v>54</v>
      </c>
      <c r="S732" s="1" t="s">
        <v>34</v>
      </c>
      <c r="T732" s="1" t="s">
        <v>95</v>
      </c>
      <c r="U732" s="1" t="s">
        <v>96</v>
      </c>
      <c r="V732" s="1" t="s">
        <v>57</v>
      </c>
      <c r="W732" s="1">
        <v>8</v>
      </c>
      <c r="X732" s="1" t="s">
        <v>38</v>
      </c>
      <c r="Y732" s="1">
        <v>5</v>
      </c>
      <c r="Z732" s="1" t="s">
        <v>91</v>
      </c>
    </row>
    <row r="733" spans="1:26" x14ac:dyDescent="0.3">
      <c r="A733" s="1" t="s">
        <v>1326</v>
      </c>
      <c r="B733" s="2">
        <v>45963</v>
      </c>
      <c r="C733" s="1" t="s">
        <v>983</v>
      </c>
      <c r="D733" s="1" t="s">
        <v>89</v>
      </c>
      <c r="E733" s="1" t="s">
        <v>43</v>
      </c>
      <c r="F733" s="1">
        <v>42</v>
      </c>
      <c r="G733" s="1" t="s">
        <v>99</v>
      </c>
      <c r="H733" s="1" t="s">
        <v>52</v>
      </c>
      <c r="I733" s="1" t="s">
        <v>99</v>
      </c>
      <c r="J733" s="1" t="s">
        <v>150</v>
      </c>
      <c r="K733" s="1">
        <v>1</v>
      </c>
      <c r="L733" s="1">
        <v>9485</v>
      </c>
      <c r="M733" s="1">
        <v>15</v>
      </c>
      <c r="N733" s="1">
        <v>1422.75</v>
      </c>
      <c r="O733" s="1">
        <v>1451.2</v>
      </c>
      <c r="P733" s="1">
        <v>167</v>
      </c>
      <c r="Q733" s="1">
        <v>9680.4500000000007</v>
      </c>
      <c r="R733" s="1" t="s">
        <v>33</v>
      </c>
      <c r="S733" s="1" t="s">
        <v>34</v>
      </c>
      <c r="T733" s="1" t="s">
        <v>84</v>
      </c>
      <c r="U733" s="1" t="s">
        <v>85</v>
      </c>
      <c r="V733" s="1" t="s">
        <v>86</v>
      </c>
      <c r="W733" s="1">
        <v>1</v>
      </c>
      <c r="X733" s="1" t="s">
        <v>38</v>
      </c>
      <c r="Y733" s="1">
        <v>1</v>
      </c>
      <c r="Z733" s="1" t="s">
        <v>58</v>
      </c>
    </row>
    <row r="734" spans="1:26" x14ac:dyDescent="0.3">
      <c r="A734" s="1" t="s">
        <v>1327</v>
      </c>
      <c r="B734" s="2">
        <v>45891</v>
      </c>
      <c r="C734" s="1" t="s">
        <v>1328</v>
      </c>
      <c r="D734" s="1" t="s">
        <v>28</v>
      </c>
      <c r="E734" s="1" t="s">
        <v>43</v>
      </c>
      <c r="F734" s="1">
        <v>53</v>
      </c>
      <c r="G734" s="1" t="s">
        <v>30</v>
      </c>
      <c r="H734" s="1" t="s">
        <v>31</v>
      </c>
      <c r="I734" s="1" t="s">
        <v>30</v>
      </c>
      <c r="J734" s="1" t="s">
        <v>102</v>
      </c>
      <c r="K734" s="1">
        <v>3</v>
      </c>
      <c r="L734" s="1">
        <v>3588</v>
      </c>
      <c r="M734" s="1">
        <v>15</v>
      </c>
      <c r="N734" s="1">
        <v>1614.6</v>
      </c>
      <c r="O734" s="1">
        <v>1646.89</v>
      </c>
      <c r="P734" s="1">
        <v>206</v>
      </c>
      <c r="Q734" s="1">
        <v>11002.29</v>
      </c>
      <c r="R734" s="1" t="s">
        <v>54</v>
      </c>
      <c r="S734" s="1" t="s">
        <v>34</v>
      </c>
      <c r="T734" s="1" t="s">
        <v>103</v>
      </c>
      <c r="U734" s="1" t="s">
        <v>103</v>
      </c>
      <c r="V734" s="1" t="s">
        <v>57</v>
      </c>
      <c r="W734" s="1">
        <v>10</v>
      </c>
      <c r="X734" s="1" t="s">
        <v>38</v>
      </c>
      <c r="Y734" s="1">
        <v>4</v>
      </c>
      <c r="Z734" s="1" t="s">
        <v>47</v>
      </c>
    </row>
    <row r="735" spans="1:26" x14ac:dyDescent="0.3">
      <c r="A735" s="1" t="s">
        <v>1329</v>
      </c>
      <c r="B735" s="2">
        <v>45848</v>
      </c>
      <c r="C735" s="1" t="s">
        <v>824</v>
      </c>
      <c r="D735" s="1" t="s">
        <v>61</v>
      </c>
      <c r="E735" s="1" t="s">
        <v>43</v>
      </c>
      <c r="F735" s="1">
        <v>56</v>
      </c>
      <c r="G735" s="1" t="s">
        <v>51</v>
      </c>
      <c r="H735" s="1" t="s">
        <v>52</v>
      </c>
      <c r="I735" s="1" t="s">
        <v>51</v>
      </c>
      <c r="J735" s="1" t="s">
        <v>53</v>
      </c>
      <c r="K735" s="1">
        <v>1</v>
      </c>
      <c r="L735" s="1">
        <v>44046</v>
      </c>
      <c r="M735" s="1">
        <v>20</v>
      </c>
      <c r="N735" s="1">
        <v>8809.2000000000007</v>
      </c>
      <c r="O735" s="1">
        <v>6342.62</v>
      </c>
      <c r="P735" s="1">
        <v>311</v>
      </c>
      <c r="Q735" s="1">
        <v>41890.42</v>
      </c>
      <c r="R735" s="1" t="s">
        <v>54</v>
      </c>
      <c r="S735" s="1" t="s">
        <v>34</v>
      </c>
      <c r="T735" s="1" t="s">
        <v>103</v>
      </c>
      <c r="U735" s="1" t="s">
        <v>103</v>
      </c>
      <c r="V735" s="1" t="s">
        <v>57</v>
      </c>
      <c r="W735" s="1">
        <v>5</v>
      </c>
      <c r="X735" s="1" t="s">
        <v>47</v>
      </c>
      <c r="Y735" s="1">
        <v>4</v>
      </c>
      <c r="Z735" s="1" t="s">
        <v>91</v>
      </c>
    </row>
    <row r="736" spans="1:26" x14ac:dyDescent="0.3">
      <c r="A736" s="1" t="s">
        <v>1330</v>
      </c>
      <c r="B736" s="2">
        <v>45970</v>
      </c>
      <c r="C736" s="1" t="s">
        <v>1331</v>
      </c>
      <c r="D736" s="1" t="s">
        <v>89</v>
      </c>
      <c r="E736" s="1" t="s">
        <v>43</v>
      </c>
      <c r="F736" s="1">
        <v>25</v>
      </c>
      <c r="G736" s="1" t="s">
        <v>51</v>
      </c>
      <c r="H736" s="1" t="s">
        <v>52</v>
      </c>
      <c r="I736" s="1" t="s">
        <v>51</v>
      </c>
      <c r="J736" s="1" t="s">
        <v>150</v>
      </c>
      <c r="K736" s="1">
        <v>5</v>
      </c>
      <c r="L736" s="1">
        <v>6165</v>
      </c>
      <c r="M736" s="1">
        <v>20</v>
      </c>
      <c r="N736" s="1">
        <v>6165</v>
      </c>
      <c r="O736" s="1">
        <v>4438.8</v>
      </c>
      <c r="P736" s="1">
        <v>424</v>
      </c>
      <c r="Q736" s="1">
        <v>29522.799999999999</v>
      </c>
      <c r="R736" s="1" t="s">
        <v>83</v>
      </c>
      <c r="S736" s="1" t="s">
        <v>34</v>
      </c>
      <c r="T736" s="1" t="s">
        <v>103</v>
      </c>
      <c r="U736" s="1" t="s">
        <v>103</v>
      </c>
      <c r="V736" s="1" t="s">
        <v>57</v>
      </c>
      <c r="W736" s="1">
        <v>8</v>
      </c>
      <c r="X736" s="1" t="s">
        <v>38</v>
      </c>
      <c r="Y736" s="1">
        <v>5</v>
      </c>
      <c r="Z736" s="1" t="s">
        <v>58</v>
      </c>
    </row>
    <row r="737" spans="1:26" x14ac:dyDescent="0.3">
      <c r="A737" s="1" t="s">
        <v>1332</v>
      </c>
      <c r="B737" s="2">
        <v>45939</v>
      </c>
      <c r="C737" s="1" t="s">
        <v>948</v>
      </c>
      <c r="D737" s="1" t="s">
        <v>80</v>
      </c>
      <c r="E737" s="1" t="s">
        <v>29</v>
      </c>
      <c r="F737" s="1">
        <v>59</v>
      </c>
      <c r="G737" s="1" t="s">
        <v>90</v>
      </c>
      <c r="H737" s="1" t="s">
        <v>31</v>
      </c>
      <c r="I737" s="1" t="s">
        <v>90</v>
      </c>
      <c r="J737" s="1" t="s">
        <v>62</v>
      </c>
      <c r="K737" s="1">
        <v>4</v>
      </c>
      <c r="L737" s="1">
        <v>2086</v>
      </c>
      <c r="M737" s="1">
        <v>20</v>
      </c>
      <c r="N737" s="1">
        <v>1668.8</v>
      </c>
      <c r="O737" s="1">
        <v>1201.54</v>
      </c>
      <c r="P737" s="1">
        <v>360</v>
      </c>
      <c r="Q737" s="1">
        <v>8236.74</v>
      </c>
      <c r="R737" s="1" t="s">
        <v>45</v>
      </c>
      <c r="S737" s="1" t="s">
        <v>63</v>
      </c>
      <c r="T737" s="1" t="s">
        <v>103</v>
      </c>
      <c r="U737" s="1" t="s">
        <v>103</v>
      </c>
      <c r="V737" s="1" t="s">
        <v>57</v>
      </c>
      <c r="W737" s="1">
        <v>2</v>
      </c>
      <c r="X737" s="1" t="s">
        <v>47</v>
      </c>
      <c r="Y737" s="1">
        <v>4</v>
      </c>
      <c r="Z737" s="1" t="s">
        <v>91</v>
      </c>
    </row>
    <row r="738" spans="1:26" x14ac:dyDescent="0.3">
      <c r="A738" s="1" t="s">
        <v>1333</v>
      </c>
      <c r="B738" s="2">
        <v>45859</v>
      </c>
      <c r="C738" s="1" t="s">
        <v>746</v>
      </c>
      <c r="D738" s="1" t="s">
        <v>111</v>
      </c>
      <c r="E738" s="1" t="s">
        <v>43</v>
      </c>
      <c r="F738" s="1">
        <v>47</v>
      </c>
      <c r="G738" s="1" t="s">
        <v>51</v>
      </c>
      <c r="H738" s="1" t="s">
        <v>52</v>
      </c>
      <c r="I738" s="1" t="s">
        <v>51</v>
      </c>
      <c r="J738" s="1" t="s">
        <v>112</v>
      </c>
      <c r="K738" s="1">
        <v>1</v>
      </c>
      <c r="L738" s="1">
        <v>1296</v>
      </c>
      <c r="M738" s="1">
        <v>15</v>
      </c>
      <c r="N738" s="1">
        <v>194.4</v>
      </c>
      <c r="O738" s="1">
        <v>198.29</v>
      </c>
      <c r="P738" s="1">
        <v>410</v>
      </c>
      <c r="Q738" s="1">
        <v>1709.89</v>
      </c>
      <c r="R738" s="1" t="s">
        <v>54</v>
      </c>
      <c r="S738" s="1" t="s">
        <v>34</v>
      </c>
      <c r="T738" s="1" t="s">
        <v>84</v>
      </c>
      <c r="U738" s="1" t="s">
        <v>85</v>
      </c>
      <c r="V738" s="1" t="s">
        <v>86</v>
      </c>
      <c r="W738" s="1">
        <v>5</v>
      </c>
      <c r="X738" s="1" t="s">
        <v>38</v>
      </c>
      <c r="Y738" s="1">
        <v>3</v>
      </c>
      <c r="Z738" s="1" t="s">
        <v>58</v>
      </c>
    </row>
    <row r="739" spans="1:26" x14ac:dyDescent="0.3">
      <c r="A739" s="1" t="s">
        <v>1334</v>
      </c>
      <c r="B739" s="2">
        <v>46077</v>
      </c>
      <c r="C739" s="1" t="s">
        <v>193</v>
      </c>
      <c r="D739" s="1" t="s">
        <v>108</v>
      </c>
      <c r="E739" s="1" t="s">
        <v>29</v>
      </c>
      <c r="F739" s="1">
        <v>26</v>
      </c>
      <c r="G739" s="1" t="s">
        <v>30</v>
      </c>
      <c r="H739" s="1" t="s">
        <v>31</v>
      </c>
      <c r="I739" s="1" t="s">
        <v>30</v>
      </c>
      <c r="J739" s="1" t="s">
        <v>53</v>
      </c>
      <c r="K739" s="1">
        <v>1</v>
      </c>
      <c r="L739" s="1">
        <v>43602</v>
      </c>
      <c r="M739" s="1">
        <v>15</v>
      </c>
      <c r="N739" s="1">
        <v>6540.3</v>
      </c>
      <c r="O739" s="1">
        <v>6671.11</v>
      </c>
      <c r="P739" s="1">
        <v>396</v>
      </c>
      <c r="Q739" s="1">
        <v>44128.81</v>
      </c>
      <c r="R739" s="1" t="s">
        <v>83</v>
      </c>
      <c r="S739" s="1" t="s">
        <v>34</v>
      </c>
      <c r="T739" s="1" t="s">
        <v>35</v>
      </c>
      <c r="U739" s="1" t="s">
        <v>36</v>
      </c>
      <c r="V739" s="1" t="s">
        <v>37</v>
      </c>
      <c r="W739" s="1">
        <v>1</v>
      </c>
      <c r="X739" s="1" t="s">
        <v>47</v>
      </c>
      <c r="Y739" s="1">
        <v>5</v>
      </c>
      <c r="Z739" s="1" t="s">
        <v>47</v>
      </c>
    </row>
    <row r="740" spans="1:26" x14ac:dyDescent="0.3">
      <c r="A740" s="1" t="s">
        <v>1335</v>
      </c>
      <c r="B740" s="2">
        <v>45795</v>
      </c>
      <c r="C740" s="1" t="s">
        <v>1336</v>
      </c>
      <c r="D740" s="1" t="s">
        <v>111</v>
      </c>
      <c r="E740" s="1" t="s">
        <v>29</v>
      </c>
      <c r="F740" s="1">
        <v>25</v>
      </c>
      <c r="G740" s="1" t="s">
        <v>67</v>
      </c>
      <c r="H740" s="1" t="s">
        <v>68</v>
      </c>
      <c r="I740" s="1" t="s">
        <v>67</v>
      </c>
      <c r="J740" s="1" t="s">
        <v>75</v>
      </c>
      <c r="K740" s="1">
        <v>3</v>
      </c>
      <c r="L740" s="1">
        <v>8837</v>
      </c>
      <c r="M740" s="1">
        <v>20</v>
      </c>
      <c r="N740" s="1">
        <v>5302.2</v>
      </c>
      <c r="O740" s="1">
        <v>3817.58</v>
      </c>
      <c r="P740" s="1">
        <v>344</v>
      </c>
      <c r="Q740" s="1">
        <v>25370.38</v>
      </c>
      <c r="R740" s="1" t="s">
        <v>54</v>
      </c>
      <c r="S740" s="1" t="s">
        <v>34</v>
      </c>
      <c r="T740" s="1" t="s">
        <v>103</v>
      </c>
      <c r="U740" s="1" t="s">
        <v>103</v>
      </c>
      <c r="V740" s="1" t="s">
        <v>57</v>
      </c>
      <c r="W740" s="1">
        <v>8</v>
      </c>
      <c r="X740" s="1" t="s">
        <v>47</v>
      </c>
      <c r="Y740" s="1">
        <v>3</v>
      </c>
      <c r="Z740" s="1" t="s">
        <v>47</v>
      </c>
    </row>
    <row r="741" spans="1:26" x14ac:dyDescent="0.3">
      <c r="A741" s="1" t="s">
        <v>1337</v>
      </c>
      <c r="B741" s="2">
        <v>45886</v>
      </c>
      <c r="C741" s="1" t="s">
        <v>338</v>
      </c>
      <c r="D741" s="1" t="s">
        <v>80</v>
      </c>
      <c r="E741" s="1" t="s">
        <v>29</v>
      </c>
      <c r="F741" s="1">
        <v>23</v>
      </c>
      <c r="G741" s="1" t="s">
        <v>74</v>
      </c>
      <c r="H741" s="1" t="s">
        <v>31</v>
      </c>
      <c r="I741" s="1" t="s">
        <v>74</v>
      </c>
      <c r="J741" s="1" t="s">
        <v>102</v>
      </c>
      <c r="K741" s="1">
        <v>5</v>
      </c>
      <c r="L741" s="1">
        <v>10552</v>
      </c>
      <c r="M741" s="1">
        <v>0</v>
      </c>
      <c r="N741" s="1">
        <v>0</v>
      </c>
      <c r="O741" s="1">
        <v>9496.7999999999993</v>
      </c>
      <c r="P741" s="1">
        <v>290</v>
      </c>
      <c r="Q741" s="1">
        <v>62546.8</v>
      </c>
      <c r="R741" s="1" t="s">
        <v>83</v>
      </c>
      <c r="S741" s="1" t="s">
        <v>34</v>
      </c>
      <c r="T741" s="1" t="s">
        <v>84</v>
      </c>
      <c r="U741" s="1" t="s">
        <v>85</v>
      </c>
      <c r="V741" s="1" t="s">
        <v>86</v>
      </c>
      <c r="W741" s="1">
        <v>8</v>
      </c>
      <c r="X741" s="1" t="s">
        <v>38</v>
      </c>
      <c r="Y741" s="1">
        <v>3</v>
      </c>
      <c r="Z741" s="1" t="s">
        <v>58</v>
      </c>
    </row>
    <row r="742" spans="1:26" x14ac:dyDescent="0.3">
      <c r="A742" s="1" t="s">
        <v>1338</v>
      </c>
      <c r="B742" s="2">
        <v>45922</v>
      </c>
      <c r="C742" s="1" t="s">
        <v>1048</v>
      </c>
      <c r="D742" s="1" t="s">
        <v>108</v>
      </c>
      <c r="E742" s="1" t="s">
        <v>29</v>
      </c>
      <c r="F742" s="1">
        <v>52</v>
      </c>
      <c r="G742" s="1" t="s">
        <v>44</v>
      </c>
      <c r="H742" s="1" t="s">
        <v>31</v>
      </c>
      <c r="I742" s="1" t="s">
        <v>44</v>
      </c>
      <c r="J742" s="1" t="s">
        <v>112</v>
      </c>
      <c r="K742" s="1">
        <v>3</v>
      </c>
      <c r="L742" s="1">
        <v>31793</v>
      </c>
      <c r="M742" s="1">
        <v>10</v>
      </c>
      <c r="N742" s="1">
        <v>9537.9</v>
      </c>
      <c r="O742" s="1">
        <v>15451.4</v>
      </c>
      <c r="P742" s="1">
        <v>433</v>
      </c>
      <c r="Q742" s="1">
        <v>101725.5</v>
      </c>
      <c r="R742" s="1" t="s">
        <v>54</v>
      </c>
      <c r="S742" s="1" t="s">
        <v>34</v>
      </c>
      <c r="T742" s="1" t="s">
        <v>103</v>
      </c>
      <c r="U742" s="1" t="s">
        <v>103</v>
      </c>
      <c r="V742" s="1" t="s">
        <v>57</v>
      </c>
      <c r="W742" s="1">
        <v>7</v>
      </c>
      <c r="X742" s="1" t="s">
        <v>38</v>
      </c>
      <c r="Y742" s="1">
        <v>2</v>
      </c>
      <c r="Z742" s="1" t="s">
        <v>47</v>
      </c>
    </row>
    <row r="743" spans="1:26" x14ac:dyDescent="0.3">
      <c r="A743" s="1" t="s">
        <v>1339</v>
      </c>
      <c r="B743" s="2">
        <v>46031</v>
      </c>
      <c r="C743" s="1" t="s">
        <v>834</v>
      </c>
      <c r="D743" s="1" t="s">
        <v>28</v>
      </c>
      <c r="E743" s="1" t="s">
        <v>29</v>
      </c>
      <c r="F743" s="1">
        <v>24</v>
      </c>
      <c r="G743" s="1" t="s">
        <v>94</v>
      </c>
      <c r="H743" s="1" t="s">
        <v>31</v>
      </c>
      <c r="I743" s="1" t="s">
        <v>94</v>
      </c>
      <c r="J743" s="1" t="s">
        <v>53</v>
      </c>
      <c r="K743" s="1">
        <v>4</v>
      </c>
      <c r="L743" s="1">
        <v>49840</v>
      </c>
      <c r="M743" s="1">
        <v>10</v>
      </c>
      <c r="N743" s="1">
        <v>19936</v>
      </c>
      <c r="O743" s="1">
        <v>32296.32</v>
      </c>
      <c r="P743" s="1">
        <v>58</v>
      </c>
      <c r="Q743" s="1">
        <v>211778.32</v>
      </c>
      <c r="R743" s="1" t="s">
        <v>45</v>
      </c>
      <c r="S743" s="1" t="s">
        <v>63</v>
      </c>
      <c r="T743" s="1" t="s">
        <v>103</v>
      </c>
      <c r="U743" s="1" t="s">
        <v>103</v>
      </c>
      <c r="V743" s="1" t="s">
        <v>57</v>
      </c>
      <c r="W743" s="1">
        <v>6</v>
      </c>
      <c r="X743" s="1" t="s">
        <v>47</v>
      </c>
      <c r="Y743" s="1">
        <v>2</v>
      </c>
      <c r="Z743" s="1" t="s">
        <v>39</v>
      </c>
    </row>
    <row r="744" spans="1:26" x14ac:dyDescent="0.3">
      <c r="A744" s="1" t="s">
        <v>1340</v>
      </c>
      <c r="B744" s="2">
        <v>45840</v>
      </c>
      <c r="C744" s="1" t="s">
        <v>172</v>
      </c>
      <c r="D744" s="1" t="s">
        <v>61</v>
      </c>
      <c r="E744" s="1" t="s">
        <v>43</v>
      </c>
      <c r="F744" s="1">
        <v>53</v>
      </c>
      <c r="G744" s="1" t="s">
        <v>99</v>
      </c>
      <c r="H744" s="1" t="s">
        <v>52</v>
      </c>
      <c r="I744" s="1" t="s">
        <v>99</v>
      </c>
      <c r="J744" s="1" t="s">
        <v>75</v>
      </c>
      <c r="K744" s="1">
        <v>4</v>
      </c>
      <c r="L744" s="1">
        <v>5564</v>
      </c>
      <c r="M744" s="1">
        <v>20</v>
      </c>
      <c r="N744" s="1">
        <v>4451.2</v>
      </c>
      <c r="O744" s="1">
        <v>3204.86</v>
      </c>
      <c r="P744" s="1">
        <v>166</v>
      </c>
      <c r="Q744" s="1">
        <v>21175.66</v>
      </c>
      <c r="R744" s="1" t="s">
        <v>54</v>
      </c>
      <c r="S744" s="1" t="s">
        <v>34</v>
      </c>
      <c r="T744" s="1" t="s">
        <v>95</v>
      </c>
      <c r="U744" s="1" t="s">
        <v>96</v>
      </c>
      <c r="V744" s="1" t="s">
        <v>57</v>
      </c>
      <c r="W744" s="1">
        <v>10</v>
      </c>
      <c r="X744" s="1" t="s">
        <v>47</v>
      </c>
      <c r="Y744" s="1">
        <v>4</v>
      </c>
      <c r="Z744" s="1" t="s">
        <v>58</v>
      </c>
    </row>
    <row r="745" spans="1:26" x14ac:dyDescent="0.3">
      <c r="A745" s="1" t="s">
        <v>1341</v>
      </c>
      <c r="B745" s="2">
        <v>46071</v>
      </c>
      <c r="C745" s="1" t="s">
        <v>191</v>
      </c>
      <c r="D745" s="1" t="s">
        <v>42</v>
      </c>
      <c r="E745" s="1" t="s">
        <v>29</v>
      </c>
      <c r="F745" s="1">
        <v>35</v>
      </c>
      <c r="G745" s="1" t="s">
        <v>94</v>
      </c>
      <c r="H745" s="1" t="s">
        <v>31</v>
      </c>
      <c r="I745" s="1" t="s">
        <v>94</v>
      </c>
      <c r="J745" s="1" t="s">
        <v>75</v>
      </c>
      <c r="K745" s="1">
        <v>2</v>
      </c>
      <c r="L745" s="1">
        <v>8094</v>
      </c>
      <c r="M745" s="1">
        <v>5</v>
      </c>
      <c r="N745" s="1">
        <v>809.4</v>
      </c>
      <c r="O745" s="1">
        <v>2768.15</v>
      </c>
      <c r="P745" s="1">
        <v>400</v>
      </c>
      <c r="Q745" s="1">
        <v>18546.75</v>
      </c>
      <c r="R745" s="1" t="s">
        <v>33</v>
      </c>
      <c r="S745" s="1" t="s">
        <v>34</v>
      </c>
      <c r="T745" s="1" t="s">
        <v>76</v>
      </c>
      <c r="U745" s="1" t="s">
        <v>77</v>
      </c>
      <c r="V745" s="1" t="s">
        <v>57</v>
      </c>
      <c r="W745" s="1">
        <v>9</v>
      </c>
      <c r="X745" s="1" t="s">
        <v>47</v>
      </c>
      <c r="Y745" s="1">
        <v>5</v>
      </c>
      <c r="Z745" s="1" t="s">
        <v>47</v>
      </c>
    </row>
    <row r="746" spans="1:26" x14ac:dyDescent="0.3">
      <c r="A746" s="1" t="s">
        <v>1342</v>
      </c>
      <c r="B746" s="2">
        <v>46112</v>
      </c>
      <c r="C746" s="1" t="s">
        <v>1343</v>
      </c>
      <c r="D746" s="1" t="s">
        <v>108</v>
      </c>
      <c r="E746" s="1" t="s">
        <v>43</v>
      </c>
      <c r="F746" s="1">
        <v>41</v>
      </c>
      <c r="G746" s="1" t="s">
        <v>139</v>
      </c>
      <c r="H746" s="1" t="s">
        <v>31</v>
      </c>
      <c r="I746" s="1" t="s">
        <v>139</v>
      </c>
      <c r="J746" s="1" t="s">
        <v>69</v>
      </c>
      <c r="K746" s="1">
        <v>1</v>
      </c>
      <c r="L746" s="1">
        <v>32513</v>
      </c>
      <c r="M746" s="1">
        <v>5</v>
      </c>
      <c r="N746" s="1">
        <v>1625.65</v>
      </c>
      <c r="O746" s="1">
        <v>5559.72</v>
      </c>
      <c r="P746" s="1">
        <v>141</v>
      </c>
      <c r="Q746" s="1">
        <v>36588.07</v>
      </c>
      <c r="R746" s="1" t="s">
        <v>33</v>
      </c>
      <c r="S746" s="1" t="s">
        <v>63</v>
      </c>
      <c r="T746" s="1" t="s">
        <v>35</v>
      </c>
      <c r="U746" s="1" t="s">
        <v>36</v>
      </c>
      <c r="V746" s="1" t="s">
        <v>37</v>
      </c>
      <c r="W746" s="1">
        <v>8</v>
      </c>
      <c r="X746" s="1" t="s">
        <v>38</v>
      </c>
      <c r="Y746" s="1">
        <v>5</v>
      </c>
      <c r="Z746" s="1" t="s">
        <v>58</v>
      </c>
    </row>
    <row r="747" spans="1:26" x14ac:dyDescent="0.3">
      <c r="A747" s="1" t="s">
        <v>1344</v>
      </c>
      <c r="B747" s="2">
        <v>46078</v>
      </c>
      <c r="C747" s="1" t="s">
        <v>1345</v>
      </c>
      <c r="D747" s="1" t="s">
        <v>42</v>
      </c>
      <c r="E747" s="1" t="s">
        <v>43</v>
      </c>
      <c r="F747" s="1">
        <v>30</v>
      </c>
      <c r="G747" s="1" t="s">
        <v>74</v>
      </c>
      <c r="H747" s="1" t="s">
        <v>31</v>
      </c>
      <c r="I747" s="1" t="s">
        <v>74</v>
      </c>
      <c r="J747" s="1" t="s">
        <v>53</v>
      </c>
      <c r="K747" s="1">
        <v>3</v>
      </c>
      <c r="L747" s="1">
        <v>21815</v>
      </c>
      <c r="M747" s="1">
        <v>0</v>
      </c>
      <c r="N747" s="1">
        <v>0</v>
      </c>
      <c r="O747" s="1">
        <v>11780.1</v>
      </c>
      <c r="P747" s="1">
        <v>171</v>
      </c>
      <c r="Q747" s="1">
        <v>77396.100000000006</v>
      </c>
      <c r="R747" s="1" t="s">
        <v>54</v>
      </c>
      <c r="S747" s="1" t="s">
        <v>34</v>
      </c>
      <c r="T747" s="1" t="s">
        <v>95</v>
      </c>
      <c r="U747" s="1" t="s">
        <v>96</v>
      </c>
      <c r="V747" s="1" t="s">
        <v>57</v>
      </c>
      <c r="W747" s="1">
        <v>1</v>
      </c>
      <c r="X747" s="1" t="s">
        <v>38</v>
      </c>
      <c r="Y747" s="1">
        <v>4</v>
      </c>
      <c r="Z747" s="1" t="s">
        <v>39</v>
      </c>
    </row>
    <row r="748" spans="1:26" x14ac:dyDescent="0.3">
      <c r="A748" s="1" t="s">
        <v>1346</v>
      </c>
      <c r="B748" s="2">
        <v>45775</v>
      </c>
      <c r="C748" s="1" t="s">
        <v>528</v>
      </c>
      <c r="D748" s="1" t="s">
        <v>50</v>
      </c>
      <c r="E748" s="1" t="s">
        <v>29</v>
      </c>
      <c r="F748" s="1">
        <v>22</v>
      </c>
      <c r="G748" s="1" t="s">
        <v>139</v>
      </c>
      <c r="H748" s="1" t="s">
        <v>31</v>
      </c>
      <c r="I748" s="1" t="s">
        <v>139</v>
      </c>
      <c r="J748" s="1" t="s">
        <v>69</v>
      </c>
      <c r="K748" s="1">
        <v>5</v>
      </c>
      <c r="L748" s="1">
        <v>35936</v>
      </c>
      <c r="M748" s="1">
        <v>0</v>
      </c>
      <c r="N748" s="1">
        <v>0</v>
      </c>
      <c r="O748" s="1">
        <v>32342.400000000001</v>
      </c>
      <c r="P748" s="1">
        <v>301</v>
      </c>
      <c r="Q748" s="1">
        <v>212323.4</v>
      </c>
      <c r="R748" s="1" t="s">
        <v>33</v>
      </c>
      <c r="S748" s="1" t="s">
        <v>34</v>
      </c>
      <c r="T748" s="1" t="s">
        <v>46</v>
      </c>
      <c r="U748" s="1" t="s">
        <v>36</v>
      </c>
      <c r="V748" s="1" t="s">
        <v>37</v>
      </c>
      <c r="W748" s="1">
        <v>2</v>
      </c>
      <c r="X748" s="1" t="s">
        <v>47</v>
      </c>
      <c r="Y748" s="1">
        <v>3</v>
      </c>
      <c r="Z748" s="1" t="s">
        <v>47</v>
      </c>
    </row>
    <row r="749" spans="1:26" x14ac:dyDescent="0.3">
      <c r="A749" s="1" t="s">
        <v>1347</v>
      </c>
      <c r="B749" s="2">
        <v>46029</v>
      </c>
      <c r="C749" s="1" t="s">
        <v>906</v>
      </c>
      <c r="D749" s="1" t="s">
        <v>66</v>
      </c>
      <c r="E749" s="1" t="s">
        <v>29</v>
      </c>
      <c r="F749" s="1">
        <v>24</v>
      </c>
      <c r="G749" s="1" t="s">
        <v>99</v>
      </c>
      <c r="H749" s="1" t="s">
        <v>52</v>
      </c>
      <c r="I749" s="1" t="s">
        <v>99</v>
      </c>
      <c r="J749" s="1" t="s">
        <v>112</v>
      </c>
      <c r="K749" s="1">
        <v>2</v>
      </c>
      <c r="L749" s="1">
        <v>44948</v>
      </c>
      <c r="M749" s="1">
        <v>20</v>
      </c>
      <c r="N749" s="1">
        <v>17979.2</v>
      </c>
      <c r="O749" s="1">
        <v>12945.02</v>
      </c>
      <c r="P749" s="1">
        <v>53</v>
      </c>
      <c r="Q749" s="1">
        <v>84914.82</v>
      </c>
      <c r="R749" s="1" t="s">
        <v>33</v>
      </c>
      <c r="S749" s="1" t="s">
        <v>63</v>
      </c>
      <c r="T749" s="1" t="s">
        <v>76</v>
      </c>
      <c r="U749" s="1" t="s">
        <v>77</v>
      </c>
      <c r="V749" s="1" t="s">
        <v>57</v>
      </c>
      <c r="W749" s="1">
        <v>5</v>
      </c>
      <c r="X749" s="1" t="s">
        <v>38</v>
      </c>
      <c r="Y749" s="1">
        <v>1</v>
      </c>
      <c r="Z749" s="1" t="s">
        <v>47</v>
      </c>
    </row>
    <row r="750" spans="1:26" x14ac:dyDescent="0.3">
      <c r="A750" s="1" t="s">
        <v>1348</v>
      </c>
      <c r="B750" s="2">
        <v>45928</v>
      </c>
      <c r="C750" s="1" t="s">
        <v>330</v>
      </c>
      <c r="D750" s="1" t="s">
        <v>42</v>
      </c>
      <c r="E750" s="1" t="s">
        <v>29</v>
      </c>
      <c r="F750" s="1">
        <v>38</v>
      </c>
      <c r="G750" s="1" t="s">
        <v>94</v>
      </c>
      <c r="H750" s="1" t="s">
        <v>31</v>
      </c>
      <c r="I750" s="1" t="s">
        <v>94</v>
      </c>
      <c r="J750" s="1" t="s">
        <v>75</v>
      </c>
      <c r="K750" s="1">
        <v>1</v>
      </c>
      <c r="L750" s="1">
        <v>34893</v>
      </c>
      <c r="M750" s="1">
        <v>20</v>
      </c>
      <c r="N750" s="1">
        <v>6978.6</v>
      </c>
      <c r="O750" s="1">
        <v>5024.59</v>
      </c>
      <c r="P750" s="1">
        <v>137</v>
      </c>
      <c r="Q750" s="1">
        <v>33075.99</v>
      </c>
      <c r="R750" s="1" t="s">
        <v>54</v>
      </c>
      <c r="S750" s="1" t="s">
        <v>34</v>
      </c>
      <c r="T750" s="1" t="s">
        <v>35</v>
      </c>
      <c r="U750" s="1" t="s">
        <v>36</v>
      </c>
      <c r="V750" s="1" t="s">
        <v>37</v>
      </c>
      <c r="W750" s="1">
        <v>2</v>
      </c>
      <c r="X750" s="1" t="s">
        <v>38</v>
      </c>
      <c r="Y750" s="1">
        <v>2</v>
      </c>
      <c r="Z750" s="1" t="s">
        <v>47</v>
      </c>
    </row>
    <row r="751" spans="1:26" x14ac:dyDescent="0.3">
      <c r="A751" s="1" t="s">
        <v>1349</v>
      </c>
      <c r="B751" s="2">
        <v>46104</v>
      </c>
      <c r="C751" s="1" t="s">
        <v>353</v>
      </c>
      <c r="D751" s="1" t="s">
        <v>108</v>
      </c>
      <c r="E751" s="1" t="s">
        <v>43</v>
      </c>
      <c r="F751" s="1">
        <v>54</v>
      </c>
      <c r="G751" s="1" t="s">
        <v>99</v>
      </c>
      <c r="H751" s="1" t="s">
        <v>52</v>
      </c>
      <c r="I751" s="1" t="s">
        <v>99</v>
      </c>
      <c r="J751" s="1" t="s">
        <v>150</v>
      </c>
      <c r="K751" s="1">
        <v>5</v>
      </c>
      <c r="L751" s="1">
        <v>37161</v>
      </c>
      <c r="M751" s="1">
        <v>15</v>
      </c>
      <c r="N751" s="1">
        <v>27870.75</v>
      </c>
      <c r="O751" s="1">
        <v>28428.16</v>
      </c>
      <c r="P751" s="1">
        <v>83</v>
      </c>
      <c r="Q751" s="1">
        <v>186445.42</v>
      </c>
      <c r="R751" s="1" t="s">
        <v>54</v>
      </c>
      <c r="S751" s="1" t="s">
        <v>34</v>
      </c>
      <c r="T751" s="1" t="s">
        <v>103</v>
      </c>
      <c r="U751" s="1" t="s">
        <v>103</v>
      </c>
      <c r="V751" s="1" t="s">
        <v>57</v>
      </c>
      <c r="W751" s="1">
        <v>8</v>
      </c>
      <c r="X751" s="1" t="s">
        <v>38</v>
      </c>
      <c r="Y751" s="1">
        <v>5</v>
      </c>
      <c r="Z751" s="1" t="s">
        <v>58</v>
      </c>
    </row>
    <row r="752" spans="1:26" x14ac:dyDescent="0.3">
      <c r="A752" s="1" t="s">
        <v>1350</v>
      </c>
      <c r="B752" s="2">
        <v>46117</v>
      </c>
      <c r="C752" s="1" t="s">
        <v>1351</v>
      </c>
      <c r="D752" s="1" t="s">
        <v>61</v>
      </c>
      <c r="E752" s="1" t="s">
        <v>29</v>
      </c>
      <c r="F752" s="1">
        <v>43</v>
      </c>
      <c r="G752" s="1" t="s">
        <v>51</v>
      </c>
      <c r="H752" s="1" t="s">
        <v>52</v>
      </c>
      <c r="I752" s="1" t="s">
        <v>51</v>
      </c>
      <c r="J752" s="1" t="s">
        <v>69</v>
      </c>
      <c r="K752" s="1">
        <v>3</v>
      </c>
      <c r="L752" s="1">
        <v>30146</v>
      </c>
      <c r="M752" s="1">
        <v>10</v>
      </c>
      <c r="N752" s="1">
        <v>9043.7999999999993</v>
      </c>
      <c r="O752" s="1">
        <v>14650.96</v>
      </c>
      <c r="P752" s="1">
        <v>175</v>
      </c>
      <c r="Q752" s="1">
        <v>96220.160000000003</v>
      </c>
      <c r="R752" s="1" t="s">
        <v>83</v>
      </c>
      <c r="S752" s="1" t="s">
        <v>63</v>
      </c>
      <c r="T752" s="1" t="s">
        <v>55</v>
      </c>
      <c r="U752" s="1" t="s">
        <v>56</v>
      </c>
      <c r="V752" s="1" t="s">
        <v>57</v>
      </c>
      <c r="W752" s="1">
        <v>1</v>
      </c>
      <c r="X752" s="1" t="s">
        <v>38</v>
      </c>
      <c r="Y752" s="1">
        <v>4</v>
      </c>
      <c r="Z752" s="1" t="s">
        <v>58</v>
      </c>
    </row>
    <row r="753" spans="1:26" x14ac:dyDescent="0.3">
      <c r="A753" s="1" t="s">
        <v>1352</v>
      </c>
      <c r="B753" s="2">
        <v>45759</v>
      </c>
      <c r="C753" s="1" t="s">
        <v>1005</v>
      </c>
      <c r="D753" s="1" t="s">
        <v>66</v>
      </c>
      <c r="E753" s="1" t="s">
        <v>29</v>
      </c>
      <c r="F753" s="1">
        <v>55</v>
      </c>
      <c r="G753" s="1" t="s">
        <v>30</v>
      </c>
      <c r="H753" s="1" t="s">
        <v>31</v>
      </c>
      <c r="I753" s="1" t="s">
        <v>30</v>
      </c>
      <c r="J753" s="1" t="s">
        <v>125</v>
      </c>
      <c r="K753" s="1">
        <v>5</v>
      </c>
      <c r="L753" s="1">
        <v>22055</v>
      </c>
      <c r="M753" s="1">
        <v>0</v>
      </c>
      <c r="N753" s="1">
        <v>0</v>
      </c>
      <c r="O753" s="1">
        <v>19849.5</v>
      </c>
      <c r="P753" s="1">
        <v>490</v>
      </c>
      <c r="Q753" s="1">
        <v>130614.5</v>
      </c>
      <c r="R753" s="1" t="s">
        <v>54</v>
      </c>
      <c r="S753" s="1" t="s">
        <v>34</v>
      </c>
      <c r="T753" s="1" t="s">
        <v>35</v>
      </c>
      <c r="U753" s="1" t="s">
        <v>36</v>
      </c>
      <c r="V753" s="1" t="s">
        <v>37</v>
      </c>
      <c r="W753" s="1">
        <v>1</v>
      </c>
      <c r="X753" s="1" t="s">
        <v>38</v>
      </c>
      <c r="Y753" s="1">
        <v>3</v>
      </c>
      <c r="Z753" s="1" t="s">
        <v>91</v>
      </c>
    </row>
    <row r="754" spans="1:26" x14ac:dyDescent="0.3">
      <c r="A754" s="1" t="s">
        <v>1353</v>
      </c>
      <c r="B754" s="2">
        <v>46009</v>
      </c>
      <c r="C754" s="1" t="s">
        <v>767</v>
      </c>
      <c r="D754" s="1" t="s">
        <v>28</v>
      </c>
      <c r="E754" s="1" t="s">
        <v>43</v>
      </c>
      <c r="F754" s="1">
        <v>31</v>
      </c>
      <c r="G754" s="1" t="s">
        <v>99</v>
      </c>
      <c r="H754" s="1" t="s">
        <v>52</v>
      </c>
      <c r="I754" s="1" t="s">
        <v>99</v>
      </c>
      <c r="J754" s="1" t="s">
        <v>75</v>
      </c>
      <c r="K754" s="1">
        <v>1</v>
      </c>
      <c r="L754" s="1">
        <v>43437</v>
      </c>
      <c r="M754" s="1">
        <v>5</v>
      </c>
      <c r="N754" s="1">
        <v>2171.85</v>
      </c>
      <c r="O754" s="1">
        <v>7427.73</v>
      </c>
      <c r="P754" s="1">
        <v>286</v>
      </c>
      <c r="Q754" s="1">
        <v>48978.879999999997</v>
      </c>
      <c r="R754" s="1" t="s">
        <v>54</v>
      </c>
      <c r="S754" s="1" t="s">
        <v>34</v>
      </c>
      <c r="T754" s="1" t="s">
        <v>55</v>
      </c>
      <c r="U754" s="1" t="s">
        <v>56</v>
      </c>
      <c r="V754" s="1" t="s">
        <v>57</v>
      </c>
      <c r="W754" s="1">
        <v>9</v>
      </c>
      <c r="X754" s="1" t="s">
        <v>38</v>
      </c>
      <c r="Y754" s="1">
        <v>3</v>
      </c>
      <c r="Z754" s="1" t="s">
        <v>58</v>
      </c>
    </row>
    <row r="755" spans="1:26" x14ac:dyDescent="0.3">
      <c r="A755" s="1" t="s">
        <v>1354</v>
      </c>
      <c r="B755" s="2">
        <v>45903</v>
      </c>
      <c r="C755" s="1" t="s">
        <v>279</v>
      </c>
      <c r="D755" s="1" t="s">
        <v>80</v>
      </c>
      <c r="E755" s="1" t="s">
        <v>29</v>
      </c>
      <c r="F755" s="1">
        <v>18</v>
      </c>
      <c r="G755" s="1" t="s">
        <v>51</v>
      </c>
      <c r="H755" s="1" t="s">
        <v>52</v>
      </c>
      <c r="I755" s="1" t="s">
        <v>51</v>
      </c>
      <c r="J755" s="1" t="s">
        <v>201</v>
      </c>
      <c r="K755" s="1">
        <v>1</v>
      </c>
      <c r="L755" s="1">
        <v>16469</v>
      </c>
      <c r="M755" s="1">
        <v>20</v>
      </c>
      <c r="N755" s="1">
        <v>3293.8</v>
      </c>
      <c r="O755" s="1">
        <v>2371.54</v>
      </c>
      <c r="P755" s="1">
        <v>266</v>
      </c>
      <c r="Q755" s="1">
        <v>15812.74</v>
      </c>
      <c r="R755" s="1" t="s">
        <v>54</v>
      </c>
      <c r="S755" s="1" t="s">
        <v>34</v>
      </c>
      <c r="T755" s="1" t="s">
        <v>103</v>
      </c>
      <c r="U755" s="1" t="s">
        <v>103</v>
      </c>
      <c r="V755" s="1" t="s">
        <v>57</v>
      </c>
      <c r="W755" s="1">
        <v>7</v>
      </c>
      <c r="X755" s="1" t="s">
        <v>38</v>
      </c>
      <c r="Y755" s="1">
        <v>4</v>
      </c>
      <c r="Z755" s="1" t="s">
        <v>47</v>
      </c>
    </row>
    <row r="756" spans="1:26" x14ac:dyDescent="0.3">
      <c r="A756" s="1" t="s">
        <v>1355</v>
      </c>
      <c r="B756" s="2">
        <v>46070</v>
      </c>
      <c r="C756" s="1" t="s">
        <v>1356</v>
      </c>
      <c r="D756" s="1" t="s">
        <v>111</v>
      </c>
      <c r="E756" s="1" t="s">
        <v>29</v>
      </c>
      <c r="F756" s="1">
        <v>48</v>
      </c>
      <c r="G756" s="1" t="s">
        <v>51</v>
      </c>
      <c r="H756" s="1" t="s">
        <v>52</v>
      </c>
      <c r="I756" s="1" t="s">
        <v>51</v>
      </c>
      <c r="J756" s="1" t="s">
        <v>150</v>
      </c>
      <c r="K756" s="1">
        <v>1</v>
      </c>
      <c r="L756" s="1">
        <v>44498</v>
      </c>
      <c r="M756" s="1">
        <v>10</v>
      </c>
      <c r="N756" s="1">
        <v>4449.8</v>
      </c>
      <c r="O756" s="1">
        <v>7208.68</v>
      </c>
      <c r="P756" s="1">
        <v>101</v>
      </c>
      <c r="Q756" s="1">
        <v>47357.88</v>
      </c>
      <c r="R756" s="1" t="s">
        <v>45</v>
      </c>
      <c r="S756" s="1" t="s">
        <v>34</v>
      </c>
      <c r="T756" s="1" t="s">
        <v>76</v>
      </c>
      <c r="U756" s="1" t="s">
        <v>77</v>
      </c>
      <c r="V756" s="1" t="s">
        <v>57</v>
      </c>
      <c r="W756" s="1">
        <v>7</v>
      </c>
      <c r="X756" s="1" t="s">
        <v>38</v>
      </c>
      <c r="Y756" s="1">
        <v>2</v>
      </c>
      <c r="Z756" s="1" t="s">
        <v>47</v>
      </c>
    </row>
    <row r="757" spans="1:26" x14ac:dyDescent="0.3">
      <c r="A757" s="1" t="s">
        <v>1357</v>
      </c>
      <c r="B757" s="2">
        <v>45968</v>
      </c>
      <c r="C757" s="1" t="s">
        <v>1187</v>
      </c>
      <c r="D757" s="1" t="s">
        <v>28</v>
      </c>
      <c r="E757" s="1" t="s">
        <v>29</v>
      </c>
      <c r="F757" s="1">
        <v>33</v>
      </c>
      <c r="G757" s="1" t="s">
        <v>134</v>
      </c>
      <c r="H757" s="1" t="s">
        <v>31</v>
      </c>
      <c r="I757" s="1" t="s">
        <v>134</v>
      </c>
      <c r="J757" s="1" t="s">
        <v>102</v>
      </c>
      <c r="K757" s="1">
        <v>5</v>
      </c>
      <c r="L757" s="1">
        <v>31205</v>
      </c>
      <c r="M757" s="1">
        <v>10</v>
      </c>
      <c r="N757" s="1">
        <v>15602.5</v>
      </c>
      <c r="O757" s="1">
        <v>25276.05</v>
      </c>
      <c r="P757" s="1">
        <v>301</v>
      </c>
      <c r="Q757" s="1">
        <v>165999.54999999999</v>
      </c>
      <c r="R757" s="1" t="s">
        <v>54</v>
      </c>
      <c r="S757" s="1" t="s">
        <v>63</v>
      </c>
      <c r="T757" s="1" t="s">
        <v>55</v>
      </c>
      <c r="U757" s="1" t="s">
        <v>56</v>
      </c>
      <c r="V757" s="1" t="s">
        <v>57</v>
      </c>
      <c r="W757" s="1">
        <v>5</v>
      </c>
      <c r="X757" s="1" t="s">
        <v>38</v>
      </c>
      <c r="Y757" s="1">
        <v>3</v>
      </c>
      <c r="Z757" s="1" t="s">
        <v>39</v>
      </c>
    </row>
    <row r="758" spans="1:26" x14ac:dyDescent="0.3">
      <c r="A758" s="1" t="s">
        <v>1358</v>
      </c>
      <c r="B758" s="2">
        <v>45892</v>
      </c>
      <c r="C758" s="1" t="s">
        <v>287</v>
      </c>
      <c r="D758" s="1" t="s">
        <v>61</v>
      </c>
      <c r="E758" s="1" t="s">
        <v>43</v>
      </c>
      <c r="F758" s="1">
        <v>41</v>
      </c>
      <c r="G758" s="1" t="s">
        <v>51</v>
      </c>
      <c r="H758" s="1" t="s">
        <v>52</v>
      </c>
      <c r="I758" s="1" t="s">
        <v>51</v>
      </c>
      <c r="J758" s="1" t="s">
        <v>112</v>
      </c>
      <c r="K758" s="1">
        <v>2</v>
      </c>
      <c r="L758" s="1">
        <v>48901</v>
      </c>
      <c r="M758" s="1">
        <v>0</v>
      </c>
      <c r="N758" s="1">
        <v>0</v>
      </c>
      <c r="O758" s="1">
        <v>17604.36</v>
      </c>
      <c r="P758" s="1">
        <v>80</v>
      </c>
      <c r="Q758" s="1">
        <v>115486.36</v>
      </c>
      <c r="R758" s="1" t="s">
        <v>83</v>
      </c>
      <c r="S758" s="1" t="s">
        <v>63</v>
      </c>
      <c r="T758" s="1" t="s">
        <v>55</v>
      </c>
      <c r="U758" s="1" t="s">
        <v>56</v>
      </c>
      <c r="V758" s="1" t="s">
        <v>57</v>
      </c>
      <c r="W758" s="1">
        <v>8</v>
      </c>
      <c r="X758" s="1" t="s">
        <v>47</v>
      </c>
      <c r="Y758" s="1">
        <v>4</v>
      </c>
      <c r="Z758" s="1" t="s">
        <v>58</v>
      </c>
    </row>
    <row r="759" spans="1:26" x14ac:dyDescent="0.3">
      <c r="A759" s="1" t="s">
        <v>1359</v>
      </c>
      <c r="B759" s="2">
        <v>46079</v>
      </c>
      <c r="C759" s="1" t="s">
        <v>956</v>
      </c>
      <c r="D759" s="1" t="s">
        <v>28</v>
      </c>
      <c r="E759" s="1" t="s">
        <v>29</v>
      </c>
      <c r="F759" s="1">
        <v>27</v>
      </c>
      <c r="G759" s="1" t="s">
        <v>44</v>
      </c>
      <c r="H759" s="1" t="s">
        <v>31</v>
      </c>
      <c r="I759" s="1" t="s">
        <v>44</v>
      </c>
      <c r="J759" s="1" t="s">
        <v>125</v>
      </c>
      <c r="K759" s="1">
        <v>3</v>
      </c>
      <c r="L759" s="1">
        <v>2214</v>
      </c>
      <c r="M759" s="1">
        <v>20</v>
      </c>
      <c r="N759" s="1">
        <v>1328.4</v>
      </c>
      <c r="O759" s="1">
        <v>956.45</v>
      </c>
      <c r="P759" s="1">
        <v>182</v>
      </c>
      <c r="Q759" s="1">
        <v>6452.05</v>
      </c>
      <c r="R759" s="1" t="s">
        <v>83</v>
      </c>
      <c r="S759" s="1" t="s">
        <v>34</v>
      </c>
      <c r="T759" s="1" t="s">
        <v>35</v>
      </c>
      <c r="U759" s="1" t="s">
        <v>36</v>
      </c>
      <c r="V759" s="1" t="s">
        <v>37</v>
      </c>
      <c r="W759" s="1">
        <v>4</v>
      </c>
      <c r="X759" s="1" t="s">
        <v>47</v>
      </c>
      <c r="Y759" s="1">
        <v>2</v>
      </c>
      <c r="Z759" s="1" t="s">
        <v>91</v>
      </c>
    </row>
    <row r="760" spans="1:26" x14ac:dyDescent="0.3">
      <c r="A760" s="1" t="s">
        <v>1360</v>
      </c>
      <c r="B760" s="2">
        <v>45967</v>
      </c>
      <c r="C760" s="1" t="s">
        <v>1361</v>
      </c>
      <c r="D760" s="1" t="s">
        <v>89</v>
      </c>
      <c r="E760" s="1" t="s">
        <v>43</v>
      </c>
      <c r="F760" s="1">
        <v>59</v>
      </c>
      <c r="G760" s="1" t="s">
        <v>30</v>
      </c>
      <c r="H760" s="1" t="s">
        <v>31</v>
      </c>
      <c r="I760" s="1" t="s">
        <v>30</v>
      </c>
      <c r="J760" s="1" t="s">
        <v>53</v>
      </c>
      <c r="K760" s="1">
        <v>5</v>
      </c>
      <c r="L760" s="1">
        <v>37151</v>
      </c>
      <c r="M760" s="1">
        <v>5</v>
      </c>
      <c r="N760" s="1">
        <v>9287.75</v>
      </c>
      <c r="O760" s="1">
        <v>31764.1</v>
      </c>
      <c r="P760" s="1">
        <v>164</v>
      </c>
      <c r="Q760" s="1">
        <v>208395.36</v>
      </c>
      <c r="R760" s="1" t="s">
        <v>33</v>
      </c>
      <c r="S760" s="1" t="s">
        <v>34</v>
      </c>
      <c r="T760" s="1" t="s">
        <v>76</v>
      </c>
      <c r="U760" s="1" t="s">
        <v>77</v>
      </c>
      <c r="V760" s="1" t="s">
        <v>57</v>
      </c>
      <c r="W760" s="1">
        <v>4</v>
      </c>
      <c r="X760" s="1" t="s">
        <v>47</v>
      </c>
      <c r="Y760" s="1">
        <v>2</v>
      </c>
      <c r="Z760" s="1" t="s">
        <v>91</v>
      </c>
    </row>
    <row r="761" spans="1:26" x14ac:dyDescent="0.3">
      <c r="A761" s="1" t="s">
        <v>1362</v>
      </c>
      <c r="B761" s="2">
        <v>45893</v>
      </c>
      <c r="C761" s="1" t="s">
        <v>977</v>
      </c>
      <c r="D761" s="1" t="s">
        <v>66</v>
      </c>
      <c r="E761" s="1" t="s">
        <v>43</v>
      </c>
      <c r="F761" s="1">
        <v>37</v>
      </c>
      <c r="G761" s="1" t="s">
        <v>74</v>
      </c>
      <c r="H761" s="1" t="s">
        <v>31</v>
      </c>
      <c r="I761" s="1" t="s">
        <v>74</v>
      </c>
      <c r="J761" s="1" t="s">
        <v>75</v>
      </c>
      <c r="K761" s="1">
        <v>3</v>
      </c>
      <c r="L761" s="1">
        <v>37260</v>
      </c>
      <c r="M761" s="1">
        <v>0</v>
      </c>
      <c r="N761" s="1">
        <v>0</v>
      </c>
      <c r="O761" s="1">
        <v>20120.400000000001</v>
      </c>
      <c r="P761" s="1">
        <v>17</v>
      </c>
      <c r="Q761" s="1">
        <v>131917.4</v>
      </c>
      <c r="R761" s="1" t="s">
        <v>45</v>
      </c>
      <c r="S761" s="1" t="s">
        <v>34</v>
      </c>
      <c r="T761" s="1" t="s">
        <v>95</v>
      </c>
      <c r="U761" s="1" t="s">
        <v>96</v>
      </c>
      <c r="V761" s="1" t="s">
        <v>57</v>
      </c>
      <c r="W761" s="1">
        <v>2</v>
      </c>
      <c r="X761" s="1" t="s">
        <v>38</v>
      </c>
      <c r="Y761" s="1">
        <v>3</v>
      </c>
      <c r="Z761" s="1" t="s">
        <v>58</v>
      </c>
    </row>
    <row r="762" spans="1:26" x14ac:dyDescent="0.3">
      <c r="A762" s="1" t="s">
        <v>1363</v>
      </c>
      <c r="B762" s="2">
        <v>45847</v>
      </c>
      <c r="C762" s="1" t="s">
        <v>344</v>
      </c>
      <c r="D762" s="1" t="s">
        <v>89</v>
      </c>
      <c r="E762" s="1" t="s">
        <v>29</v>
      </c>
      <c r="F762" s="1">
        <v>19</v>
      </c>
      <c r="G762" s="1" t="s">
        <v>139</v>
      </c>
      <c r="H762" s="1" t="s">
        <v>31</v>
      </c>
      <c r="I762" s="1" t="s">
        <v>139</v>
      </c>
      <c r="J762" s="1" t="s">
        <v>102</v>
      </c>
      <c r="K762" s="1">
        <v>1</v>
      </c>
      <c r="L762" s="1">
        <v>47891</v>
      </c>
      <c r="M762" s="1">
        <v>0</v>
      </c>
      <c r="N762" s="1">
        <v>0</v>
      </c>
      <c r="O762" s="1">
        <v>8620.3799999999992</v>
      </c>
      <c r="P762" s="1">
        <v>382</v>
      </c>
      <c r="Q762" s="1">
        <v>56893.38</v>
      </c>
      <c r="R762" s="1" t="s">
        <v>45</v>
      </c>
      <c r="S762" s="1" t="s">
        <v>63</v>
      </c>
      <c r="T762" s="1" t="s">
        <v>35</v>
      </c>
      <c r="U762" s="1" t="s">
        <v>36</v>
      </c>
      <c r="V762" s="1" t="s">
        <v>37</v>
      </c>
      <c r="W762" s="1">
        <v>3</v>
      </c>
      <c r="X762" s="1" t="s">
        <v>38</v>
      </c>
      <c r="Y762" s="1">
        <v>2</v>
      </c>
      <c r="Z762" s="1" t="s">
        <v>91</v>
      </c>
    </row>
    <row r="763" spans="1:26" x14ac:dyDescent="0.3">
      <c r="A763" s="1" t="s">
        <v>1364</v>
      </c>
      <c r="B763" s="2">
        <v>46070</v>
      </c>
      <c r="C763" s="1" t="s">
        <v>404</v>
      </c>
      <c r="D763" s="1" t="s">
        <v>80</v>
      </c>
      <c r="E763" s="1" t="s">
        <v>29</v>
      </c>
      <c r="F763" s="1">
        <v>55</v>
      </c>
      <c r="G763" s="1" t="s">
        <v>74</v>
      </c>
      <c r="H763" s="1" t="s">
        <v>31</v>
      </c>
      <c r="I763" s="1" t="s">
        <v>74</v>
      </c>
      <c r="J763" s="1" t="s">
        <v>53</v>
      </c>
      <c r="K763" s="1">
        <v>5</v>
      </c>
      <c r="L763" s="1">
        <v>16719</v>
      </c>
      <c r="M763" s="1">
        <v>5</v>
      </c>
      <c r="N763" s="1">
        <v>4179.75</v>
      </c>
      <c r="O763" s="1">
        <v>14294.74</v>
      </c>
      <c r="P763" s="1">
        <v>308</v>
      </c>
      <c r="Q763" s="1">
        <v>94017.99</v>
      </c>
      <c r="R763" s="1" t="s">
        <v>45</v>
      </c>
      <c r="S763" s="1" t="s">
        <v>34</v>
      </c>
      <c r="T763" s="1" t="s">
        <v>70</v>
      </c>
      <c r="U763" s="1" t="s">
        <v>56</v>
      </c>
      <c r="V763" s="1" t="s">
        <v>57</v>
      </c>
      <c r="W763" s="1">
        <v>10</v>
      </c>
      <c r="X763" s="1" t="s">
        <v>38</v>
      </c>
      <c r="Y763" s="1">
        <v>2</v>
      </c>
      <c r="Z763" s="1" t="s">
        <v>47</v>
      </c>
    </row>
    <row r="764" spans="1:26" x14ac:dyDescent="0.3">
      <c r="A764" s="1" t="s">
        <v>1365</v>
      </c>
      <c r="B764" s="2">
        <v>45771</v>
      </c>
      <c r="C764" s="1" t="s">
        <v>1366</v>
      </c>
      <c r="D764" s="1" t="s">
        <v>89</v>
      </c>
      <c r="E764" s="1" t="s">
        <v>43</v>
      </c>
      <c r="F764" s="1">
        <v>29</v>
      </c>
      <c r="G764" s="1" t="s">
        <v>51</v>
      </c>
      <c r="H764" s="1" t="s">
        <v>52</v>
      </c>
      <c r="I764" s="1" t="s">
        <v>51</v>
      </c>
      <c r="J764" s="1" t="s">
        <v>102</v>
      </c>
      <c r="K764" s="1">
        <v>2</v>
      </c>
      <c r="L764" s="1">
        <v>35205</v>
      </c>
      <c r="M764" s="1">
        <v>0</v>
      </c>
      <c r="N764" s="1">
        <v>0</v>
      </c>
      <c r="O764" s="1">
        <v>12673.8</v>
      </c>
      <c r="P764" s="1">
        <v>27</v>
      </c>
      <c r="Q764" s="1">
        <v>83110.8</v>
      </c>
      <c r="R764" s="1" t="s">
        <v>54</v>
      </c>
      <c r="S764" s="1" t="s">
        <v>34</v>
      </c>
      <c r="T764" s="1" t="s">
        <v>35</v>
      </c>
      <c r="U764" s="1" t="s">
        <v>36</v>
      </c>
      <c r="V764" s="1" t="s">
        <v>37</v>
      </c>
      <c r="W764" s="1">
        <v>7</v>
      </c>
      <c r="X764" s="1" t="s">
        <v>38</v>
      </c>
      <c r="Y764" s="1">
        <v>1</v>
      </c>
      <c r="Z764" s="1" t="s">
        <v>47</v>
      </c>
    </row>
    <row r="765" spans="1:26" x14ac:dyDescent="0.3">
      <c r="A765" s="1" t="s">
        <v>1367</v>
      </c>
      <c r="B765" s="2">
        <v>45782</v>
      </c>
      <c r="C765" s="1" t="s">
        <v>310</v>
      </c>
      <c r="D765" s="1" t="s">
        <v>42</v>
      </c>
      <c r="E765" s="1" t="s">
        <v>29</v>
      </c>
      <c r="F765" s="1">
        <v>56</v>
      </c>
      <c r="G765" s="1" t="s">
        <v>44</v>
      </c>
      <c r="H765" s="1" t="s">
        <v>31</v>
      </c>
      <c r="I765" s="1" t="s">
        <v>44</v>
      </c>
      <c r="J765" s="1" t="s">
        <v>150</v>
      </c>
      <c r="K765" s="1">
        <v>5</v>
      </c>
      <c r="L765" s="1">
        <v>1924</v>
      </c>
      <c r="M765" s="1">
        <v>10</v>
      </c>
      <c r="N765" s="1">
        <v>962</v>
      </c>
      <c r="O765" s="1">
        <v>1558.44</v>
      </c>
      <c r="P765" s="1">
        <v>474</v>
      </c>
      <c r="Q765" s="1">
        <v>10690.44</v>
      </c>
      <c r="R765" s="1" t="s">
        <v>83</v>
      </c>
      <c r="S765" s="1" t="s">
        <v>63</v>
      </c>
      <c r="T765" s="1" t="s">
        <v>70</v>
      </c>
      <c r="U765" s="1" t="s">
        <v>56</v>
      </c>
      <c r="V765" s="1" t="s">
        <v>57</v>
      </c>
      <c r="W765" s="1">
        <v>1</v>
      </c>
      <c r="X765" s="1" t="s">
        <v>47</v>
      </c>
      <c r="Y765" s="1">
        <v>3</v>
      </c>
      <c r="Z765" s="1" t="s">
        <v>47</v>
      </c>
    </row>
    <row r="766" spans="1:26" x14ac:dyDescent="0.3">
      <c r="A766" s="1" t="s">
        <v>1368</v>
      </c>
      <c r="B766" s="2">
        <v>45949</v>
      </c>
      <c r="C766" s="1" t="s">
        <v>1369</v>
      </c>
      <c r="D766" s="1" t="s">
        <v>50</v>
      </c>
      <c r="E766" s="1" t="s">
        <v>29</v>
      </c>
      <c r="F766" s="1">
        <v>40</v>
      </c>
      <c r="G766" s="1" t="s">
        <v>90</v>
      </c>
      <c r="H766" s="1" t="s">
        <v>31</v>
      </c>
      <c r="I766" s="1" t="s">
        <v>90</v>
      </c>
      <c r="J766" s="1" t="s">
        <v>102</v>
      </c>
      <c r="K766" s="1">
        <v>5</v>
      </c>
      <c r="L766" s="1">
        <v>1111</v>
      </c>
      <c r="M766" s="1">
        <v>10</v>
      </c>
      <c r="N766" s="1">
        <v>555.5</v>
      </c>
      <c r="O766" s="1">
        <v>899.91</v>
      </c>
      <c r="P766" s="1">
        <v>32</v>
      </c>
      <c r="Q766" s="1">
        <v>5931.41</v>
      </c>
      <c r="R766" s="1" t="s">
        <v>54</v>
      </c>
      <c r="S766" s="1" t="s">
        <v>34</v>
      </c>
      <c r="T766" s="1" t="s">
        <v>55</v>
      </c>
      <c r="U766" s="1" t="s">
        <v>56</v>
      </c>
      <c r="V766" s="1" t="s">
        <v>57</v>
      </c>
      <c r="W766" s="1">
        <v>2</v>
      </c>
      <c r="X766" s="1" t="s">
        <v>38</v>
      </c>
      <c r="Y766" s="1">
        <v>4</v>
      </c>
      <c r="Z766" s="1" t="s">
        <v>47</v>
      </c>
    </row>
    <row r="767" spans="1:26" x14ac:dyDescent="0.3">
      <c r="A767" s="1" t="s">
        <v>1370</v>
      </c>
      <c r="B767" s="2">
        <v>46082</v>
      </c>
      <c r="C767" s="1" t="s">
        <v>209</v>
      </c>
      <c r="D767" s="1" t="s">
        <v>73</v>
      </c>
      <c r="E767" s="1" t="s">
        <v>29</v>
      </c>
      <c r="F767" s="1">
        <v>55</v>
      </c>
      <c r="G767" s="1" t="s">
        <v>134</v>
      </c>
      <c r="H767" s="1" t="s">
        <v>31</v>
      </c>
      <c r="I767" s="1" t="s">
        <v>134</v>
      </c>
      <c r="J767" s="1" t="s">
        <v>32</v>
      </c>
      <c r="K767" s="1">
        <v>3</v>
      </c>
      <c r="L767" s="1">
        <v>4451</v>
      </c>
      <c r="M767" s="1">
        <v>10</v>
      </c>
      <c r="N767" s="1">
        <v>1335.3</v>
      </c>
      <c r="O767" s="1">
        <v>2163.19</v>
      </c>
      <c r="P767" s="1">
        <v>484</v>
      </c>
      <c r="Q767" s="1">
        <v>14664.89</v>
      </c>
      <c r="R767" s="1" t="s">
        <v>33</v>
      </c>
      <c r="S767" s="1" t="s">
        <v>63</v>
      </c>
      <c r="T767" s="1" t="s">
        <v>95</v>
      </c>
      <c r="U767" s="1" t="s">
        <v>96</v>
      </c>
      <c r="V767" s="1" t="s">
        <v>57</v>
      </c>
      <c r="W767" s="1">
        <v>8</v>
      </c>
      <c r="X767" s="1" t="s">
        <v>38</v>
      </c>
      <c r="Y767" s="1">
        <v>1</v>
      </c>
      <c r="Z767" s="1" t="s">
        <v>91</v>
      </c>
    </row>
    <row r="768" spans="1:26" x14ac:dyDescent="0.3">
      <c r="A768" s="1" t="s">
        <v>1371</v>
      </c>
      <c r="B768" s="2">
        <v>46072</v>
      </c>
      <c r="C768" s="1" t="s">
        <v>568</v>
      </c>
      <c r="D768" s="1" t="s">
        <v>80</v>
      </c>
      <c r="E768" s="1" t="s">
        <v>29</v>
      </c>
      <c r="F768" s="1">
        <v>51</v>
      </c>
      <c r="G768" s="1" t="s">
        <v>90</v>
      </c>
      <c r="H768" s="1" t="s">
        <v>31</v>
      </c>
      <c r="I768" s="1" t="s">
        <v>90</v>
      </c>
      <c r="J768" s="1" t="s">
        <v>150</v>
      </c>
      <c r="K768" s="1">
        <v>1</v>
      </c>
      <c r="L768" s="1">
        <v>44909</v>
      </c>
      <c r="M768" s="1">
        <v>20</v>
      </c>
      <c r="N768" s="1">
        <v>8981.7999999999993</v>
      </c>
      <c r="O768" s="1">
        <v>6466.9</v>
      </c>
      <c r="P768" s="1">
        <v>384</v>
      </c>
      <c r="Q768" s="1">
        <v>42778.1</v>
      </c>
      <c r="R768" s="1" t="s">
        <v>45</v>
      </c>
      <c r="S768" s="1" t="s">
        <v>34</v>
      </c>
      <c r="T768" s="1" t="s">
        <v>103</v>
      </c>
      <c r="U768" s="1" t="s">
        <v>103</v>
      </c>
      <c r="V768" s="1" t="s">
        <v>57</v>
      </c>
      <c r="W768" s="1">
        <v>9</v>
      </c>
      <c r="X768" s="1" t="s">
        <v>47</v>
      </c>
      <c r="Y768" s="1">
        <v>1</v>
      </c>
      <c r="Z768" s="1" t="s">
        <v>91</v>
      </c>
    </row>
    <row r="769" spans="1:26" x14ac:dyDescent="0.3">
      <c r="A769" s="1" t="s">
        <v>1372</v>
      </c>
      <c r="B769" s="2">
        <v>45841</v>
      </c>
      <c r="C769" s="1" t="s">
        <v>658</v>
      </c>
      <c r="D769" s="1" t="s">
        <v>66</v>
      </c>
      <c r="E769" s="1" t="s">
        <v>43</v>
      </c>
      <c r="F769" s="1">
        <v>29</v>
      </c>
      <c r="G769" s="1" t="s">
        <v>90</v>
      </c>
      <c r="H769" s="1" t="s">
        <v>31</v>
      </c>
      <c r="I769" s="1" t="s">
        <v>90</v>
      </c>
      <c r="J769" s="1" t="s">
        <v>112</v>
      </c>
      <c r="K769" s="1">
        <v>4</v>
      </c>
      <c r="L769" s="1">
        <v>43820</v>
      </c>
      <c r="M769" s="1">
        <v>10</v>
      </c>
      <c r="N769" s="1">
        <v>17528</v>
      </c>
      <c r="O769" s="1">
        <v>28395.360000000001</v>
      </c>
      <c r="P769" s="1">
        <v>157</v>
      </c>
      <c r="Q769" s="1">
        <v>186304.36</v>
      </c>
      <c r="R769" s="1" t="s">
        <v>45</v>
      </c>
      <c r="S769" s="1" t="s">
        <v>63</v>
      </c>
      <c r="T769" s="1" t="s">
        <v>84</v>
      </c>
      <c r="U769" s="1" t="s">
        <v>85</v>
      </c>
      <c r="V769" s="1" t="s">
        <v>86</v>
      </c>
      <c r="W769" s="1">
        <v>10</v>
      </c>
      <c r="X769" s="1" t="s">
        <v>47</v>
      </c>
      <c r="Y769" s="1">
        <v>4</v>
      </c>
      <c r="Z769" s="1" t="s">
        <v>91</v>
      </c>
    </row>
    <row r="770" spans="1:26" x14ac:dyDescent="0.3">
      <c r="A770" s="1" t="s">
        <v>1373</v>
      </c>
      <c r="B770" s="2">
        <v>45862</v>
      </c>
      <c r="C770" s="1" t="s">
        <v>1374</v>
      </c>
      <c r="D770" s="1" t="s">
        <v>42</v>
      </c>
      <c r="E770" s="1" t="s">
        <v>29</v>
      </c>
      <c r="F770" s="1">
        <v>40</v>
      </c>
      <c r="G770" s="1" t="s">
        <v>51</v>
      </c>
      <c r="H770" s="1" t="s">
        <v>52</v>
      </c>
      <c r="I770" s="1" t="s">
        <v>51</v>
      </c>
      <c r="J770" s="1" t="s">
        <v>201</v>
      </c>
      <c r="K770" s="1">
        <v>3</v>
      </c>
      <c r="L770" s="1">
        <v>13810</v>
      </c>
      <c r="M770" s="1">
        <v>10</v>
      </c>
      <c r="N770" s="1">
        <v>4143</v>
      </c>
      <c r="O770" s="1">
        <v>6711.66</v>
      </c>
      <c r="P770" s="1">
        <v>258</v>
      </c>
      <c r="Q770" s="1">
        <v>44256.66</v>
      </c>
      <c r="R770" s="1" t="s">
        <v>54</v>
      </c>
      <c r="S770" s="1" t="s">
        <v>34</v>
      </c>
      <c r="T770" s="1" t="s">
        <v>95</v>
      </c>
      <c r="U770" s="1" t="s">
        <v>96</v>
      </c>
      <c r="V770" s="1" t="s">
        <v>57</v>
      </c>
      <c r="W770" s="1">
        <v>9</v>
      </c>
      <c r="X770" s="1" t="s">
        <v>38</v>
      </c>
      <c r="Y770" s="1">
        <v>1</v>
      </c>
      <c r="Z770" s="1" t="s">
        <v>39</v>
      </c>
    </row>
    <row r="771" spans="1:26" x14ac:dyDescent="0.3">
      <c r="A771" s="1" t="s">
        <v>1375</v>
      </c>
      <c r="B771" s="2">
        <v>46047</v>
      </c>
      <c r="C771" s="1" t="s">
        <v>1162</v>
      </c>
      <c r="D771" s="1" t="s">
        <v>61</v>
      </c>
      <c r="E771" s="1" t="s">
        <v>43</v>
      </c>
      <c r="F771" s="1">
        <v>40</v>
      </c>
      <c r="G771" s="1" t="s">
        <v>44</v>
      </c>
      <c r="H771" s="1" t="s">
        <v>31</v>
      </c>
      <c r="I771" s="1" t="s">
        <v>44</v>
      </c>
      <c r="J771" s="1" t="s">
        <v>32</v>
      </c>
      <c r="K771" s="1">
        <v>2</v>
      </c>
      <c r="L771" s="1">
        <v>46551</v>
      </c>
      <c r="M771" s="1">
        <v>15</v>
      </c>
      <c r="N771" s="1">
        <v>13965.3</v>
      </c>
      <c r="O771" s="1">
        <v>14244.61</v>
      </c>
      <c r="P771" s="1">
        <v>269</v>
      </c>
      <c r="Q771" s="1">
        <v>93650.31</v>
      </c>
      <c r="R771" s="1" t="s">
        <v>45</v>
      </c>
      <c r="S771" s="1" t="s">
        <v>63</v>
      </c>
      <c r="T771" s="1" t="s">
        <v>95</v>
      </c>
      <c r="U771" s="1" t="s">
        <v>96</v>
      </c>
      <c r="V771" s="1" t="s">
        <v>57</v>
      </c>
      <c r="W771" s="1">
        <v>10</v>
      </c>
      <c r="X771" s="1" t="s">
        <v>38</v>
      </c>
      <c r="Y771" s="1">
        <v>3</v>
      </c>
      <c r="Z771" s="1" t="s">
        <v>58</v>
      </c>
    </row>
    <row r="772" spans="1:26" x14ac:dyDescent="0.3">
      <c r="A772" s="1" t="s">
        <v>1376</v>
      </c>
      <c r="B772" s="2">
        <v>46024</v>
      </c>
      <c r="C772" s="1" t="s">
        <v>365</v>
      </c>
      <c r="D772" s="1" t="s">
        <v>89</v>
      </c>
      <c r="E772" s="1" t="s">
        <v>29</v>
      </c>
      <c r="F772" s="1">
        <v>51</v>
      </c>
      <c r="G772" s="1" t="s">
        <v>30</v>
      </c>
      <c r="H772" s="1" t="s">
        <v>31</v>
      </c>
      <c r="I772" s="1" t="s">
        <v>30</v>
      </c>
      <c r="J772" s="1" t="s">
        <v>62</v>
      </c>
      <c r="K772" s="1">
        <v>1</v>
      </c>
      <c r="L772" s="1">
        <v>39927</v>
      </c>
      <c r="M772" s="1">
        <v>20</v>
      </c>
      <c r="N772" s="1">
        <v>7985.4</v>
      </c>
      <c r="O772" s="1">
        <v>5749.49</v>
      </c>
      <c r="P772" s="1">
        <v>5</v>
      </c>
      <c r="Q772" s="1">
        <v>37696.089999999997</v>
      </c>
      <c r="R772" s="1" t="s">
        <v>45</v>
      </c>
      <c r="S772" s="1" t="s">
        <v>34</v>
      </c>
      <c r="T772" s="1" t="s">
        <v>76</v>
      </c>
      <c r="U772" s="1" t="s">
        <v>77</v>
      </c>
      <c r="V772" s="1" t="s">
        <v>57</v>
      </c>
      <c r="W772" s="1">
        <v>1</v>
      </c>
      <c r="X772" s="1" t="s">
        <v>38</v>
      </c>
      <c r="Y772" s="1">
        <v>5</v>
      </c>
      <c r="Z772" s="1" t="s">
        <v>91</v>
      </c>
    </row>
    <row r="773" spans="1:26" x14ac:dyDescent="0.3">
      <c r="A773" s="1" t="s">
        <v>1377</v>
      </c>
      <c r="B773" s="2">
        <v>45966</v>
      </c>
      <c r="C773" s="1" t="s">
        <v>1378</v>
      </c>
      <c r="D773" s="1" t="s">
        <v>89</v>
      </c>
      <c r="E773" s="1" t="s">
        <v>29</v>
      </c>
      <c r="F773" s="1">
        <v>24</v>
      </c>
      <c r="G773" s="1" t="s">
        <v>99</v>
      </c>
      <c r="H773" s="1" t="s">
        <v>52</v>
      </c>
      <c r="I773" s="1" t="s">
        <v>99</v>
      </c>
      <c r="J773" s="1" t="s">
        <v>53</v>
      </c>
      <c r="K773" s="1">
        <v>4</v>
      </c>
      <c r="L773" s="1">
        <v>26531</v>
      </c>
      <c r="M773" s="1">
        <v>15</v>
      </c>
      <c r="N773" s="1">
        <v>15918.6</v>
      </c>
      <c r="O773" s="1">
        <v>16236.97</v>
      </c>
      <c r="P773" s="1">
        <v>424</v>
      </c>
      <c r="Q773" s="1">
        <v>106866.37</v>
      </c>
      <c r="R773" s="1" t="s">
        <v>83</v>
      </c>
      <c r="S773" s="1" t="s">
        <v>34</v>
      </c>
      <c r="T773" s="1" t="s">
        <v>55</v>
      </c>
      <c r="U773" s="1" t="s">
        <v>56</v>
      </c>
      <c r="V773" s="1" t="s">
        <v>57</v>
      </c>
      <c r="W773" s="1">
        <v>4</v>
      </c>
      <c r="X773" s="1" t="s">
        <v>38</v>
      </c>
      <c r="Y773" s="1">
        <v>4</v>
      </c>
      <c r="Z773" s="1" t="s">
        <v>91</v>
      </c>
    </row>
    <row r="774" spans="1:26" x14ac:dyDescent="0.3">
      <c r="A774" s="1" t="s">
        <v>1379</v>
      </c>
      <c r="B774" s="2">
        <v>45874</v>
      </c>
      <c r="C774" s="1" t="s">
        <v>523</v>
      </c>
      <c r="D774" s="1" t="s">
        <v>42</v>
      </c>
      <c r="E774" s="1" t="s">
        <v>29</v>
      </c>
      <c r="F774" s="1">
        <v>50</v>
      </c>
      <c r="G774" s="1" t="s">
        <v>67</v>
      </c>
      <c r="H774" s="1" t="s">
        <v>68</v>
      </c>
      <c r="I774" s="1" t="s">
        <v>67</v>
      </c>
      <c r="J774" s="1" t="s">
        <v>53</v>
      </c>
      <c r="K774" s="1">
        <v>3</v>
      </c>
      <c r="L774" s="1">
        <v>17924</v>
      </c>
      <c r="M774" s="1">
        <v>5</v>
      </c>
      <c r="N774" s="1">
        <v>2688.6</v>
      </c>
      <c r="O774" s="1">
        <v>9195.01</v>
      </c>
      <c r="P774" s="1">
        <v>37</v>
      </c>
      <c r="Q774" s="1">
        <v>60315.41</v>
      </c>
      <c r="R774" s="1" t="s">
        <v>45</v>
      </c>
      <c r="S774" s="1" t="s">
        <v>63</v>
      </c>
      <c r="T774" s="1" t="s">
        <v>46</v>
      </c>
      <c r="U774" s="1" t="s">
        <v>36</v>
      </c>
      <c r="V774" s="1" t="s">
        <v>37</v>
      </c>
      <c r="W774" s="1">
        <v>8</v>
      </c>
      <c r="X774" s="1" t="s">
        <v>47</v>
      </c>
      <c r="Y774" s="1">
        <v>1</v>
      </c>
      <c r="Z774" s="1" t="s">
        <v>58</v>
      </c>
    </row>
    <row r="775" spans="1:26" x14ac:dyDescent="0.3">
      <c r="A775" s="1" t="s">
        <v>1380</v>
      </c>
      <c r="B775" s="2">
        <v>45921</v>
      </c>
      <c r="C775" s="1" t="s">
        <v>631</v>
      </c>
      <c r="D775" s="1" t="s">
        <v>28</v>
      </c>
      <c r="E775" s="1" t="s">
        <v>29</v>
      </c>
      <c r="F775" s="1">
        <v>26</v>
      </c>
      <c r="G775" s="1" t="s">
        <v>134</v>
      </c>
      <c r="H775" s="1" t="s">
        <v>31</v>
      </c>
      <c r="I775" s="1" t="s">
        <v>134</v>
      </c>
      <c r="J775" s="1" t="s">
        <v>62</v>
      </c>
      <c r="K775" s="1">
        <v>5</v>
      </c>
      <c r="L775" s="1">
        <v>14793</v>
      </c>
      <c r="M775" s="1">
        <v>0</v>
      </c>
      <c r="N775" s="1">
        <v>0</v>
      </c>
      <c r="O775" s="1">
        <v>13313.7</v>
      </c>
      <c r="P775" s="1">
        <v>61</v>
      </c>
      <c r="Q775" s="1">
        <v>87339.7</v>
      </c>
      <c r="R775" s="1" t="s">
        <v>83</v>
      </c>
      <c r="S775" s="1" t="s">
        <v>63</v>
      </c>
      <c r="T775" s="1" t="s">
        <v>55</v>
      </c>
      <c r="U775" s="1" t="s">
        <v>56</v>
      </c>
      <c r="V775" s="1" t="s">
        <v>57</v>
      </c>
      <c r="W775" s="1">
        <v>4</v>
      </c>
      <c r="X775" s="1" t="s">
        <v>38</v>
      </c>
      <c r="Y775" s="1">
        <v>5</v>
      </c>
      <c r="Z775" s="1" t="s">
        <v>39</v>
      </c>
    </row>
    <row r="776" spans="1:26" x14ac:dyDescent="0.3">
      <c r="A776" s="1" t="s">
        <v>1381</v>
      </c>
      <c r="B776" s="2">
        <v>45866</v>
      </c>
      <c r="C776" s="1" t="s">
        <v>722</v>
      </c>
      <c r="D776" s="1" t="s">
        <v>111</v>
      </c>
      <c r="E776" s="1" t="s">
        <v>43</v>
      </c>
      <c r="F776" s="1">
        <v>26</v>
      </c>
      <c r="G776" s="1" t="s">
        <v>44</v>
      </c>
      <c r="H776" s="1" t="s">
        <v>31</v>
      </c>
      <c r="I776" s="1" t="s">
        <v>44</v>
      </c>
      <c r="J776" s="1" t="s">
        <v>62</v>
      </c>
      <c r="K776" s="1">
        <v>5</v>
      </c>
      <c r="L776" s="1">
        <v>47888</v>
      </c>
      <c r="M776" s="1">
        <v>10</v>
      </c>
      <c r="N776" s="1">
        <v>23944</v>
      </c>
      <c r="O776" s="1">
        <v>38789.279999999999</v>
      </c>
      <c r="P776" s="1">
        <v>381</v>
      </c>
      <c r="Q776" s="1">
        <v>254666.28</v>
      </c>
      <c r="R776" s="1" t="s">
        <v>54</v>
      </c>
      <c r="S776" s="1" t="s">
        <v>63</v>
      </c>
      <c r="T776" s="1" t="s">
        <v>46</v>
      </c>
      <c r="U776" s="1" t="s">
        <v>36</v>
      </c>
      <c r="V776" s="1" t="s">
        <v>37</v>
      </c>
      <c r="W776" s="1">
        <v>1</v>
      </c>
      <c r="X776" s="1" t="s">
        <v>38</v>
      </c>
      <c r="Y776" s="1">
        <v>3</v>
      </c>
      <c r="Z776" s="1" t="s">
        <v>58</v>
      </c>
    </row>
    <row r="777" spans="1:26" x14ac:dyDescent="0.3">
      <c r="A777" s="1" t="s">
        <v>1382</v>
      </c>
      <c r="B777" s="2">
        <v>45774</v>
      </c>
      <c r="C777" s="1" t="s">
        <v>149</v>
      </c>
      <c r="D777" s="1" t="s">
        <v>28</v>
      </c>
      <c r="E777" s="1" t="s">
        <v>43</v>
      </c>
      <c r="F777" s="1">
        <v>42</v>
      </c>
      <c r="G777" s="1" t="s">
        <v>139</v>
      </c>
      <c r="H777" s="1" t="s">
        <v>31</v>
      </c>
      <c r="I777" s="1" t="s">
        <v>139</v>
      </c>
      <c r="J777" s="1" t="s">
        <v>102</v>
      </c>
      <c r="K777" s="1">
        <v>4</v>
      </c>
      <c r="L777" s="1">
        <v>9646</v>
      </c>
      <c r="M777" s="1">
        <v>5</v>
      </c>
      <c r="N777" s="1">
        <v>1929.2</v>
      </c>
      <c r="O777" s="1">
        <v>6597.86</v>
      </c>
      <c r="P777" s="1">
        <v>331</v>
      </c>
      <c r="Q777" s="1">
        <v>43583.66</v>
      </c>
      <c r="R777" s="1" t="s">
        <v>54</v>
      </c>
      <c r="S777" s="1" t="s">
        <v>63</v>
      </c>
      <c r="T777" s="1" t="s">
        <v>95</v>
      </c>
      <c r="U777" s="1" t="s">
        <v>96</v>
      </c>
      <c r="V777" s="1" t="s">
        <v>57</v>
      </c>
      <c r="W777" s="1">
        <v>8</v>
      </c>
      <c r="X777" s="1" t="s">
        <v>47</v>
      </c>
      <c r="Y777" s="1">
        <v>5</v>
      </c>
      <c r="Z777" s="1" t="s">
        <v>47</v>
      </c>
    </row>
    <row r="778" spans="1:26" x14ac:dyDescent="0.3">
      <c r="A778" s="1" t="s">
        <v>1383</v>
      </c>
      <c r="B778" s="2">
        <v>45805</v>
      </c>
      <c r="C778" s="1" t="s">
        <v>451</v>
      </c>
      <c r="D778" s="1" t="s">
        <v>61</v>
      </c>
      <c r="E778" s="1" t="s">
        <v>29</v>
      </c>
      <c r="F778" s="1">
        <v>38</v>
      </c>
      <c r="G778" s="1" t="s">
        <v>74</v>
      </c>
      <c r="H778" s="1" t="s">
        <v>31</v>
      </c>
      <c r="I778" s="1" t="s">
        <v>74</v>
      </c>
      <c r="J778" s="1" t="s">
        <v>102</v>
      </c>
      <c r="K778" s="1">
        <v>4</v>
      </c>
      <c r="L778" s="1">
        <v>4941</v>
      </c>
      <c r="M778" s="1">
        <v>20</v>
      </c>
      <c r="N778" s="1">
        <v>3952.8</v>
      </c>
      <c r="O778" s="1">
        <v>2846.02</v>
      </c>
      <c r="P778" s="1">
        <v>305</v>
      </c>
      <c r="Q778" s="1">
        <v>18962.22</v>
      </c>
      <c r="R778" s="1" t="s">
        <v>33</v>
      </c>
      <c r="S778" s="1" t="s">
        <v>63</v>
      </c>
      <c r="T778" s="1" t="s">
        <v>35</v>
      </c>
      <c r="U778" s="1" t="s">
        <v>36</v>
      </c>
      <c r="V778" s="1" t="s">
        <v>37</v>
      </c>
      <c r="W778" s="1">
        <v>9</v>
      </c>
      <c r="X778" s="1" t="s">
        <v>38</v>
      </c>
      <c r="Y778" s="1">
        <v>1</v>
      </c>
      <c r="Z778" s="1" t="s">
        <v>39</v>
      </c>
    </row>
    <row r="779" spans="1:26" x14ac:dyDescent="0.3">
      <c r="A779" s="1" t="s">
        <v>1384</v>
      </c>
      <c r="B779" s="2">
        <v>45849</v>
      </c>
      <c r="C779" s="1" t="s">
        <v>1237</v>
      </c>
      <c r="D779" s="1" t="s">
        <v>28</v>
      </c>
      <c r="E779" s="1" t="s">
        <v>29</v>
      </c>
      <c r="F779" s="1">
        <v>52</v>
      </c>
      <c r="G779" s="1" t="s">
        <v>99</v>
      </c>
      <c r="H779" s="1" t="s">
        <v>52</v>
      </c>
      <c r="I779" s="1" t="s">
        <v>99</v>
      </c>
      <c r="J779" s="1" t="s">
        <v>62</v>
      </c>
      <c r="K779" s="1">
        <v>3</v>
      </c>
      <c r="L779" s="1">
        <v>39057</v>
      </c>
      <c r="M779" s="1">
        <v>10</v>
      </c>
      <c r="N779" s="1">
        <v>11717.1</v>
      </c>
      <c r="O779" s="1">
        <v>18981.7</v>
      </c>
      <c r="P779" s="1">
        <v>493</v>
      </c>
      <c r="Q779" s="1">
        <v>124928.6</v>
      </c>
      <c r="R779" s="1" t="s">
        <v>54</v>
      </c>
      <c r="S779" s="1" t="s">
        <v>63</v>
      </c>
      <c r="T779" s="1" t="s">
        <v>84</v>
      </c>
      <c r="U779" s="1" t="s">
        <v>85</v>
      </c>
      <c r="V779" s="1" t="s">
        <v>86</v>
      </c>
      <c r="W779" s="1">
        <v>1</v>
      </c>
      <c r="X779" s="1" t="s">
        <v>38</v>
      </c>
      <c r="Y779" s="1">
        <v>3</v>
      </c>
      <c r="Z779" s="1" t="s">
        <v>58</v>
      </c>
    </row>
    <row r="780" spans="1:26" x14ac:dyDescent="0.3">
      <c r="A780" s="1" t="s">
        <v>1385</v>
      </c>
      <c r="B780" s="2">
        <v>45840</v>
      </c>
      <c r="C780" s="1" t="s">
        <v>814</v>
      </c>
      <c r="D780" s="1" t="s">
        <v>28</v>
      </c>
      <c r="E780" s="1" t="s">
        <v>29</v>
      </c>
      <c r="F780" s="1">
        <v>49</v>
      </c>
      <c r="G780" s="1" t="s">
        <v>30</v>
      </c>
      <c r="H780" s="1" t="s">
        <v>31</v>
      </c>
      <c r="I780" s="1" t="s">
        <v>30</v>
      </c>
      <c r="J780" s="1" t="s">
        <v>125</v>
      </c>
      <c r="K780" s="1">
        <v>3</v>
      </c>
      <c r="L780" s="1">
        <v>1818</v>
      </c>
      <c r="M780" s="1">
        <v>10</v>
      </c>
      <c r="N780" s="1">
        <v>545.4</v>
      </c>
      <c r="O780" s="1">
        <v>883.55</v>
      </c>
      <c r="P780" s="1">
        <v>304</v>
      </c>
      <c r="Q780" s="1">
        <v>6096.15</v>
      </c>
      <c r="R780" s="1" t="s">
        <v>54</v>
      </c>
      <c r="S780" s="1" t="s">
        <v>63</v>
      </c>
      <c r="T780" s="1" t="s">
        <v>70</v>
      </c>
      <c r="U780" s="1" t="s">
        <v>56</v>
      </c>
      <c r="V780" s="1" t="s">
        <v>57</v>
      </c>
      <c r="W780" s="1">
        <v>2</v>
      </c>
      <c r="X780" s="1" t="s">
        <v>38</v>
      </c>
      <c r="Y780" s="1">
        <v>4</v>
      </c>
      <c r="Z780" s="1" t="s">
        <v>91</v>
      </c>
    </row>
    <row r="781" spans="1:26" x14ac:dyDescent="0.3">
      <c r="A781" s="1" t="s">
        <v>1386</v>
      </c>
      <c r="B781" s="2">
        <v>46108</v>
      </c>
      <c r="C781" s="1" t="s">
        <v>1387</v>
      </c>
      <c r="D781" s="1" t="s">
        <v>66</v>
      </c>
      <c r="E781" s="1" t="s">
        <v>43</v>
      </c>
      <c r="F781" s="1">
        <v>18</v>
      </c>
      <c r="G781" s="1" t="s">
        <v>90</v>
      </c>
      <c r="H781" s="1" t="s">
        <v>31</v>
      </c>
      <c r="I781" s="1" t="s">
        <v>90</v>
      </c>
      <c r="J781" s="1" t="s">
        <v>102</v>
      </c>
      <c r="K781" s="1">
        <v>2</v>
      </c>
      <c r="L781" s="1">
        <v>18717</v>
      </c>
      <c r="M781" s="1">
        <v>10</v>
      </c>
      <c r="N781" s="1">
        <v>3743.4</v>
      </c>
      <c r="O781" s="1">
        <v>6064.31</v>
      </c>
      <c r="P781" s="1">
        <v>4</v>
      </c>
      <c r="Q781" s="1">
        <v>39758.910000000003</v>
      </c>
      <c r="R781" s="1" t="s">
        <v>83</v>
      </c>
      <c r="S781" s="1" t="s">
        <v>34</v>
      </c>
      <c r="T781" s="1" t="s">
        <v>46</v>
      </c>
      <c r="U781" s="1" t="s">
        <v>36</v>
      </c>
      <c r="V781" s="1" t="s">
        <v>37</v>
      </c>
      <c r="W781" s="1">
        <v>3</v>
      </c>
      <c r="X781" s="1" t="s">
        <v>47</v>
      </c>
      <c r="Y781" s="1">
        <v>1</v>
      </c>
      <c r="Z781" s="1" t="s">
        <v>91</v>
      </c>
    </row>
    <row r="782" spans="1:26" x14ac:dyDescent="0.3">
      <c r="A782" s="1" t="s">
        <v>1388</v>
      </c>
      <c r="B782" s="2">
        <v>46054</v>
      </c>
      <c r="C782" s="1" t="s">
        <v>101</v>
      </c>
      <c r="D782" s="1" t="s">
        <v>89</v>
      </c>
      <c r="E782" s="1" t="s">
        <v>43</v>
      </c>
      <c r="F782" s="1">
        <v>21</v>
      </c>
      <c r="G782" s="1" t="s">
        <v>51</v>
      </c>
      <c r="H782" s="1" t="s">
        <v>52</v>
      </c>
      <c r="I782" s="1" t="s">
        <v>51</v>
      </c>
      <c r="J782" s="1" t="s">
        <v>69</v>
      </c>
      <c r="K782" s="1">
        <v>4</v>
      </c>
      <c r="L782" s="1">
        <v>14573</v>
      </c>
      <c r="M782" s="1">
        <v>0</v>
      </c>
      <c r="N782" s="1">
        <v>0</v>
      </c>
      <c r="O782" s="1">
        <v>10492.56</v>
      </c>
      <c r="P782" s="1">
        <v>385</v>
      </c>
      <c r="Q782" s="1">
        <v>69169.56</v>
      </c>
      <c r="R782" s="1" t="s">
        <v>54</v>
      </c>
      <c r="S782" s="1" t="s">
        <v>63</v>
      </c>
      <c r="T782" s="1" t="s">
        <v>95</v>
      </c>
      <c r="U782" s="1" t="s">
        <v>96</v>
      </c>
      <c r="V782" s="1" t="s">
        <v>57</v>
      </c>
      <c r="W782" s="1">
        <v>10</v>
      </c>
      <c r="X782" s="1" t="s">
        <v>38</v>
      </c>
      <c r="Y782" s="1">
        <v>3</v>
      </c>
      <c r="Z782" s="1" t="s">
        <v>91</v>
      </c>
    </row>
    <row r="783" spans="1:26" x14ac:dyDescent="0.3">
      <c r="A783" s="1" t="s">
        <v>1389</v>
      </c>
      <c r="B783" s="2">
        <v>45956</v>
      </c>
      <c r="C783" s="1" t="s">
        <v>1390</v>
      </c>
      <c r="D783" s="1" t="s">
        <v>50</v>
      </c>
      <c r="E783" s="1" t="s">
        <v>43</v>
      </c>
      <c r="F783" s="1">
        <v>54</v>
      </c>
      <c r="G783" s="1" t="s">
        <v>134</v>
      </c>
      <c r="H783" s="1" t="s">
        <v>31</v>
      </c>
      <c r="I783" s="1" t="s">
        <v>134</v>
      </c>
      <c r="J783" s="1" t="s">
        <v>102</v>
      </c>
      <c r="K783" s="1">
        <v>4</v>
      </c>
      <c r="L783" s="1">
        <v>11813</v>
      </c>
      <c r="M783" s="1">
        <v>10</v>
      </c>
      <c r="N783" s="1">
        <v>4725.2</v>
      </c>
      <c r="O783" s="1">
        <v>7654.82</v>
      </c>
      <c r="P783" s="1">
        <v>205</v>
      </c>
      <c r="Q783" s="1">
        <v>50386.62</v>
      </c>
      <c r="R783" s="1" t="s">
        <v>83</v>
      </c>
      <c r="S783" s="1" t="s">
        <v>63</v>
      </c>
      <c r="T783" s="1" t="s">
        <v>76</v>
      </c>
      <c r="U783" s="1" t="s">
        <v>77</v>
      </c>
      <c r="V783" s="1" t="s">
        <v>57</v>
      </c>
      <c r="W783" s="1">
        <v>9</v>
      </c>
      <c r="X783" s="1" t="s">
        <v>38</v>
      </c>
      <c r="Y783" s="1">
        <v>2</v>
      </c>
      <c r="Z783" s="1" t="s">
        <v>47</v>
      </c>
    </row>
    <row r="784" spans="1:26" x14ac:dyDescent="0.3">
      <c r="A784" s="1" t="s">
        <v>1391</v>
      </c>
      <c r="B784" s="2">
        <v>45854</v>
      </c>
      <c r="C784" s="1" t="s">
        <v>1392</v>
      </c>
      <c r="D784" s="1" t="s">
        <v>108</v>
      </c>
      <c r="E784" s="1" t="s">
        <v>43</v>
      </c>
      <c r="F784" s="1">
        <v>32</v>
      </c>
      <c r="G784" s="1" t="s">
        <v>30</v>
      </c>
      <c r="H784" s="1" t="s">
        <v>31</v>
      </c>
      <c r="I784" s="1" t="s">
        <v>30</v>
      </c>
      <c r="J784" s="1" t="s">
        <v>62</v>
      </c>
      <c r="K784" s="1">
        <v>1</v>
      </c>
      <c r="L784" s="1">
        <v>8738</v>
      </c>
      <c r="M784" s="1">
        <v>5</v>
      </c>
      <c r="N784" s="1">
        <v>436.9</v>
      </c>
      <c r="O784" s="1">
        <v>1494.2</v>
      </c>
      <c r="P784" s="1">
        <v>184</v>
      </c>
      <c r="Q784" s="1">
        <v>9979.2999999999993</v>
      </c>
      <c r="R784" s="1" t="s">
        <v>83</v>
      </c>
      <c r="S784" s="1" t="s">
        <v>63</v>
      </c>
      <c r="T784" s="1" t="s">
        <v>103</v>
      </c>
      <c r="U784" s="1" t="s">
        <v>103</v>
      </c>
      <c r="V784" s="1" t="s">
        <v>57</v>
      </c>
      <c r="W784" s="1">
        <v>7</v>
      </c>
      <c r="X784" s="1" t="s">
        <v>38</v>
      </c>
      <c r="Y784" s="1">
        <v>4</v>
      </c>
      <c r="Z784" s="1" t="s">
        <v>91</v>
      </c>
    </row>
    <row r="785" spans="1:26" x14ac:dyDescent="0.3">
      <c r="A785" s="1" t="s">
        <v>1393</v>
      </c>
      <c r="B785" s="2">
        <v>45963</v>
      </c>
      <c r="C785" s="1" t="s">
        <v>323</v>
      </c>
      <c r="D785" s="1" t="s">
        <v>111</v>
      </c>
      <c r="E785" s="1" t="s">
        <v>43</v>
      </c>
      <c r="F785" s="1">
        <v>29</v>
      </c>
      <c r="G785" s="1" t="s">
        <v>30</v>
      </c>
      <c r="H785" s="1" t="s">
        <v>31</v>
      </c>
      <c r="I785" s="1" t="s">
        <v>30</v>
      </c>
      <c r="J785" s="1" t="s">
        <v>32</v>
      </c>
      <c r="K785" s="1">
        <v>4</v>
      </c>
      <c r="L785" s="1">
        <v>1489</v>
      </c>
      <c r="M785" s="1">
        <v>20</v>
      </c>
      <c r="N785" s="1">
        <v>1191.2</v>
      </c>
      <c r="O785" s="1">
        <v>857.66</v>
      </c>
      <c r="P785" s="1">
        <v>442</v>
      </c>
      <c r="Q785" s="1">
        <v>6064.46</v>
      </c>
      <c r="R785" s="1" t="s">
        <v>45</v>
      </c>
      <c r="S785" s="1" t="s">
        <v>63</v>
      </c>
      <c r="T785" s="1" t="s">
        <v>76</v>
      </c>
      <c r="U785" s="1" t="s">
        <v>77</v>
      </c>
      <c r="V785" s="1" t="s">
        <v>57</v>
      </c>
      <c r="W785" s="1">
        <v>5</v>
      </c>
      <c r="X785" s="1" t="s">
        <v>47</v>
      </c>
      <c r="Y785" s="1">
        <v>5</v>
      </c>
      <c r="Z785" s="1" t="s">
        <v>39</v>
      </c>
    </row>
    <row r="786" spans="1:26" x14ac:dyDescent="0.3">
      <c r="A786" s="1" t="s">
        <v>1394</v>
      </c>
      <c r="B786" s="2">
        <v>46083</v>
      </c>
      <c r="C786" s="1" t="s">
        <v>1063</v>
      </c>
      <c r="D786" s="1" t="s">
        <v>89</v>
      </c>
      <c r="E786" s="1" t="s">
        <v>43</v>
      </c>
      <c r="F786" s="1">
        <v>29</v>
      </c>
      <c r="G786" s="1" t="s">
        <v>99</v>
      </c>
      <c r="H786" s="1" t="s">
        <v>52</v>
      </c>
      <c r="I786" s="1" t="s">
        <v>99</v>
      </c>
      <c r="J786" s="1" t="s">
        <v>62</v>
      </c>
      <c r="K786" s="1">
        <v>1</v>
      </c>
      <c r="L786" s="1">
        <v>9101</v>
      </c>
      <c r="M786" s="1">
        <v>5</v>
      </c>
      <c r="N786" s="1">
        <v>455.05</v>
      </c>
      <c r="O786" s="1">
        <v>1556.27</v>
      </c>
      <c r="P786" s="1">
        <v>408</v>
      </c>
      <c r="Q786" s="1">
        <v>10610.22</v>
      </c>
      <c r="R786" s="1" t="s">
        <v>83</v>
      </c>
      <c r="S786" s="1" t="s">
        <v>63</v>
      </c>
      <c r="T786" s="1" t="s">
        <v>84</v>
      </c>
      <c r="U786" s="1" t="s">
        <v>85</v>
      </c>
      <c r="V786" s="1" t="s">
        <v>86</v>
      </c>
      <c r="W786" s="1">
        <v>2</v>
      </c>
      <c r="X786" s="1" t="s">
        <v>47</v>
      </c>
      <c r="Y786" s="1">
        <v>3</v>
      </c>
      <c r="Z786" s="1" t="s">
        <v>91</v>
      </c>
    </row>
    <row r="787" spans="1:26" x14ac:dyDescent="0.3">
      <c r="A787" s="1" t="s">
        <v>1395</v>
      </c>
      <c r="B787" s="2">
        <v>46105</v>
      </c>
      <c r="C787" s="1" t="s">
        <v>521</v>
      </c>
      <c r="D787" s="1" t="s">
        <v>42</v>
      </c>
      <c r="E787" s="1" t="s">
        <v>43</v>
      </c>
      <c r="F787" s="1">
        <v>58</v>
      </c>
      <c r="G787" s="1" t="s">
        <v>51</v>
      </c>
      <c r="H787" s="1" t="s">
        <v>52</v>
      </c>
      <c r="I787" s="1" t="s">
        <v>51</v>
      </c>
      <c r="J787" s="1" t="s">
        <v>112</v>
      </c>
      <c r="K787" s="1">
        <v>3</v>
      </c>
      <c r="L787" s="1">
        <v>28364</v>
      </c>
      <c r="M787" s="1">
        <v>20</v>
      </c>
      <c r="N787" s="1">
        <v>17018.400000000001</v>
      </c>
      <c r="O787" s="1">
        <v>12253.25</v>
      </c>
      <c r="P787" s="1">
        <v>411</v>
      </c>
      <c r="Q787" s="1">
        <v>80737.850000000006</v>
      </c>
      <c r="R787" s="1" t="s">
        <v>83</v>
      </c>
      <c r="S787" s="1" t="s">
        <v>34</v>
      </c>
      <c r="T787" s="1" t="s">
        <v>76</v>
      </c>
      <c r="U787" s="1" t="s">
        <v>77</v>
      </c>
      <c r="V787" s="1" t="s">
        <v>57</v>
      </c>
      <c r="W787" s="1">
        <v>7</v>
      </c>
      <c r="X787" s="1" t="s">
        <v>47</v>
      </c>
      <c r="Y787" s="1">
        <v>4</v>
      </c>
      <c r="Z787" s="1" t="s">
        <v>47</v>
      </c>
    </row>
    <row r="788" spans="1:26" x14ac:dyDescent="0.3">
      <c r="A788" s="1" t="s">
        <v>1396</v>
      </c>
      <c r="B788" s="2">
        <v>46029</v>
      </c>
      <c r="C788" s="1" t="s">
        <v>1397</v>
      </c>
      <c r="D788" s="1" t="s">
        <v>42</v>
      </c>
      <c r="E788" s="1" t="s">
        <v>43</v>
      </c>
      <c r="F788" s="1">
        <v>25</v>
      </c>
      <c r="G788" s="1" t="s">
        <v>74</v>
      </c>
      <c r="H788" s="1" t="s">
        <v>31</v>
      </c>
      <c r="I788" s="1" t="s">
        <v>74</v>
      </c>
      <c r="J788" s="1" t="s">
        <v>62</v>
      </c>
      <c r="K788" s="1">
        <v>3</v>
      </c>
      <c r="L788" s="1">
        <v>26567</v>
      </c>
      <c r="M788" s="1">
        <v>20</v>
      </c>
      <c r="N788" s="1">
        <v>15940.2</v>
      </c>
      <c r="O788" s="1">
        <v>11476.94</v>
      </c>
      <c r="P788" s="1">
        <v>289</v>
      </c>
      <c r="Q788" s="1">
        <v>75526.740000000005</v>
      </c>
      <c r="R788" s="1" t="s">
        <v>54</v>
      </c>
      <c r="S788" s="1" t="s">
        <v>63</v>
      </c>
      <c r="T788" s="1" t="s">
        <v>103</v>
      </c>
      <c r="U788" s="1" t="s">
        <v>103</v>
      </c>
      <c r="V788" s="1" t="s">
        <v>57</v>
      </c>
      <c r="W788" s="1">
        <v>8</v>
      </c>
      <c r="X788" s="1" t="s">
        <v>47</v>
      </c>
      <c r="Y788" s="1">
        <v>2</v>
      </c>
      <c r="Z788" s="1" t="s">
        <v>47</v>
      </c>
    </row>
    <row r="789" spans="1:26" x14ac:dyDescent="0.3">
      <c r="A789" s="1" t="s">
        <v>1398</v>
      </c>
      <c r="B789" s="2">
        <v>46026</v>
      </c>
      <c r="C789" s="1" t="s">
        <v>1399</v>
      </c>
      <c r="D789" s="1" t="s">
        <v>50</v>
      </c>
      <c r="E789" s="1" t="s">
        <v>43</v>
      </c>
      <c r="F789" s="1">
        <v>40</v>
      </c>
      <c r="G789" s="1" t="s">
        <v>74</v>
      </c>
      <c r="H789" s="1" t="s">
        <v>31</v>
      </c>
      <c r="I789" s="1" t="s">
        <v>74</v>
      </c>
      <c r="J789" s="1" t="s">
        <v>32</v>
      </c>
      <c r="K789" s="1">
        <v>4</v>
      </c>
      <c r="L789" s="1">
        <v>36398</v>
      </c>
      <c r="M789" s="1">
        <v>20</v>
      </c>
      <c r="N789" s="1">
        <v>29118.400000000001</v>
      </c>
      <c r="O789" s="1">
        <v>20965.25</v>
      </c>
      <c r="P789" s="1">
        <v>62</v>
      </c>
      <c r="Q789" s="1">
        <v>137500.85</v>
      </c>
      <c r="R789" s="1" t="s">
        <v>33</v>
      </c>
      <c r="S789" s="1" t="s">
        <v>63</v>
      </c>
      <c r="T789" s="1" t="s">
        <v>103</v>
      </c>
      <c r="U789" s="1" t="s">
        <v>103</v>
      </c>
      <c r="V789" s="1" t="s">
        <v>57</v>
      </c>
      <c r="W789" s="1">
        <v>8</v>
      </c>
      <c r="X789" s="1" t="s">
        <v>38</v>
      </c>
      <c r="Y789" s="1">
        <v>2</v>
      </c>
      <c r="Z789" s="1" t="s">
        <v>47</v>
      </c>
    </row>
    <row r="790" spans="1:26" x14ac:dyDescent="0.3">
      <c r="A790" s="1" t="s">
        <v>1400</v>
      </c>
      <c r="B790" s="2">
        <v>45858</v>
      </c>
      <c r="C790" s="1" t="s">
        <v>1401</v>
      </c>
      <c r="D790" s="1" t="s">
        <v>42</v>
      </c>
      <c r="E790" s="1" t="s">
        <v>29</v>
      </c>
      <c r="F790" s="1">
        <v>26</v>
      </c>
      <c r="G790" s="1" t="s">
        <v>139</v>
      </c>
      <c r="H790" s="1" t="s">
        <v>31</v>
      </c>
      <c r="I790" s="1" t="s">
        <v>139</v>
      </c>
      <c r="J790" s="1" t="s">
        <v>125</v>
      </c>
      <c r="K790" s="1">
        <v>3</v>
      </c>
      <c r="L790" s="1">
        <v>5708</v>
      </c>
      <c r="M790" s="1">
        <v>10</v>
      </c>
      <c r="N790" s="1">
        <v>1712.4</v>
      </c>
      <c r="O790" s="1">
        <v>2774.09</v>
      </c>
      <c r="P790" s="1">
        <v>270</v>
      </c>
      <c r="Q790" s="1">
        <v>18455.689999999999</v>
      </c>
      <c r="R790" s="1" t="s">
        <v>83</v>
      </c>
      <c r="S790" s="1" t="s">
        <v>34</v>
      </c>
      <c r="T790" s="1" t="s">
        <v>55</v>
      </c>
      <c r="U790" s="1" t="s">
        <v>56</v>
      </c>
      <c r="V790" s="1" t="s">
        <v>57</v>
      </c>
      <c r="W790" s="1">
        <v>2</v>
      </c>
      <c r="X790" s="1" t="s">
        <v>47</v>
      </c>
      <c r="Y790" s="1">
        <v>1</v>
      </c>
      <c r="Z790" s="1" t="s">
        <v>91</v>
      </c>
    </row>
    <row r="791" spans="1:26" x14ac:dyDescent="0.3">
      <c r="A791" s="1" t="s">
        <v>1402</v>
      </c>
      <c r="B791" s="2">
        <v>45757</v>
      </c>
      <c r="C791" s="1" t="s">
        <v>162</v>
      </c>
      <c r="D791" s="1" t="s">
        <v>50</v>
      </c>
      <c r="E791" s="1" t="s">
        <v>43</v>
      </c>
      <c r="F791" s="1">
        <v>34</v>
      </c>
      <c r="G791" s="1" t="s">
        <v>44</v>
      </c>
      <c r="H791" s="1" t="s">
        <v>31</v>
      </c>
      <c r="I791" s="1" t="s">
        <v>44</v>
      </c>
      <c r="J791" s="1" t="s">
        <v>112</v>
      </c>
      <c r="K791" s="1">
        <v>5</v>
      </c>
      <c r="L791" s="1">
        <v>41929</v>
      </c>
      <c r="M791" s="1">
        <v>10</v>
      </c>
      <c r="N791" s="1">
        <v>20964.5</v>
      </c>
      <c r="O791" s="1">
        <v>33962.49</v>
      </c>
      <c r="P791" s="1">
        <v>167</v>
      </c>
      <c r="Q791" s="1">
        <v>222809.99</v>
      </c>
      <c r="R791" s="1" t="s">
        <v>45</v>
      </c>
      <c r="S791" s="1" t="s">
        <v>63</v>
      </c>
      <c r="T791" s="1" t="s">
        <v>95</v>
      </c>
      <c r="U791" s="1" t="s">
        <v>96</v>
      </c>
      <c r="V791" s="1" t="s">
        <v>57</v>
      </c>
      <c r="W791" s="1">
        <v>7</v>
      </c>
      <c r="X791" s="1" t="s">
        <v>38</v>
      </c>
      <c r="Y791" s="1">
        <v>3</v>
      </c>
      <c r="Z791" s="1" t="s">
        <v>58</v>
      </c>
    </row>
    <row r="792" spans="1:26" x14ac:dyDescent="0.3">
      <c r="A792" s="1" t="s">
        <v>1403</v>
      </c>
      <c r="B792" s="2">
        <v>46081</v>
      </c>
      <c r="C792" s="1" t="s">
        <v>1404</v>
      </c>
      <c r="D792" s="1" t="s">
        <v>111</v>
      </c>
      <c r="E792" s="1" t="s">
        <v>43</v>
      </c>
      <c r="F792" s="1">
        <v>43</v>
      </c>
      <c r="G792" s="1" t="s">
        <v>139</v>
      </c>
      <c r="H792" s="1" t="s">
        <v>31</v>
      </c>
      <c r="I792" s="1" t="s">
        <v>139</v>
      </c>
      <c r="J792" s="1" t="s">
        <v>62</v>
      </c>
      <c r="K792" s="1">
        <v>4</v>
      </c>
      <c r="L792" s="1">
        <v>28575</v>
      </c>
      <c r="M792" s="1">
        <v>15</v>
      </c>
      <c r="N792" s="1">
        <v>17145</v>
      </c>
      <c r="O792" s="1">
        <v>17487.900000000001</v>
      </c>
      <c r="P792" s="1">
        <v>226</v>
      </c>
      <c r="Q792" s="1">
        <v>114868.9</v>
      </c>
      <c r="R792" s="1" t="s">
        <v>45</v>
      </c>
      <c r="S792" s="1" t="s">
        <v>63</v>
      </c>
      <c r="T792" s="1" t="s">
        <v>76</v>
      </c>
      <c r="U792" s="1" t="s">
        <v>77</v>
      </c>
      <c r="V792" s="1" t="s">
        <v>57</v>
      </c>
      <c r="W792" s="1">
        <v>1</v>
      </c>
      <c r="X792" s="1" t="s">
        <v>38</v>
      </c>
      <c r="Y792" s="1">
        <v>5</v>
      </c>
      <c r="Z792" s="1" t="s">
        <v>39</v>
      </c>
    </row>
    <row r="793" spans="1:26" x14ac:dyDescent="0.3">
      <c r="A793" s="1" t="s">
        <v>1405</v>
      </c>
      <c r="B793" s="2">
        <v>46052</v>
      </c>
      <c r="C793" s="1" t="s">
        <v>1336</v>
      </c>
      <c r="D793" s="1" t="s">
        <v>66</v>
      </c>
      <c r="E793" s="1" t="s">
        <v>43</v>
      </c>
      <c r="F793" s="1">
        <v>55</v>
      </c>
      <c r="G793" s="1" t="s">
        <v>44</v>
      </c>
      <c r="H793" s="1" t="s">
        <v>31</v>
      </c>
      <c r="I793" s="1" t="s">
        <v>44</v>
      </c>
      <c r="J793" s="1" t="s">
        <v>75</v>
      </c>
      <c r="K793" s="1">
        <v>3</v>
      </c>
      <c r="L793" s="1">
        <v>13660</v>
      </c>
      <c r="M793" s="1">
        <v>20</v>
      </c>
      <c r="N793" s="1">
        <v>8196</v>
      </c>
      <c r="O793" s="1">
        <v>5901.12</v>
      </c>
      <c r="P793" s="1">
        <v>12</v>
      </c>
      <c r="Q793" s="1">
        <v>38697.120000000003</v>
      </c>
      <c r="R793" s="1" t="s">
        <v>54</v>
      </c>
      <c r="S793" s="1" t="s">
        <v>63</v>
      </c>
      <c r="T793" s="1" t="s">
        <v>84</v>
      </c>
      <c r="U793" s="1" t="s">
        <v>85</v>
      </c>
      <c r="V793" s="1" t="s">
        <v>86</v>
      </c>
      <c r="W793" s="1">
        <v>6</v>
      </c>
      <c r="X793" s="1" t="s">
        <v>47</v>
      </c>
      <c r="Y793" s="1">
        <v>1</v>
      </c>
      <c r="Z793" s="1" t="s">
        <v>47</v>
      </c>
    </row>
    <row r="794" spans="1:26" x14ac:dyDescent="0.3">
      <c r="A794" s="1" t="s">
        <v>1406</v>
      </c>
      <c r="B794" s="2">
        <v>45980</v>
      </c>
      <c r="C794" s="1" t="s">
        <v>1407</v>
      </c>
      <c r="D794" s="1" t="s">
        <v>50</v>
      </c>
      <c r="E794" s="1" t="s">
        <v>29</v>
      </c>
      <c r="F794" s="1">
        <v>23</v>
      </c>
      <c r="G794" s="1" t="s">
        <v>51</v>
      </c>
      <c r="H794" s="1" t="s">
        <v>52</v>
      </c>
      <c r="I794" s="1" t="s">
        <v>51</v>
      </c>
      <c r="J794" s="1" t="s">
        <v>112</v>
      </c>
      <c r="K794" s="1">
        <v>2</v>
      </c>
      <c r="L794" s="1">
        <v>24228</v>
      </c>
      <c r="M794" s="1">
        <v>10</v>
      </c>
      <c r="N794" s="1">
        <v>4845.6000000000004</v>
      </c>
      <c r="O794" s="1">
        <v>7849.87</v>
      </c>
      <c r="P794" s="1">
        <v>308</v>
      </c>
      <c r="Q794" s="1">
        <v>51768.27</v>
      </c>
      <c r="R794" s="1" t="s">
        <v>45</v>
      </c>
      <c r="S794" s="1" t="s">
        <v>34</v>
      </c>
      <c r="T794" s="1" t="s">
        <v>84</v>
      </c>
      <c r="U794" s="1" t="s">
        <v>85</v>
      </c>
      <c r="V794" s="1" t="s">
        <v>86</v>
      </c>
      <c r="W794" s="1">
        <v>10</v>
      </c>
      <c r="X794" s="1" t="s">
        <v>47</v>
      </c>
      <c r="Y794" s="1">
        <v>5</v>
      </c>
      <c r="Z794" s="1" t="s">
        <v>58</v>
      </c>
    </row>
    <row r="795" spans="1:26" x14ac:dyDescent="0.3">
      <c r="A795" s="1" t="s">
        <v>1408</v>
      </c>
      <c r="B795" s="2">
        <v>45772</v>
      </c>
      <c r="C795" s="1" t="s">
        <v>1155</v>
      </c>
      <c r="D795" s="1" t="s">
        <v>108</v>
      </c>
      <c r="E795" s="1" t="s">
        <v>29</v>
      </c>
      <c r="F795" s="1">
        <v>47</v>
      </c>
      <c r="G795" s="1" t="s">
        <v>44</v>
      </c>
      <c r="H795" s="1" t="s">
        <v>31</v>
      </c>
      <c r="I795" s="1" t="s">
        <v>44</v>
      </c>
      <c r="J795" s="1" t="s">
        <v>62</v>
      </c>
      <c r="K795" s="1">
        <v>3</v>
      </c>
      <c r="L795" s="1">
        <v>39349</v>
      </c>
      <c r="M795" s="1">
        <v>20</v>
      </c>
      <c r="N795" s="1">
        <v>23609.4</v>
      </c>
      <c r="O795" s="1">
        <v>16998.77</v>
      </c>
      <c r="P795" s="1">
        <v>228</v>
      </c>
      <c r="Q795" s="1">
        <v>111664.37</v>
      </c>
      <c r="R795" s="1" t="s">
        <v>33</v>
      </c>
      <c r="S795" s="1" t="s">
        <v>34</v>
      </c>
      <c r="T795" s="1" t="s">
        <v>46</v>
      </c>
      <c r="U795" s="1" t="s">
        <v>36</v>
      </c>
      <c r="V795" s="1" t="s">
        <v>37</v>
      </c>
      <c r="W795" s="1">
        <v>2</v>
      </c>
      <c r="X795" s="1" t="s">
        <v>47</v>
      </c>
      <c r="Y795" s="1">
        <v>2</v>
      </c>
      <c r="Z795" s="1" t="s">
        <v>91</v>
      </c>
    </row>
    <row r="796" spans="1:26" x14ac:dyDescent="0.3">
      <c r="A796" s="1" t="s">
        <v>1409</v>
      </c>
      <c r="B796" s="2">
        <v>45921</v>
      </c>
      <c r="C796" s="1" t="s">
        <v>249</v>
      </c>
      <c r="D796" s="1" t="s">
        <v>89</v>
      </c>
      <c r="E796" s="1" t="s">
        <v>29</v>
      </c>
      <c r="F796" s="1">
        <v>37</v>
      </c>
      <c r="G796" s="1" t="s">
        <v>139</v>
      </c>
      <c r="H796" s="1" t="s">
        <v>31</v>
      </c>
      <c r="I796" s="1" t="s">
        <v>139</v>
      </c>
      <c r="J796" s="1" t="s">
        <v>32</v>
      </c>
      <c r="K796" s="1">
        <v>5</v>
      </c>
      <c r="L796" s="1">
        <v>10892</v>
      </c>
      <c r="M796" s="1">
        <v>20</v>
      </c>
      <c r="N796" s="1">
        <v>10892</v>
      </c>
      <c r="O796" s="1">
        <v>7842.24</v>
      </c>
      <c r="P796" s="1">
        <v>420</v>
      </c>
      <c r="Q796" s="1">
        <v>51830.239999999998</v>
      </c>
      <c r="R796" s="1" t="s">
        <v>33</v>
      </c>
      <c r="S796" s="1" t="s">
        <v>63</v>
      </c>
      <c r="T796" s="1" t="s">
        <v>35</v>
      </c>
      <c r="U796" s="1" t="s">
        <v>36</v>
      </c>
      <c r="V796" s="1" t="s">
        <v>37</v>
      </c>
      <c r="W796" s="1">
        <v>7</v>
      </c>
      <c r="X796" s="1" t="s">
        <v>38</v>
      </c>
      <c r="Y796" s="1">
        <v>1</v>
      </c>
      <c r="Z796" s="1" t="s">
        <v>58</v>
      </c>
    </row>
    <row r="797" spans="1:26" x14ac:dyDescent="0.3">
      <c r="A797" s="1" t="s">
        <v>1410</v>
      </c>
      <c r="B797" s="2">
        <v>45885</v>
      </c>
      <c r="C797" s="1" t="s">
        <v>1411</v>
      </c>
      <c r="D797" s="1" t="s">
        <v>61</v>
      </c>
      <c r="E797" s="1" t="s">
        <v>43</v>
      </c>
      <c r="F797" s="1">
        <v>37</v>
      </c>
      <c r="G797" s="1" t="s">
        <v>90</v>
      </c>
      <c r="H797" s="1" t="s">
        <v>31</v>
      </c>
      <c r="I797" s="1" t="s">
        <v>90</v>
      </c>
      <c r="J797" s="1" t="s">
        <v>32</v>
      </c>
      <c r="K797" s="1">
        <v>1</v>
      </c>
      <c r="L797" s="1">
        <v>22810</v>
      </c>
      <c r="M797" s="1">
        <v>10</v>
      </c>
      <c r="N797" s="1">
        <v>2281</v>
      </c>
      <c r="O797" s="1">
        <v>3695.22</v>
      </c>
      <c r="P797" s="1">
        <v>477</v>
      </c>
      <c r="Q797" s="1">
        <v>24701.22</v>
      </c>
      <c r="R797" s="1" t="s">
        <v>54</v>
      </c>
      <c r="S797" s="1" t="s">
        <v>63</v>
      </c>
      <c r="T797" s="1" t="s">
        <v>95</v>
      </c>
      <c r="U797" s="1" t="s">
        <v>96</v>
      </c>
      <c r="V797" s="1" t="s">
        <v>57</v>
      </c>
      <c r="W797" s="1">
        <v>5</v>
      </c>
      <c r="X797" s="1" t="s">
        <v>47</v>
      </c>
      <c r="Y797" s="1">
        <v>4</v>
      </c>
      <c r="Z797" s="1" t="s">
        <v>91</v>
      </c>
    </row>
    <row r="798" spans="1:26" x14ac:dyDescent="0.3">
      <c r="A798" s="1" t="s">
        <v>1412</v>
      </c>
      <c r="B798" s="2">
        <v>45829</v>
      </c>
      <c r="C798" s="1" t="s">
        <v>1413</v>
      </c>
      <c r="D798" s="1" t="s">
        <v>50</v>
      </c>
      <c r="E798" s="1" t="s">
        <v>29</v>
      </c>
      <c r="F798" s="1">
        <v>57</v>
      </c>
      <c r="G798" s="1" t="s">
        <v>74</v>
      </c>
      <c r="H798" s="1" t="s">
        <v>31</v>
      </c>
      <c r="I798" s="1" t="s">
        <v>74</v>
      </c>
      <c r="J798" s="1" t="s">
        <v>53</v>
      </c>
      <c r="K798" s="1">
        <v>2</v>
      </c>
      <c r="L798" s="1">
        <v>14573</v>
      </c>
      <c r="M798" s="1">
        <v>20</v>
      </c>
      <c r="N798" s="1">
        <v>5829.2</v>
      </c>
      <c r="O798" s="1">
        <v>4197.0200000000004</v>
      </c>
      <c r="P798" s="1">
        <v>237</v>
      </c>
      <c r="Q798" s="1">
        <v>27750.82</v>
      </c>
      <c r="R798" s="1" t="s">
        <v>33</v>
      </c>
      <c r="S798" s="1" t="s">
        <v>63</v>
      </c>
      <c r="T798" s="1" t="s">
        <v>84</v>
      </c>
      <c r="U798" s="1" t="s">
        <v>85</v>
      </c>
      <c r="V798" s="1" t="s">
        <v>86</v>
      </c>
      <c r="W798" s="1">
        <v>4</v>
      </c>
      <c r="X798" s="1" t="s">
        <v>47</v>
      </c>
      <c r="Y798" s="1">
        <v>2</v>
      </c>
      <c r="Z798" s="1" t="s">
        <v>58</v>
      </c>
    </row>
    <row r="799" spans="1:26" x14ac:dyDescent="0.3">
      <c r="A799" s="1" t="s">
        <v>1414</v>
      </c>
      <c r="B799" s="2">
        <v>46088</v>
      </c>
      <c r="C799" s="1" t="s">
        <v>901</v>
      </c>
      <c r="D799" s="1" t="s">
        <v>61</v>
      </c>
      <c r="E799" s="1" t="s">
        <v>43</v>
      </c>
      <c r="F799" s="1">
        <v>31</v>
      </c>
      <c r="G799" s="1" t="s">
        <v>67</v>
      </c>
      <c r="H799" s="1" t="s">
        <v>68</v>
      </c>
      <c r="I799" s="1" t="s">
        <v>67</v>
      </c>
      <c r="J799" s="1" t="s">
        <v>75</v>
      </c>
      <c r="K799" s="1">
        <v>5</v>
      </c>
      <c r="L799" s="1">
        <v>24050</v>
      </c>
      <c r="M799" s="1">
        <v>15</v>
      </c>
      <c r="N799" s="1">
        <v>18037.5</v>
      </c>
      <c r="O799" s="1">
        <v>18398.25</v>
      </c>
      <c r="P799" s="1">
        <v>437</v>
      </c>
      <c r="Q799" s="1">
        <v>121047.75</v>
      </c>
      <c r="R799" s="1" t="s">
        <v>33</v>
      </c>
      <c r="S799" s="1" t="s">
        <v>63</v>
      </c>
      <c r="T799" s="1" t="s">
        <v>55</v>
      </c>
      <c r="U799" s="1" t="s">
        <v>56</v>
      </c>
      <c r="V799" s="1" t="s">
        <v>57</v>
      </c>
      <c r="W799" s="1">
        <v>4</v>
      </c>
      <c r="X799" s="1" t="s">
        <v>38</v>
      </c>
      <c r="Y799" s="1">
        <v>4</v>
      </c>
      <c r="Z799" s="1" t="s">
        <v>47</v>
      </c>
    </row>
    <row r="800" spans="1:26" x14ac:dyDescent="0.3">
      <c r="A800" s="1" t="s">
        <v>1415</v>
      </c>
      <c r="B800" s="2">
        <v>46099</v>
      </c>
      <c r="C800" s="1" t="s">
        <v>1416</v>
      </c>
      <c r="D800" s="1" t="s">
        <v>89</v>
      </c>
      <c r="E800" s="1" t="s">
        <v>29</v>
      </c>
      <c r="F800" s="1">
        <v>47</v>
      </c>
      <c r="G800" s="1" t="s">
        <v>44</v>
      </c>
      <c r="H800" s="1" t="s">
        <v>31</v>
      </c>
      <c r="I800" s="1" t="s">
        <v>44</v>
      </c>
      <c r="J800" s="1" t="s">
        <v>112</v>
      </c>
      <c r="K800" s="1">
        <v>5</v>
      </c>
      <c r="L800" s="1">
        <v>48099</v>
      </c>
      <c r="M800" s="1">
        <v>5</v>
      </c>
      <c r="N800" s="1">
        <v>12024.75</v>
      </c>
      <c r="O800" s="1">
        <v>41124.639999999999</v>
      </c>
      <c r="P800" s="1">
        <v>491</v>
      </c>
      <c r="Q800" s="1">
        <v>270085.90000000002</v>
      </c>
      <c r="R800" s="1" t="s">
        <v>45</v>
      </c>
      <c r="S800" s="1" t="s">
        <v>63</v>
      </c>
      <c r="T800" s="1" t="s">
        <v>95</v>
      </c>
      <c r="U800" s="1" t="s">
        <v>96</v>
      </c>
      <c r="V800" s="1" t="s">
        <v>57</v>
      </c>
      <c r="W800" s="1">
        <v>2</v>
      </c>
      <c r="X800" s="1" t="s">
        <v>47</v>
      </c>
      <c r="Y800" s="1">
        <v>5</v>
      </c>
      <c r="Z800" s="1" t="s">
        <v>58</v>
      </c>
    </row>
    <row r="801" spans="1:26" x14ac:dyDescent="0.3">
      <c r="A801" s="1" t="s">
        <v>1417</v>
      </c>
      <c r="B801" s="2">
        <v>45875</v>
      </c>
      <c r="C801" s="1" t="s">
        <v>1343</v>
      </c>
      <c r="D801" s="1" t="s">
        <v>80</v>
      </c>
      <c r="E801" s="1" t="s">
        <v>43</v>
      </c>
      <c r="F801" s="1">
        <v>18</v>
      </c>
      <c r="G801" s="1" t="s">
        <v>30</v>
      </c>
      <c r="H801" s="1" t="s">
        <v>31</v>
      </c>
      <c r="I801" s="1" t="s">
        <v>30</v>
      </c>
      <c r="J801" s="1" t="s">
        <v>112</v>
      </c>
      <c r="K801" s="1">
        <v>5</v>
      </c>
      <c r="L801" s="1">
        <v>37475</v>
      </c>
      <c r="M801" s="1">
        <v>10</v>
      </c>
      <c r="N801" s="1">
        <v>18737.5</v>
      </c>
      <c r="O801" s="1">
        <v>30354.75</v>
      </c>
      <c r="P801" s="1">
        <v>279</v>
      </c>
      <c r="Q801" s="1">
        <v>199271.25</v>
      </c>
      <c r="R801" s="1" t="s">
        <v>83</v>
      </c>
      <c r="S801" s="1" t="s">
        <v>63</v>
      </c>
      <c r="T801" s="1" t="s">
        <v>70</v>
      </c>
      <c r="U801" s="1" t="s">
        <v>56</v>
      </c>
      <c r="V801" s="1" t="s">
        <v>57</v>
      </c>
      <c r="W801" s="1">
        <v>6</v>
      </c>
      <c r="X801" s="1" t="s">
        <v>47</v>
      </c>
      <c r="Y801" s="1">
        <v>4</v>
      </c>
      <c r="Z801" s="1" t="s">
        <v>91</v>
      </c>
    </row>
    <row r="802" spans="1:26" x14ac:dyDescent="0.3">
      <c r="A802" s="1" t="s">
        <v>1418</v>
      </c>
      <c r="B802" s="2">
        <v>45840</v>
      </c>
      <c r="C802" s="1" t="s">
        <v>1087</v>
      </c>
      <c r="D802" s="1" t="s">
        <v>66</v>
      </c>
      <c r="E802" s="1" t="s">
        <v>29</v>
      </c>
      <c r="F802" s="1">
        <v>58</v>
      </c>
      <c r="G802" s="1" t="s">
        <v>90</v>
      </c>
      <c r="H802" s="1" t="s">
        <v>31</v>
      </c>
      <c r="I802" s="1" t="s">
        <v>90</v>
      </c>
      <c r="J802" s="1" t="s">
        <v>69</v>
      </c>
      <c r="K802" s="1">
        <v>2</v>
      </c>
      <c r="L802" s="1">
        <v>36204</v>
      </c>
      <c r="M802" s="1">
        <v>0</v>
      </c>
      <c r="N802" s="1">
        <v>0</v>
      </c>
      <c r="O802" s="1">
        <v>13033.44</v>
      </c>
      <c r="P802" s="1">
        <v>133</v>
      </c>
      <c r="Q802" s="1">
        <v>85574.44</v>
      </c>
      <c r="R802" s="1" t="s">
        <v>45</v>
      </c>
      <c r="S802" s="1" t="s">
        <v>63</v>
      </c>
      <c r="T802" s="1" t="s">
        <v>46</v>
      </c>
      <c r="U802" s="1" t="s">
        <v>36</v>
      </c>
      <c r="V802" s="1" t="s">
        <v>37</v>
      </c>
      <c r="W802" s="1">
        <v>6</v>
      </c>
      <c r="X802" s="1" t="s">
        <v>38</v>
      </c>
      <c r="Y802" s="1">
        <v>3</v>
      </c>
      <c r="Z802" s="1" t="s">
        <v>58</v>
      </c>
    </row>
    <row r="803" spans="1:26" x14ac:dyDescent="0.3">
      <c r="A803" s="1" t="s">
        <v>1419</v>
      </c>
      <c r="B803" s="2">
        <v>46008</v>
      </c>
      <c r="C803" s="1" t="s">
        <v>709</v>
      </c>
      <c r="D803" s="1" t="s">
        <v>73</v>
      </c>
      <c r="E803" s="1" t="s">
        <v>29</v>
      </c>
      <c r="F803" s="1">
        <v>26</v>
      </c>
      <c r="G803" s="1" t="s">
        <v>134</v>
      </c>
      <c r="H803" s="1" t="s">
        <v>31</v>
      </c>
      <c r="I803" s="1" t="s">
        <v>134</v>
      </c>
      <c r="J803" s="1" t="s">
        <v>53</v>
      </c>
      <c r="K803" s="1">
        <v>4</v>
      </c>
      <c r="L803" s="1">
        <v>38685</v>
      </c>
      <c r="M803" s="1">
        <v>0</v>
      </c>
      <c r="N803" s="1">
        <v>0</v>
      </c>
      <c r="O803" s="1">
        <v>27853.200000000001</v>
      </c>
      <c r="P803" s="1">
        <v>454</v>
      </c>
      <c r="Q803" s="1">
        <v>183047.2</v>
      </c>
      <c r="R803" s="1" t="s">
        <v>33</v>
      </c>
      <c r="S803" s="1" t="s">
        <v>34</v>
      </c>
      <c r="T803" s="1" t="s">
        <v>55</v>
      </c>
      <c r="U803" s="1" t="s">
        <v>56</v>
      </c>
      <c r="V803" s="1" t="s">
        <v>57</v>
      </c>
      <c r="W803" s="1">
        <v>7</v>
      </c>
      <c r="X803" s="1" t="s">
        <v>38</v>
      </c>
      <c r="Y803" s="1">
        <v>3</v>
      </c>
      <c r="Z803" s="1" t="s">
        <v>47</v>
      </c>
    </row>
    <row r="804" spans="1:26" x14ac:dyDescent="0.3">
      <c r="A804" s="1" t="s">
        <v>1420</v>
      </c>
      <c r="B804" s="2">
        <v>45888</v>
      </c>
      <c r="C804" s="1" t="s">
        <v>1421</v>
      </c>
      <c r="D804" s="1" t="s">
        <v>80</v>
      </c>
      <c r="E804" s="1" t="s">
        <v>29</v>
      </c>
      <c r="F804" s="1">
        <v>52</v>
      </c>
      <c r="G804" s="1" t="s">
        <v>74</v>
      </c>
      <c r="H804" s="1" t="s">
        <v>31</v>
      </c>
      <c r="I804" s="1" t="s">
        <v>74</v>
      </c>
      <c r="J804" s="1" t="s">
        <v>125</v>
      </c>
      <c r="K804" s="1">
        <v>3</v>
      </c>
      <c r="L804" s="1">
        <v>14708</v>
      </c>
      <c r="M804" s="1">
        <v>10</v>
      </c>
      <c r="N804" s="1">
        <v>4412.3999999999996</v>
      </c>
      <c r="O804" s="1">
        <v>7148.09</v>
      </c>
      <c r="P804" s="1">
        <v>196</v>
      </c>
      <c r="Q804" s="1">
        <v>47055.69</v>
      </c>
      <c r="R804" s="1" t="s">
        <v>54</v>
      </c>
      <c r="S804" s="1" t="s">
        <v>34</v>
      </c>
      <c r="T804" s="1" t="s">
        <v>35</v>
      </c>
      <c r="U804" s="1" t="s">
        <v>36</v>
      </c>
      <c r="V804" s="1" t="s">
        <v>37</v>
      </c>
      <c r="W804" s="1">
        <v>8</v>
      </c>
      <c r="X804" s="1" t="s">
        <v>47</v>
      </c>
      <c r="Y804" s="1">
        <v>3</v>
      </c>
      <c r="Z804" s="1" t="s">
        <v>47</v>
      </c>
    </row>
    <row r="805" spans="1:26" x14ac:dyDescent="0.3">
      <c r="A805" s="1" t="s">
        <v>1422</v>
      </c>
      <c r="B805" s="2">
        <v>45990</v>
      </c>
      <c r="C805" s="1" t="s">
        <v>182</v>
      </c>
      <c r="D805" s="1" t="s">
        <v>28</v>
      </c>
      <c r="E805" s="1" t="s">
        <v>43</v>
      </c>
      <c r="F805" s="1">
        <v>24</v>
      </c>
      <c r="G805" s="1" t="s">
        <v>99</v>
      </c>
      <c r="H805" s="1" t="s">
        <v>52</v>
      </c>
      <c r="I805" s="1" t="s">
        <v>99</v>
      </c>
      <c r="J805" s="1" t="s">
        <v>32</v>
      </c>
      <c r="K805" s="1">
        <v>3</v>
      </c>
      <c r="L805" s="1">
        <v>14838</v>
      </c>
      <c r="M805" s="1">
        <v>10</v>
      </c>
      <c r="N805" s="1">
        <v>4451.3999999999996</v>
      </c>
      <c r="O805" s="1">
        <v>7211.27</v>
      </c>
      <c r="P805" s="1">
        <v>147</v>
      </c>
      <c r="Q805" s="1">
        <v>47420.87</v>
      </c>
      <c r="R805" s="1" t="s">
        <v>54</v>
      </c>
      <c r="S805" s="1" t="s">
        <v>34</v>
      </c>
      <c r="T805" s="1" t="s">
        <v>35</v>
      </c>
      <c r="U805" s="1" t="s">
        <v>36</v>
      </c>
      <c r="V805" s="1" t="s">
        <v>37</v>
      </c>
      <c r="W805" s="1">
        <v>10</v>
      </c>
      <c r="X805" s="1" t="s">
        <v>47</v>
      </c>
      <c r="Y805" s="1">
        <v>2</v>
      </c>
      <c r="Z805" s="1" t="s">
        <v>47</v>
      </c>
    </row>
    <row r="806" spans="1:26" x14ac:dyDescent="0.3">
      <c r="A806" s="1" t="s">
        <v>1423</v>
      </c>
      <c r="B806" s="2">
        <v>45771</v>
      </c>
      <c r="C806" s="1" t="s">
        <v>816</v>
      </c>
      <c r="D806" s="1" t="s">
        <v>66</v>
      </c>
      <c r="E806" s="1" t="s">
        <v>29</v>
      </c>
      <c r="F806" s="1">
        <v>26</v>
      </c>
      <c r="G806" s="1" t="s">
        <v>30</v>
      </c>
      <c r="H806" s="1" t="s">
        <v>31</v>
      </c>
      <c r="I806" s="1" t="s">
        <v>30</v>
      </c>
      <c r="J806" s="1" t="s">
        <v>102</v>
      </c>
      <c r="K806" s="1">
        <v>4</v>
      </c>
      <c r="L806" s="1">
        <v>34698</v>
      </c>
      <c r="M806" s="1">
        <v>10</v>
      </c>
      <c r="N806" s="1">
        <v>13879.2</v>
      </c>
      <c r="O806" s="1">
        <v>22484.3</v>
      </c>
      <c r="P806" s="1">
        <v>304</v>
      </c>
      <c r="Q806" s="1">
        <v>147701.1</v>
      </c>
      <c r="R806" s="1" t="s">
        <v>54</v>
      </c>
      <c r="S806" s="1" t="s">
        <v>34</v>
      </c>
      <c r="T806" s="1" t="s">
        <v>84</v>
      </c>
      <c r="U806" s="1" t="s">
        <v>85</v>
      </c>
      <c r="V806" s="1" t="s">
        <v>86</v>
      </c>
      <c r="W806" s="1">
        <v>1</v>
      </c>
      <c r="X806" s="1" t="s">
        <v>47</v>
      </c>
      <c r="Y806" s="1">
        <v>2</v>
      </c>
      <c r="Z806" s="1" t="s">
        <v>58</v>
      </c>
    </row>
    <row r="807" spans="1:26" x14ac:dyDescent="0.3">
      <c r="A807" s="1" t="s">
        <v>1424</v>
      </c>
      <c r="B807" s="2">
        <v>45963</v>
      </c>
      <c r="C807" s="1" t="s">
        <v>719</v>
      </c>
      <c r="D807" s="1" t="s">
        <v>66</v>
      </c>
      <c r="E807" s="1" t="s">
        <v>29</v>
      </c>
      <c r="F807" s="1">
        <v>47</v>
      </c>
      <c r="G807" s="1" t="s">
        <v>74</v>
      </c>
      <c r="H807" s="1" t="s">
        <v>31</v>
      </c>
      <c r="I807" s="1" t="s">
        <v>74</v>
      </c>
      <c r="J807" s="1" t="s">
        <v>53</v>
      </c>
      <c r="K807" s="1">
        <v>5</v>
      </c>
      <c r="L807" s="1">
        <v>46766</v>
      </c>
      <c r="M807" s="1">
        <v>10</v>
      </c>
      <c r="N807" s="1">
        <v>23383</v>
      </c>
      <c r="O807" s="1">
        <v>37880.46</v>
      </c>
      <c r="P807" s="1">
        <v>163</v>
      </c>
      <c r="Q807" s="1">
        <v>248490.46</v>
      </c>
      <c r="R807" s="1" t="s">
        <v>83</v>
      </c>
      <c r="S807" s="1" t="s">
        <v>34</v>
      </c>
      <c r="T807" s="1" t="s">
        <v>46</v>
      </c>
      <c r="U807" s="1" t="s">
        <v>36</v>
      </c>
      <c r="V807" s="1" t="s">
        <v>37</v>
      </c>
      <c r="W807" s="1">
        <v>4</v>
      </c>
      <c r="X807" s="1" t="s">
        <v>38</v>
      </c>
      <c r="Y807" s="1">
        <v>3</v>
      </c>
      <c r="Z807" s="1" t="s">
        <v>47</v>
      </c>
    </row>
    <row r="808" spans="1:26" x14ac:dyDescent="0.3">
      <c r="A808" s="1" t="s">
        <v>1425</v>
      </c>
      <c r="B808" s="2">
        <v>45786</v>
      </c>
      <c r="C808" s="1" t="s">
        <v>1426</v>
      </c>
      <c r="D808" s="1" t="s">
        <v>42</v>
      </c>
      <c r="E808" s="1" t="s">
        <v>29</v>
      </c>
      <c r="F808" s="1">
        <v>30</v>
      </c>
      <c r="G808" s="1" t="s">
        <v>74</v>
      </c>
      <c r="H808" s="1" t="s">
        <v>31</v>
      </c>
      <c r="I808" s="1" t="s">
        <v>74</v>
      </c>
      <c r="J808" s="1" t="s">
        <v>102</v>
      </c>
      <c r="K808" s="1">
        <v>3</v>
      </c>
      <c r="L808" s="1">
        <v>644</v>
      </c>
      <c r="M808" s="1">
        <v>5</v>
      </c>
      <c r="N808" s="1">
        <v>96.6</v>
      </c>
      <c r="O808" s="1">
        <v>330.37</v>
      </c>
      <c r="P808" s="1">
        <v>253</v>
      </c>
      <c r="Q808" s="1">
        <v>2418.77</v>
      </c>
      <c r="R808" s="1" t="s">
        <v>33</v>
      </c>
      <c r="S808" s="1" t="s">
        <v>63</v>
      </c>
      <c r="T808" s="1" t="s">
        <v>76</v>
      </c>
      <c r="U808" s="1" t="s">
        <v>77</v>
      </c>
      <c r="V808" s="1" t="s">
        <v>57</v>
      </c>
      <c r="W808" s="1">
        <v>10</v>
      </c>
      <c r="X808" s="1" t="s">
        <v>38</v>
      </c>
      <c r="Y808" s="1">
        <v>1</v>
      </c>
      <c r="Z808" s="1" t="s">
        <v>58</v>
      </c>
    </row>
    <row r="809" spans="1:26" x14ac:dyDescent="0.3">
      <c r="A809" s="1" t="s">
        <v>1427</v>
      </c>
      <c r="B809" s="2">
        <v>45966</v>
      </c>
      <c r="C809" s="1" t="s">
        <v>1428</v>
      </c>
      <c r="D809" s="1" t="s">
        <v>42</v>
      </c>
      <c r="E809" s="1" t="s">
        <v>29</v>
      </c>
      <c r="F809" s="1">
        <v>49</v>
      </c>
      <c r="G809" s="1" t="s">
        <v>134</v>
      </c>
      <c r="H809" s="1" t="s">
        <v>31</v>
      </c>
      <c r="I809" s="1" t="s">
        <v>134</v>
      </c>
      <c r="J809" s="1" t="s">
        <v>102</v>
      </c>
      <c r="K809" s="1">
        <v>1</v>
      </c>
      <c r="L809" s="1">
        <v>7604</v>
      </c>
      <c r="M809" s="1">
        <v>10</v>
      </c>
      <c r="N809" s="1">
        <v>760.4</v>
      </c>
      <c r="O809" s="1">
        <v>1231.8499999999999</v>
      </c>
      <c r="P809" s="1">
        <v>405</v>
      </c>
      <c r="Q809" s="1">
        <v>8480.4500000000007</v>
      </c>
      <c r="R809" s="1" t="s">
        <v>54</v>
      </c>
      <c r="S809" s="1" t="s">
        <v>63</v>
      </c>
      <c r="T809" s="1" t="s">
        <v>95</v>
      </c>
      <c r="U809" s="1" t="s">
        <v>96</v>
      </c>
      <c r="V809" s="1" t="s">
        <v>57</v>
      </c>
      <c r="W809" s="1">
        <v>8</v>
      </c>
      <c r="X809" s="1" t="s">
        <v>38</v>
      </c>
      <c r="Y809" s="1">
        <v>2</v>
      </c>
      <c r="Z809" s="1" t="s">
        <v>58</v>
      </c>
    </row>
    <row r="810" spans="1:26" x14ac:dyDescent="0.3">
      <c r="A810" s="1" t="s">
        <v>1429</v>
      </c>
      <c r="B810" s="2">
        <v>45993</v>
      </c>
      <c r="C810" s="1" t="s">
        <v>275</v>
      </c>
      <c r="D810" s="1" t="s">
        <v>80</v>
      </c>
      <c r="E810" s="1" t="s">
        <v>29</v>
      </c>
      <c r="F810" s="1">
        <v>25</v>
      </c>
      <c r="G810" s="1" t="s">
        <v>99</v>
      </c>
      <c r="H810" s="1" t="s">
        <v>52</v>
      </c>
      <c r="I810" s="1" t="s">
        <v>99</v>
      </c>
      <c r="J810" s="1" t="s">
        <v>112</v>
      </c>
      <c r="K810" s="1">
        <v>5</v>
      </c>
      <c r="L810" s="1">
        <v>19653</v>
      </c>
      <c r="M810" s="1">
        <v>0</v>
      </c>
      <c r="N810" s="1">
        <v>0</v>
      </c>
      <c r="O810" s="1">
        <v>17687.7</v>
      </c>
      <c r="P810" s="1">
        <v>309</v>
      </c>
      <c r="Q810" s="1">
        <v>116261.7</v>
      </c>
      <c r="R810" s="1" t="s">
        <v>45</v>
      </c>
      <c r="S810" s="1" t="s">
        <v>34</v>
      </c>
      <c r="T810" s="1" t="s">
        <v>46</v>
      </c>
      <c r="U810" s="1" t="s">
        <v>36</v>
      </c>
      <c r="V810" s="1" t="s">
        <v>37</v>
      </c>
      <c r="W810" s="1">
        <v>4</v>
      </c>
      <c r="X810" s="1" t="s">
        <v>47</v>
      </c>
      <c r="Y810" s="1">
        <v>3</v>
      </c>
      <c r="Z810" s="1" t="s">
        <v>47</v>
      </c>
    </row>
    <row r="811" spans="1:26" x14ac:dyDescent="0.3">
      <c r="A811" s="1" t="s">
        <v>1430</v>
      </c>
      <c r="B811" s="2">
        <v>46035</v>
      </c>
      <c r="C811" s="1" t="s">
        <v>1431</v>
      </c>
      <c r="D811" s="1" t="s">
        <v>66</v>
      </c>
      <c r="E811" s="1" t="s">
        <v>29</v>
      </c>
      <c r="F811" s="1">
        <v>37</v>
      </c>
      <c r="G811" s="1" t="s">
        <v>74</v>
      </c>
      <c r="H811" s="1" t="s">
        <v>31</v>
      </c>
      <c r="I811" s="1" t="s">
        <v>74</v>
      </c>
      <c r="J811" s="1" t="s">
        <v>125</v>
      </c>
      <c r="K811" s="1">
        <v>2</v>
      </c>
      <c r="L811" s="1">
        <v>42230</v>
      </c>
      <c r="M811" s="1">
        <v>10</v>
      </c>
      <c r="N811" s="1">
        <v>8446</v>
      </c>
      <c r="O811" s="1">
        <v>13682.52</v>
      </c>
      <c r="P811" s="1">
        <v>156</v>
      </c>
      <c r="Q811" s="1">
        <v>89852.52</v>
      </c>
      <c r="R811" s="1" t="s">
        <v>83</v>
      </c>
      <c r="S811" s="1" t="s">
        <v>63</v>
      </c>
      <c r="T811" s="1" t="s">
        <v>76</v>
      </c>
      <c r="U811" s="1" t="s">
        <v>77</v>
      </c>
      <c r="V811" s="1" t="s">
        <v>57</v>
      </c>
      <c r="W811" s="1">
        <v>1</v>
      </c>
      <c r="X811" s="1" t="s">
        <v>47</v>
      </c>
      <c r="Y811" s="1">
        <v>2</v>
      </c>
      <c r="Z811" s="1" t="s">
        <v>39</v>
      </c>
    </row>
    <row r="812" spans="1:26" x14ac:dyDescent="0.3">
      <c r="A812" s="1" t="s">
        <v>1432</v>
      </c>
      <c r="B812" s="2">
        <v>45847</v>
      </c>
      <c r="C812" s="1" t="s">
        <v>1433</v>
      </c>
      <c r="D812" s="1" t="s">
        <v>50</v>
      </c>
      <c r="E812" s="1" t="s">
        <v>29</v>
      </c>
      <c r="F812" s="1">
        <v>23</v>
      </c>
      <c r="G812" s="1" t="s">
        <v>99</v>
      </c>
      <c r="H812" s="1" t="s">
        <v>52</v>
      </c>
      <c r="I812" s="1" t="s">
        <v>99</v>
      </c>
      <c r="J812" s="1" t="s">
        <v>53</v>
      </c>
      <c r="K812" s="1">
        <v>2</v>
      </c>
      <c r="L812" s="1">
        <v>29934</v>
      </c>
      <c r="M812" s="1">
        <v>20</v>
      </c>
      <c r="N812" s="1">
        <v>11973.6</v>
      </c>
      <c r="O812" s="1">
        <v>8620.99</v>
      </c>
      <c r="P812" s="1">
        <v>362</v>
      </c>
      <c r="Q812" s="1">
        <v>56877.39</v>
      </c>
      <c r="R812" s="1" t="s">
        <v>33</v>
      </c>
      <c r="S812" s="1" t="s">
        <v>63</v>
      </c>
      <c r="T812" s="1" t="s">
        <v>35</v>
      </c>
      <c r="U812" s="1" t="s">
        <v>36</v>
      </c>
      <c r="V812" s="1" t="s">
        <v>37</v>
      </c>
      <c r="W812" s="1">
        <v>6</v>
      </c>
      <c r="X812" s="1" t="s">
        <v>38</v>
      </c>
      <c r="Y812" s="1">
        <v>5</v>
      </c>
      <c r="Z812" s="1" t="s">
        <v>58</v>
      </c>
    </row>
    <row r="813" spans="1:26" x14ac:dyDescent="0.3">
      <c r="A813" s="1" t="s">
        <v>1434</v>
      </c>
      <c r="B813" s="2">
        <v>45817</v>
      </c>
      <c r="C813" s="1" t="s">
        <v>259</v>
      </c>
      <c r="D813" s="1" t="s">
        <v>111</v>
      </c>
      <c r="E813" s="1" t="s">
        <v>29</v>
      </c>
      <c r="F813" s="1">
        <v>27</v>
      </c>
      <c r="G813" s="1" t="s">
        <v>67</v>
      </c>
      <c r="H813" s="1" t="s">
        <v>68</v>
      </c>
      <c r="I813" s="1" t="s">
        <v>67</v>
      </c>
      <c r="J813" s="1" t="s">
        <v>62</v>
      </c>
      <c r="K813" s="1">
        <v>1</v>
      </c>
      <c r="L813" s="1">
        <v>28168</v>
      </c>
      <c r="M813" s="1">
        <v>10</v>
      </c>
      <c r="N813" s="1">
        <v>2816.8</v>
      </c>
      <c r="O813" s="1">
        <v>4563.22</v>
      </c>
      <c r="P813" s="1">
        <v>158</v>
      </c>
      <c r="Q813" s="1">
        <v>30072.42</v>
      </c>
      <c r="R813" s="1" t="s">
        <v>33</v>
      </c>
      <c r="S813" s="1" t="s">
        <v>63</v>
      </c>
      <c r="T813" s="1" t="s">
        <v>95</v>
      </c>
      <c r="U813" s="1" t="s">
        <v>96</v>
      </c>
      <c r="V813" s="1" t="s">
        <v>57</v>
      </c>
      <c r="W813" s="1">
        <v>5</v>
      </c>
      <c r="X813" s="1" t="s">
        <v>47</v>
      </c>
      <c r="Y813" s="1">
        <v>2</v>
      </c>
      <c r="Z813" s="1" t="s">
        <v>47</v>
      </c>
    </row>
    <row r="814" spans="1:26" x14ac:dyDescent="0.3">
      <c r="A814" s="1" t="s">
        <v>1435</v>
      </c>
      <c r="B814" s="2">
        <v>45977</v>
      </c>
      <c r="C814" s="1" t="s">
        <v>1436</v>
      </c>
      <c r="D814" s="1" t="s">
        <v>50</v>
      </c>
      <c r="E814" s="1" t="s">
        <v>43</v>
      </c>
      <c r="F814" s="1">
        <v>36</v>
      </c>
      <c r="G814" s="1" t="s">
        <v>30</v>
      </c>
      <c r="H814" s="1" t="s">
        <v>31</v>
      </c>
      <c r="I814" s="1" t="s">
        <v>30</v>
      </c>
      <c r="J814" s="1" t="s">
        <v>150</v>
      </c>
      <c r="K814" s="1">
        <v>4</v>
      </c>
      <c r="L814" s="1">
        <v>35314</v>
      </c>
      <c r="M814" s="1">
        <v>5</v>
      </c>
      <c r="N814" s="1">
        <v>7062.8</v>
      </c>
      <c r="O814" s="1">
        <v>24154.78</v>
      </c>
      <c r="P814" s="1">
        <v>456</v>
      </c>
      <c r="Q814" s="1">
        <v>158803.98000000001</v>
      </c>
      <c r="R814" s="1" t="s">
        <v>54</v>
      </c>
      <c r="S814" s="1" t="s">
        <v>34</v>
      </c>
      <c r="T814" s="1" t="s">
        <v>70</v>
      </c>
      <c r="U814" s="1" t="s">
        <v>56</v>
      </c>
      <c r="V814" s="1" t="s">
        <v>57</v>
      </c>
      <c r="W814" s="1">
        <v>2</v>
      </c>
      <c r="X814" s="1" t="s">
        <v>38</v>
      </c>
      <c r="Y814" s="1">
        <v>5</v>
      </c>
      <c r="Z814" s="1" t="s">
        <v>91</v>
      </c>
    </row>
    <row r="815" spans="1:26" x14ac:dyDescent="0.3">
      <c r="A815" s="1" t="s">
        <v>1437</v>
      </c>
      <c r="B815" s="2">
        <v>45949</v>
      </c>
      <c r="C815" s="1" t="s">
        <v>160</v>
      </c>
      <c r="D815" s="1" t="s">
        <v>50</v>
      </c>
      <c r="E815" s="1" t="s">
        <v>43</v>
      </c>
      <c r="F815" s="1">
        <v>55</v>
      </c>
      <c r="G815" s="1" t="s">
        <v>94</v>
      </c>
      <c r="H815" s="1" t="s">
        <v>31</v>
      </c>
      <c r="I815" s="1" t="s">
        <v>94</v>
      </c>
      <c r="J815" s="1" t="s">
        <v>75</v>
      </c>
      <c r="K815" s="1">
        <v>1</v>
      </c>
      <c r="L815" s="1">
        <v>27249</v>
      </c>
      <c r="M815" s="1">
        <v>20</v>
      </c>
      <c r="N815" s="1">
        <v>5449.8</v>
      </c>
      <c r="O815" s="1">
        <v>3923.86</v>
      </c>
      <c r="P815" s="1">
        <v>475</v>
      </c>
      <c r="Q815" s="1">
        <v>26198.06</v>
      </c>
      <c r="R815" s="1" t="s">
        <v>33</v>
      </c>
      <c r="S815" s="1" t="s">
        <v>63</v>
      </c>
      <c r="T815" s="1" t="s">
        <v>103</v>
      </c>
      <c r="U815" s="1" t="s">
        <v>103</v>
      </c>
      <c r="V815" s="1" t="s">
        <v>57</v>
      </c>
      <c r="W815" s="1">
        <v>5</v>
      </c>
      <c r="X815" s="1" t="s">
        <v>38</v>
      </c>
      <c r="Y815" s="1">
        <v>1</v>
      </c>
      <c r="Z815" s="1" t="s">
        <v>39</v>
      </c>
    </row>
    <row r="816" spans="1:26" x14ac:dyDescent="0.3">
      <c r="A816" s="1" t="s">
        <v>1438</v>
      </c>
      <c r="B816" s="2">
        <v>45761</v>
      </c>
      <c r="C816" s="1" t="s">
        <v>330</v>
      </c>
      <c r="D816" s="1" t="s">
        <v>61</v>
      </c>
      <c r="E816" s="1" t="s">
        <v>43</v>
      </c>
      <c r="F816" s="1">
        <v>29</v>
      </c>
      <c r="G816" s="1" t="s">
        <v>51</v>
      </c>
      <c r="H816" s="1" t="s">
        <v>52</v>
      </c>
      <c r="I816" s="1" t="s">
        <v>51</v>
      </c>
      <c r="J816" s="1" t="s">
        <v>150</v>
      </c>
      <c r="K816" s="1">
        <v>3</v>
      </c>
      <c r="L816" s="1">
        <v>49236</v>
      </c>
      <c r="M816" s="1">
        <v>10</v>
      </c>
      <c r="N816" s="1">
        <v>14770.8</v>
      </c>
      <c r="O816" s="1">
        <v>23928.7</v>
      </c>
      <c r="P816" s="1">
        <v>256</v>
      </c>
      <c r="Q816" s="1">
        <v>157121.9</v>
      </c>
      <c r="R816" s="1" t="s">
        <v>54</v>
      </c>
      <c r="S816" s="1" t="s">
        <v>34</v>
      </c>
      <c r="T816" s="1" t="s">
        <v>55</v>
      </c>
      <c r="U816" s="1" t="s">
        <v>56</v>
      </c>
      <c r="V816" s="1" t="s">
        <v>57</v>
      </c>
      <c r="W816" s="1">
        <v>3</v>
      </c>
      <c r="X816" s="1" t="s">
        <v>38</v>
      </c>
      <c r="Y816" s="1">
        <v>3</v>
      </c>
      <c r="Z816" s="1" t="s">
        <v>91</v>
      </c>
    </row>
    <row r="817" spans="1:26" x14ac:dyDescent="0.3">
      <c r="A817" s="1" t="s">
        <v>1439</v>
      </c>
      <c r="B817" s="2">
        <v>46003</v>
      </c>
      <c r="C817" s="1" t="s">
        <v>786</v>
      </c>
      <c r="D817" s="1" t="s">
        <v>61</v>
      </c>
      <c r="E817" s="1" t="s">
        <v>43</v>
      </c>
      <c r="F817" s="1">
        <v>26</v>
      </c>
      <c r="G817" s="1" t="s">
        <v>67</v>
      </c>
      <c r="H817" s="1" t="s">
        <v>68</v>
      </c>
      <c r="I817" s="1" t="s">
        <v>67</v>
      </c>
      <c r="J817" s="1" t="s">
        <v>125</v>
      </c>
      <c r="K817" s="1">
        <v>1</v>
      </c>
      <c r="L817" s="1">
        <v>30859</v>
      </c>
      <c r="M817" s="1">
        <v>5</v>
      </c>
      <c r="N817" s="1">
        <v>1542.95</v>
      </c>
      <c r="O817" s="1">
        <v>5276.89</v>
      </c>
      <c r="P817" s="1">
        <v>480</v>
      </c>
      <c r="Q817" s="1">
        <v>35072.94</v>
      </c>
      <c r="R817" s="1" t="s">
        <v>54</v>
      </c>
      <c r="S817" s="1" t="s">
        <v>63</v>
      </c>
      <c r="T817" s="1" t="s">
        <v>35</v>
      </c>
      <c r="U817" s="1" t="s">
        <v>36</v>
      </c>
      <c r="V817" s="1" t="s">
        <v>37</v>
      </c>
      <c r="W817" s="1">
        <v>4</v>
      </c>
      <c r="X817" s="1" t="s">
        <v>38</v>
      </c>
      <c r="Y817" s="1">
        <v>4</v>
      </c>
      <c r="Z817" s="1" t="s">
        <v>58</v>
      </c>
    </row>
    <row r="818" spans="1:26" x14ac:dyDescent="0.3">
      <c r="A818" s="1" t="s">
        <v>1440</v>
      </c>
      <c r="B818" s="2">
        <v>45825</v>
      </c>
      <c r="C818" s="1" t="s">
        <v>921</v>
      </c>
      <c r="D818" s="1" t="s">
        <v>89</v>
      </c>
      <c r="E818" s="1" t="s">
        <v>43</v>
      </c>
      <c r="F818" s="1">
        <v>44</v>
      </c>
      <c r="G818" s="1" t="s">
        <v>99</v>
      </c>
      <c r="H818" s="1" t="s">
        <v>52</v>
      </c>
      <c r="I818" s="1" t="s">
        <v>99</v>
      </c>
      <c r="J818" s="1" t="s">
        <v>75</v>
      </c>
      <c r="K818" s="1">
        <v>4</v>
      </c>
      <c r="L818" s="1">
        <v>37642</v>
      </c>
      <c r="M818" s="1">
        <v>15</v>
      </c>
      <c r="N818" s="1">
        <v>22585.200000000001</v>
      </c>
      <c r="O818" s="1">
        <v>23036.9</v>
      </c>
      <c r="P818" s="1">
        <v>32</v>
      </c>
      <c r="Q818" s="1">
        <v>151051.70000000001</v>
      </c>
      <c r="R818" s="1" t="s">
        <v>45</v>
      </c>
      <c r="S818" s="1" t="s">
        <v>34</v>
      </c>
      <c r="T818" s="1" t="s">
        <v>70</v>
      </c>
      <c r="U818" s="1" t="s">
        <v>56</v>
      </c>
      <c r="V818" s="1" t="s">
        <v>57</v>
      </c>
      <c r="W818" s="1">
        <v>1</v>
      </c>
      <c r="X818" s="1" t="s">
        <v>38</v>
      </c>
      <c r="Y818" s="1">
        <v>5</v>
      </c>
      <c r="Z818" s="1" t="s">
        <v>39</v>
      </c>
    </row>
    <row r="819" spans="1:26" x14ac:dyDescent="0.3">
      <c r="A819" s="1" t="s">
        <v>1441</v>
      </c>
      <c r="B819" s="2">
        <v>45857</v>
      </c>
      <c r="C819" s="1" t="s">
        <v>1442</v>
      </c>
      <c r="D819" s="1" t="s">
        <v>108</v>
      </c>
      <c r="E819" s="1" t="s">
        <v>29</v>
      </c>
      <c r="F819" s="1">
        <v>23</v>
      </c>
      <c r="G819" s="1" t="s">
        <v>94</v>
      </c>
      <c r="H819" s="1" t="s">
        <v>31</v>
      </c>
      <c r="I819" s="1" t="s">
        <v>94</v>
      </c>
      <c r="J819" s="1" t="s">
        <v>102</v>
      </c>
      <c r="K819" s="1">
        <v>5</v>
      </c>
      <c r="L819" s="1">
        <v>48628</v>
      </c>
      <c r="M819" s="1">
        <v>15</v>
      </c>
      <c r="N819" s="1">
        <v>36471</v>
      </c>
      <c r="O819" s="1">
        <v>37200.42</v>
      </c>
      <c r="P819" s="1">
        <v>224</v>
      </c>
      <c r="Q819" s="1">
        <v>244093.42</v>
      </c>
      <c r="R819" s="1" t="s">
        <v>54</v>
      </c>
      <c r="S819" s="1" t="s">
        <v>34</v>
      </c>
      <c r="T819" s="1" t="s">
        <v>55</v>
      </c>
      <c r="U819" s="1" t="s">
        <v>56</v>
      </c>
      <c r="V819" s="1" t="s">
        <v>57</v>
      </c>
      <c r="W819" s="1">
        <v>9</v>
      </c>
      <c r="X819" s="1" t="s">
        <v>47</v>
      </c>
      <c r="Y819" s="1">
        <v>2</v>
      </c>
      <c r="Z819" s="1" t="s">
        <v>39</v>
      </c>
    </row>
    <row r="820" spans="1:26" x14ac:dyDescent="0.3">
      <c r="A820" s="1" t="s">
        <v>1443</v>
      </c>
      <c r="B820" s="2">
        <v>45786</v>
      </c>
      <c r="C820" s="1" t="s">
        <v>425</v>
      </c>
      <c r="D820" s="1" t="s">
        <v>111</v>
      </c>
      <c r="E820" s="1" t="s">
        <v>29</v>
      </c>
      <c r="F820" s="1">
        <v>49</v>
      </c>
      <c r="G820" s="1" t="s">
        <v>139</v>
      </c>
      <c r="H820" s="1" t="s">
        <v>31</v>
      </c>
      <c r="I820" s="1" t="s">
        <v>139</v>
      </c>
      <c r="J820" s="1" t="s">
        <v>32</v>
      </c>
      <c r="K820" s="1">
        <v>5</v>
      </c>
      <c r="L820" s="1">
        <v>16368</v>
      </c>
      <c r="M820" s="1">
        <v>15</v>
      </c>
      <c r="N820" s="1">
        <v>12276</v>
      </c>
      <c r="O820" s="1">
        <v>12521.52</v>
      </c>
      <c r="P820" s="1">
        <v>443</v>
      </c>
      <c r="Q820" s="1">
        <v>82528.52</v>
      </c>
      <c r="R820" s="1" t="s">
        <v>45</v>
      </c>
      <c r="S820" s="1" t="s">
        <v>63</v>
      </c>
      <c r="T820" s="1" t="s">
        <v>70</v>
      </c>
      <c r="U820" s="1" t="s">
        <v>56</v>
      </c>
      <c r="V820" s="1" t="s">
        <v>57</v>
      </c>
      <c r="W820" s="1">
        <v>8</v>
      </c>
      <c r="X820" s="1" t="s">
        <v>47</v>
      </c>
      <c r="Y820" s="1">
        <v>2</v>
      </c>
      <c r="Z820" s="1" t="s">
        <v>47</v>
      </c>
    </row>
    <row r="821" spans="1:26" x14ac:dyDescent="0.3">
      <c r="A821" s="1" t="s">
        <v>1444</v>
      </c>
      <c r="B821" s="2">
        <v>45913</v>
      </c>
      <c r="C821" s="1" t="s">
        <v>1180</v>
      </c>
      <c r="D821" s="1" t="s">
        <v>28</v>
      </c>
      <c r="E821" s="1" t="s">
        <v>29</v>
      </c>
      <c r="F821" s="1">
        <v>37</v>
      </c>
      <c r="G821" s="1" t="s">
        <v>44</v>
      </c>
      <c r="H821" s="1" t="s">
        <v>31</v>
      </c>
      <c r="I821" s="1" t="s">
        <v>44</v>
      </c>
      <c r="J821" s="1" t="s">
        <v>112</v>
      </c>
      <c r="K821" s="1">
        <v>2</v>
      </c>
      <c r="L821" s="1">
        <v>31757</v>
      </c>
      <c r="M821" s="1">
        <v>0</v>
      </c>
      <c r="N821" s="1">
        <v>0</v>
      </c>
      <c r="O821" s="1">
        <v>11432.52</v>
      </c>
      <c r="P821" s="1">
        <v>191</v>
      </c>
      <c r="Q821" s="1">
        <v>75137.52</v>
      </c>
      <c r="R821" s="1" t="s">
        <v>45</v>
      </c>
      <c r="S821" s="1" t="s">
        <v>34</v>
      </c>
      <c r="T821" s="1" t="s">
        <v>55</v>
      </c>
      <c r="U821" s="1" t="s">
        <v>56</v>
      </c>
      <c r="V821" s="1" t="s">
        <v>57</v>
      </c>
      <c r="W821" s="1">
        <v>3</v>
      </c>
      <c r="X821" s="1" t="s">
        <v>38</v>
      </c>
      <c r="Y821" s="1">
        <v>3</v>
      </c>
      <c r="Z821" s="1" t="s">
        <v>47</v>
      </c>
    </row>
    <row r="822" spans="1:26" x14ac:dyDescent="0.3">
      <c r="A822" s="1" t="s">
        <v>1445</v>
      </c>
      <c r="B822" s="2">
        <v>45853</v>
      </c>
      <c r="C822" s="1" t="s">
        <v>1446</v>
      </c>
      <c r="D822" s="1" t="s">
        <v>73</v>
      </c>
      <c r="E822" s="1" t="s">
        <v>43</v>
      </c>
      <c r="F822" s="1">
        <v>29</v>
      </c>
      <c r="G822" s="1" t="s">
        <v>90</v>
      </c>
      <c r="H822" s="1" t="s">
        <v>31</v>
      </c>
      <c r="I822" s="1" t="s">
        <v>90</v>
      </c>
      <c r="J822" s="1" t="s">
        <v>75</v>
      </c>
      <c r="K822" s="1">
        <v>4</v>
      </c>
      <c r="L822" s="1">
        <v>37757</v>
      </c>
      <c r="M822" s="1">
        <v>10</v>
      </c>
      <c r="N822" s="1">
        <v>15102.8</v>
      </c>
      <c r="O822" s="1">
        <v>24466.54</v>
      </c>
      <c r="P822" s="1">
        <v>430</v>
      </c>
      <c r="Q822" s="1">
        <v>160821.74</v>
      </c>
      <c r="R822" s="1" t="s">
        <v>83</v>
      </c>
      <c r="S822" s="1" t="s">
        <v>63</v>
      </c>
      <c r="T822" s="1" t="s">
        <v>70</v>
      </c>
      <c r="U822" s="1" t="s">
        <v>56</v>
      </c>
      <c r="V822" s="1" t="s">
        <v>57</v>
      </c>
      <c r="W822" s="1">
        <v>3</v>
      </c>
      <c r="X822" s="1" t="s">
        <v>47</v>
      </c>
      <c r="Y822" s="1">
        <v>4</v>
      </c>
      <c r="Z822" s="1" t="s">
        <v>47</v>
      </c>
    </row>
    <row r="823" spans="1:26" x14ac:dyDescent="0.3">
      <c r="A823" s="1" t="s">
        <v>1447</v>
      </c>
      <c r="B823" s="2">
        <v>46020</v>
      </c>
      <c r="C823" s="1" t="s">
        <v>213</v>
      </c>
      <c r="D823" s="1" t="s">
        <v>50</v>
      </c>
      <c r="E823" s="1" t="s">
        <v>43</v>
      </c>
      <c r="F823" s="1">
        <v>55</v>
      </c>
      <c r="G823" s="1" t="s">
        <v>139</v>
      </c>
      <c r="H823" s="1" t="s">
        <v>31</v>
      </c>
      <c r="I823" s="1" t="s">
        <v>139</v>
      </c>
      <c r="J823" s="1" t="s">
        <v>150</v>
      </c>
      <c r="K823" s="1">
        <v>2</v>
      </c>
      <c r="L823" s="1">
        <v>42743</v>
      </c>
      <c r="M823" s="1">
        <v>5</v>
      </c>
      <c r="N823" s="1">
        <v>4274.3</v>
      </c>
      <c r="O823" s="1">
        <v>14618.11</v>
      </c>
      <c r="P823" s="1">
        <v>473</v>
      </c>
      <c r="Q823" s="1">
        <v>96302.81</v>
      </c>
      <c r="R823" s="1" t="s">
        <v>54</v>
      </c>
      <c r="S823" s="1" t="s">
        <v>63</v>
      </c>
      <c r="T823" s="1" t="s">
        <v>70</v>
      </c>
      <c r="U823" s="1" t="s">
        <v>56</v>
      </c>
      <c r="V823" s="1" t="s">
        <v>57</v>
      </c>
      <c r="W823" s="1">
        <v>9</v>
      </c>
      <c r="X823" s="1" t="s">
        <v>47</v>
      </c>
      <c r="Y823" s="1">
        <v>4</v>
      </c>
      <c r="Z823" s="1" t="s">
        <v>91</v>
      </c>
    </row>
    <row r="824" spans="1:26" x14ac:dyDescent="0.3">
      <c r="A824" s="1" t="s">
        <v>1448</v>
      </c>
      <c r="B824" s="2">
        <v>45849</v>
      </c>
      <c r="C824" s="1" t="s">
        <v>656</v>
      </c>
      <c r="D824" s="1" t="s">
        <v>61</v>
      </c>
      <c r="E824" s="1" t="s">
        <v>29</v>
      </c>
      <c r="F824" s="1">
        <v>58</v>
      </c>
      <c r="G824" s="1" t="s">
        <v>74</v>
      </c>
      <c r="H824" s="1" t="s">
        <v>31</v>
      </c>
      <c r="I824" s="1" t="s">
        <v>74</v>
      </c>
      <c r="J824" s="1" t="s">
        <v>102</v>
      </c>
      <c r="K824" s="1">
        <v>3</v>
      </c>
      <c r="L824" s="1">
        <v>20225</v>
      </c>
      <c r="M824" s="1">
        <v>10</v>
      </c>
      <c r="N824" s="1">
        <v>6067.5</v>
      </c>
      <c r="O824" s="1">
        <v>9829.35</v>
      </c>
      <c r="P824" s="1">
        <v>463</v>
      </c>
      <c r="Q824" s="1">
        <v>64899.85</v>
      </c>
      <c r="R824" s="1" t="s">
        <v>45</v>
      </c>
      <c r="S824" s="1" t="s">
        <v>63</v>
      </c>
      <c r="T824" s="1" t="s">
        <v>70</v>
      </c>
      <c r="U824" s="1" t="s">
        <v>56</v>
      </c>
      <c r="V824" s="1" t="s">
        <v>57</v>
      </c>
      <c r="W824" s="1">
        <v>9</v>
      </c>
      <c r="X824" s="1" t="s">
        <v>47</v>
      </c>
      <c r="Y824" s="1">
        <v>1</v>
      </c>
      <c r="Z824" s="1" t="s">
        <v>58</v>
      </c>
    </row>
    <row r="825" spans="1:26" x14ac:dyDescent="0.3">
      <c r="A825" s="1" t="s">
        <v>1449</v>
      </c>
      <c r="B825" s="2">
        <v>46063</v>
      </c>
      <c r="C825" s="1" t="s">
        <v>777</v>
      </c>
      <c r="D825" s="1" t="s">
        <v>28</v>
      </c>
      <c r="E825" s="1" t="s">
        <v>43</v>
      </c>
      <c r="F825" s="1">
        <v>49</v>
      </c>
      <c r="G825" s="1" t="s">
        <v>51</v>
      </c>
      <c r="H825" s="1" t="s">
        <v>52</v>
      </c>
      <c r="I825" s="1" t="s">
        <v>51</v>
      </c>
      <c r="J825" s="1" t="s">
        <v>112</v>
      </c>
      <c r="K825" s="1">
        <v>2</v>
      </c>
      <c r="L825" s="1">
        <v>8375</v>
      </c>
      <c r="M825" s="1">
        <v>15</v>
      </c>
      <c r="N825" s="1">
        <v>2512.5</v>
      </c>
      <c r="O825" s="1">
        <v>2562.75</v>
      </c>
      <c r="P825" s="1">
        <v>470</v>
      </c>
      <c r="Q825" s="1">
        <v>17270.25</v>
      </c>
      <c r="R825" s="1" t="s">
        <v>45</v>
      </c>
      <c r="S825" s="1" t="s">
        <v>34</v>
      </c>
      <c r="T825" s="1" t="s">
        <v>84</v>
      </c>
      <c r="U825" s="1" t="s">
        <v>85</v>
      </c>
      <c r="V825" s="1" t="s">
        <v>86</v>
      </c>
      <c r="W825" s="1">
        <v>1</v>
      </c>
      <c r="X825" s="1" t="s">
        <v>38</v>
      </c>
      <c r="Y825" s="1">
        <v>3</v>
      </c>
      <c r="Z825" s="1" t="s">
        <v>91</v>
      </c>
    </row>
    <row r="826" spans="1:26" x14ac:dyDescent="0.3">
      <c r="A826" s="1" t="s">
        <v>1450</v>
      </c>
      <c r="B826" s="2">
        <v>45803</v>
      </c>
      <c r="C826" s="1" t="s">
        <v>1451</v>
      </c>
      <c r="D826" s="1" t="s">
        <v>73</v>
      </c>
      <c r="E826" s="1" t="s">
        <v>43</v>
      </c>
      <c r="F826" s="1">
        <v>58</v>
      </c>
      <c r="G826" s="1" t="s">
        <v>90</v>
      </c>
      <c r="H826" s="1" t="s">
        <v>31</v>
      </c>
      <c r="I826" s="1" t="s">
        <v>90</v>
      </c>
      <c r="J826" s="1" t="s">
        <v>53</v>
      </c>
      <c r="K826" s="1">
        <v>1</v>
      </c>
      <c r="L826" s="1">
        <v>5347</v>
      </c>
      <c r="M826" s="1">
        <v>10</v>
      </c>
      <c r="N826" s="1">
        <v>534.70000000000005</v>
      </c>
      <c r="O826" s="1">
        <v>866.21</v>
      </c>
      <c r="P826" s="1">
        <v>428</v>
      </c>
      <c r="Q826" s="1">
        <v>6106.51</v>
      </c>
      <c r="R826" s="1" t="s">
        <v>83</v>
      </c>
      <c r="S826" s="1" t="s">
        <v>63</v>
      </c>
      <c r="T826" s="1" t="s">
        <v>95</v>
      </c>
      <c r="U826" s="1" t="s">
        <v>96</v>
      </c>
      <c r="V826" s="1" t="s">
        <v>57</v>
      </c>
      <c r="W826" s="1">
        <v>2</v>
      </c>
      <c r="X826" s="1" t="s">
        <v>38</v>
      </c>
      <c r="Y826" s="1">
        <v>4</v>
      </c>
      <c r="Z826" s="1" t="s">
        <v>91</v>
      </c>
    </row>
    <row r="827" spans="1:26" x14ac:dyDescent="0.3">
      <c r="A827" s="1" t="s">
        <v>1452</v>
      </c>
      <c r="B827" s="2">
        <v>46092</v>
      </c>
      <c r="C827" s="1" t="s">
        <v>1453</v>
      </c>
      <c r="D827" s="1" t="s">
        <v>73</v>
      </c>
      <c r="E827" s="1" t="s">
        <v>43</v>
      </c>
      <c r="F827" s="1">
        <v>19</v>
      </c>
      <c r="G827" s="1" t="s">
        <v>99</v>
      </c>
      <c r="H827" s="1" t="s">
        <v>52</v>
      </c>
      <c r="I827" s="1" t="s">
        <v>99</v>
      </c>
      <c r="J827" s="1" t="s">
        <v>102</v>
      </c>
      <c r="K827" s="1">
        <v>2</v>
      </c>
      <c r="L827" s="1">
        <v>24967</v>
      </c>
      <c r="M827" s="1">
        <v>10</v>
      </c>
      <c r="N827" s="1">
        <v>4993.3999999999996</v>
      </c>
      <c r="O827" s="1">
        <v>8089.31</v>
      </c>
      <c r="P827" s="1">
        <v>104</v>
      </c>
      <c r="Q827" s="1">
        <v>53133.91</v>
      </c>
      <c r="R827" s="1" t="s">
        <v>54</v>
      </c>
      <c r="S827" s="1" t="s">
        <v>34</v>
      </c>
      <c r="T827" s="1" t="s">
        <v>76</v>
      </c>
      <c r="U827" s="1" t="s">
        <v>77</v>
      </c>
      <c r="V827" s="1" t="s">
        <v>57</v>
      </c>
      <c r="W827" s="1">
        <v>1</v>
      </c>
      <c r="X827" s="1" t="s">
        <v>38</v>
      </c>
      <c r="Y827" s="1">
        <v>4</v>
      </c>
      <c r="Z827" s="1" t="s">
        <v>58</v>
      </c>
    </row>
    <row r="828" spans="1:26" x14ac:dyDescent="0.3">
      <c r="A828" s="1" t="s">
        <v>1454</v>
      </c>
      <c r="B828" s="2">
        <v>46043</v>
      </c>
      <c r="C828" s="1" t="s">
        <v>874</v>
      </c>
      <c r="D828" s="1" t="s">
        <v>80</v>
      </c>
      <c r="E828" s="1" t="s">
        <v>43</v>
      </c>
      <c r="F828" s="1">
        <v>38</v>
      </c>
      <c r="G828" s="1" t="s">
        <v>51</v>
      </c>
      <c r="H828" s="1" t="s">
        <v>52</v>
      </c>
      <c r="I828" s="1" t="s">
        <v>51</v>
      </c>
      <c r="J828" s="1" t="s">
        <v>53</v>
      </c>
      <c r="K828" s="1">
        <v>4</v>
      </c>
      <c r="L828" s="1">
        <v>33363</v>
      </c>
      <c r="M828" s="1">
        <v>0</v>
      </c>
      <c r="N828" s="1">
        <v>0</v>
      </c>
      <c r="O828" s="1">
        <v>24021.360000000001</v>
      </c>
      <c r="P828" s="1">
        <v>353</v>
      </c>
      <c r="Q828" s="1">
        <v>157826.35999999999</v>
      </c>
      <c r="R828" s="1" t="s">
        <v>83</v>
      </c>
      <c r="S828" s="1" t="s">
        <v>63</v>
      </c>
      <c r="T828" s="1" t="s">
        <v>70</v>
      </c>
      <c r="U828" s="1" t="s">
        <v>56</v>
      </c>
      <c r="V828" s="1" t="s">
        <v>57</v>
      </c>
      <c r="W828" s="1">
        <v>1</v>
      </c>
      <c r="X828" s="1" t="s">
        <v>38</v>
      </c>
      <c r="Y828" s="1">
        <v>2</v>
      </c>
      <c r="Z828" s="1" t="s">
        <v>91</v>
      </c>
    </row>
    <row r="829" spans="1:26" x14ac:dyDescent="0.3">
      <c r="A829" s="1" t="s">
        <v>1455</v>
      </c>
      <c r="B829" s="2">
        <v>45887</v>
      </c>
      <c r="C829" s="1" t="s">
        <v>131</v>
      </c>
      <c r="D829" s="1" t="s">
        <v>42</v>
      </c>
      <c r="E829" s="1" t="s">
        <v>43</v>
      </c>
      <c r="F829" s="1">
        <v>38</v>
      </c>
      <c r="G829" s="1" t="s">
        <v>51</v>
      </c>
      <c r="H829" s="1" t="s">
        <v>52</v>
      </c>
      <c r="I829" s="1" t="s">
        <v>51</v>
      </c>
      <c r="J829" s="1" t="s">
        <v>201</v>
      </c>
      <c r="K829" s="1">
        <v>3</v>
      </c>
      <c r="L829" s="1">
        <v>11118</v>
      </c>
      <c r="M829" s="1">
        <v>15</v>
      </c>
      <c r="N829" s="1">
        <v>5003.1000000000004</v>
      </c>
      <c r="O829" s="1">
        <v>5103.16</v>
      </c>
      <c r="P829" s="1">
        <v>443</v>
      </c>
      <c r="Q829" s="1">
        <v>33897.06</v>
      </c>
      <c r="R829" s="1" t="s">
        <v>83</v>
      </c>
      <c r="S829" s="1" t="s">
        <v>63</v>
      </c>
      <c r="T829" s="1" t="s">
        <v>84</v>
      </c>
      <c r="U829" s="1" t="s">
        <v>85</v>
      </c>
      <c r="V829" s="1" t="s">
        <v>86</v>
      </c>
      <c r="W829" s="1">
        <v>8</v>
      </c>
      <c r="X829" s="1" t="s">
        <v>38</v>
      </c>
      <c r="Y829" s="1">
        <v>3</v>
      </c>
      <c r="Z829" s="1" t="s">
        <v>91</v>
      </c>
    </row>
    <row r="830" spans="1:26" x14ac:dyDescent="0.3">
      <c r="A830" s="1" t="s">
        <v>1456</v>
      </c>
      <c r="B830" s="2">
        <v>45763</v>
      </c>
      <c r="C830" s="1" t="s">
        <v>1457</v>
      </c>
      <c r="D830" s="1" t="s">
        <v>66</v>
      </c>
      <c r="E830" s="1" t="s">
        <v>43</v>
      </c>
      <c r="F830" s="1">
        <v>59</v>
      </c>
      <c r="G830" s="1" t="s">
        <v>99</v>
      </c>
      <c r="H830" s="1" t="s">
        <v>52</v>
      </c>
      <c r="I830" s="1" t="s">
        <v>99</v>
      </c>
      <c r="J830" s="1" t="s">
        <v>32</v>
      </c>
      <c r="K830" s="1">
        <v>1</v>
      </c>
      <c r="L830" s="1">
        <v>34518</v>
      </c>
      <c r="M830" s="1">
        <v>0</v>
      </c>
      <c r="N830" s="1">
        <v>0</v>
      </c>
      <c r="O830" s="1">
        <v>6213.24</v>
      </c>
      <c r="P830" s="1">
        <v>91</v>
      </c>
      <c r="Q830" s="1">
        <v>40822.239999999998</v>
      </c>
      <c r="R830" s="1" t="s">
        <v>54</v>
      </c>
      <c r="S830" s="1" t="s">
        <v>63</v>
      </c>
      <c r="T830" s="1" t="s">
        <v>76</v>
      </c>
      <c r="U830" s="1" t="s">
        <v>77</v>
      </c>
      <c r="V830" s="1" t="s">
        <v>57</v>
      </c>
      <c r="W830" s="1">
        <v>8</v>
      </c>
      <c r="X830" s="1" t="s">
        <v>47</v>
      </c>
      <c r="Y830" s="1">
        <v>5</v>
      </c>
      <c r="Z830" s="1" t="s">
        <v>91</v>
      </c>
    </row>
    <row r="831" spans="1:26" x14ac:dyDescent="0.3">
      <c r="A831" s="1" t="s">
        <v>1458</v>
      </c>
      <c r="B831" s="2">
        <v>45942</v>
      </c>
      <c r="C831" s="1" t="s">
        <v>231</v>
      </c>
      <c r="D831" s="1" t="s">
        <v>111</v>
      </c>
      <c r="E831" s="1" t="s">
        <v>29</v>
      </c>
      <c r="F831" s="1">
        <v>56</v>
      </c>
      <c r="G831" s="1" t="s">
        <v>30</v>
      </c>
      <c r="H831" s="1" t="s">
        <v>31</v>
      </c>
      <c r="I831" s="1" t="s">
        <v>30</v>
      </c>
      <c r="J831" s="1" t="s">
        <v>53</v>
      </c>
      <c r="K831" s="1">
        <v>3</v>
      </c>
      <c r="L831" s="1">
        <v>30273</v>
      </c>
      <c r="M831" s="1">
        <v>10</v>
      </c>
      <c r="N831" s="1">
        <v>9081.9</v>
      </c>
      <c r="O831" s="1">
        <v>14712.68</v>
      </c>
      <c r="P831" s="1">
        <v>294</v>
      </c>
      <c r="Q831" s="1">
        <v>96743.78</v>
      </c>
      <c r="R831" s="1" t="s">
        <v>33</v>
      </c>
      <c r="S831" s="1" t="s">
        <v>63</v>
      </c>
      <c r="T831" s="1" t="s">
        <v>46</v>
      </c>
      <c r="U831" s="1" t="s">
        <v>36</v>
      </c>
      <c r="V831" s="1" t="s">
        <v>37</v>
      </c>
      <c r="W831" s="1">
        <v>8</v>
      </c>
      <c r="X831" s="1" t="s">
        <v>47</v>
      </c>
      <c r="Y831" s="1">
        <v>5</v>
      </c>
      <c r="Z831" s="1" t="s">
        <v>47</v>
      </c>
    </row>
    <row r="832" spans="1:26" x14ac:dyDescent="0.3">
      <c r="A832" s="1" t="s">
        <v>1459</v>
      </c>
      <c r="B832" s="2">
        <v>46049</v>
      </c>
      <c r="C832" s="1" t="s">
        <v>711</v>
      </c>
      <c r="D832" s="1" t="s">
        <v>73</v>
      </c>
      <c r="E832" s="1" t="s">
        <v>29</v>
      </c>
      <c r="F832" s="1">
        <v>42</v>
      </c>
      <c r="G832" s="1" t="s">
        <v>74</v>
      </c>
      <c r="H832" s="1" t="s">
        <v>31</v>
      </c>
      <c r="I832" s="1" t="s">
        <v>74</v>
      </c>
      <c r="J832" s="1" t="s">
        <v>112</v>
      </c>
      <c r="K832" s="1">
        <v>2</v>
      </c>
      <c r="L832" s="1">
        <v>11342</v>
      </c>
      <c r="M832" s="1">
        <v>10</v>
      </c>
      <c r="N832" s="1">
        <v>2268.4</v>
      </c>
      <c r="O832" s="1">
        <v>3674.81</v>
      </c>
      <c r="P832" s="1">
        <v>459</v>
      </c>
      <c r="Q832" s="1">
        <v>24549.41</v>
      </c>
      <c r="R832" s="1" t="s">
        <v>33</v>
      </c>
      <c r="S832" s="1" t="s">
        <v>34</v>
      </c>
      <c r="T832" s="1" t="s">
        <v>95</v>
      </c>
      <c r="U832" s="1" t="s">
        <v>96</v>
      </c>
      <c r="V832" s="1" t="s">
        <v>57</v>
      </c>
      <c r="W832" s="1">
        <v>7</v>
      </c>
      <c r="X832" s="1" t="s">
        <v>38</v>
      </c>
      <c r="Y832" s="1">
        <v>1</v>
      </c>
      <c r="Z832" s="1" t="s">
        <v>58</v>
      </c>
    </row>
    <row r="833" spans="1:26" x14ac:dyDescent="0.3">
      <c r="A833" s="1" t="s">
        <v>1460</v>
      </c>
      <c r="B833" s="2">
        <v>45892</v>
      </c>
      <c r="C833" s="1" t="s">
        <v>881</v>
      </c>
      <c r="D833" s="1" t="s">
        <v>50</v>
      </c>
      <c r="E833" s="1" t="s">
        <v>43</v>
      </c>
      <c r="F833" s="1">
        <v>58</v>
      </c>
      <c r="G833" s="1" t="s">
        <v>94</v>
      </c>
      <c r="H833" s="1" t="s">
        <v>31</v>
      </c>
      <c r="I833" s="1" t="s">
        <v>94</v>
      </c>
      <c r="J833" s="1" t="s">
        <v>75</v>
      </c>
      <c r="K833" s="1">
        <v>1</v>
      </c>
      <c r="L833" s="1">
        <v>48064</v>
      </c>
      <c r="M833" s="1">
        <v>20</v>
      </c>
      <c r="N833" s="1">
        <v>9612.7999999999993</v>
      </c>
      <c r="O833" s="1">
        <v>6921.22</v>
      </c>
      <c r="P833" s="1">
        <v>115</v>
      </c>
      <c r="Q833" s="1">
        <v>45487.42</v>
      </c>
      <c r="R833" s="1" t="s">
        <v>33</v>
      </c>
      <c r="S833" s="1" t="s">
        <v>34</v>
      </c>
      <c r="T833" s="1" t="s">
        <v>103</v>
      </c>
      <c r="U833" s="1" t="s">
        <v>103</v>
      </c>
      <c r="V833" s="1" t="s">
        <v>57</v>
      </c>
      <c r="W833" s="1">
        <v>1</v>
      </c>
      <c r="X833" s="1" t="s">
        <v>47</v>
      </c>
      <c r="Y833" s="1">
        <v>3</v>
      </c>
      <c r="Z833" s="1" t="s">
        <v>39</v>
      </c>
    </row>
    <row r="834" spans="1:26" x14ac:dyDescent="0.3">
      <c r="A834" s="1" t="s">
        <v>1461</v>
      </c>
      <c r="B834" s="2">
        <v>46014</v>
      </c>
      <c r="C834" s="1" t="s">
        <v>127</v>
      </c>
      <c r="D834" s="1" t="s">
        <v>89</v>
      </c>
      <c r="E834" s="1" t="s">
        <v>43</v>
      </c>
      <c r="F834" s="1">
        <v>35</v>
      </c>
      <c r="G834" s="1" t="s">
        <v>90</v>
      </c>
      <c r="H834" s="1" t="s">
        <v>31</v>
      </c>
      <c r="I834" s="1" t="s">
        <v>90</v>
      </c>
      <c r="J834" s="1" t="s">
        <v>201</v>
      </c>
      <c r="K834" s="1">
        <v>5</v>
      </c>
      <c r="L834" s="1">
        <v>32836</v>
      </c>
      <c r="M834" s="1">
        <v>15</v>
      </c>
      <c r="N834" s="1">
        <v>24627</v>
      </c>
      <c r="O834" s="1">
        <v>25119.54</v>
      </c>
      <c r="P834" s="1">
        <v>464</v>
      </c>
      <c r="Q834" s="1">
        <v>165136.54</v>
      </c>
      <c r="R834" s="1" t="s">
        <v>33</v>
      </c>
      <c r="S834" s="1" t="s">
        <v>63</v>
      </c>
      <c r="T834" s="1" t="s">
        <v>35</v>
      </c>
      <c r="U834" s="1" t="s">
        <v>36</v>
      </c>
      <c r="V834" s="1" t="s">
        <v>37</v>
      </c>
      <c r="W834" s="1">
        <v>3</v>
      </c>
      <c r="X834" s="1" t="s">
        <v>38</v>
      </c>
      <c r="Y834" s="1">
        <v>2</v>
      </c>
      <c r="Z834" s="1" t="s">
        <v>47</v>
      </c>
    </row>
    <row r="835" spans="1:26" x14ac:dyDescent="0.3">
      <c r="A835" s="1" t="s">
        <v>1462</v>
      </c>
      <c r="B835" s="2">
        <v>46094</v>
      </c>
      <c r="C835" s="1" t="s">
        <v>523</v>
      </c>
      <c r="D835" s="1" t="s">
        <v>73</v>
      </c>
      <c r="E835" s="1" t="s">
        <v>43</v>
      </c>
      <c r="F835" s="1">
        <v>40</v>
      </c>
      <c r="G835" s="1" t="s">
        <v>44</v>
      </c>
      <c r="H835" s="1" t="s">
        <v>31</v>
      </c>
      <c r="I835" s="1" t="s">
        <v>44</v>
      </c>
      <c r="J835" s="1" t="s">
        <v>53</v>
      </c>
      <c r="K835" s="1">
        <v>5</v>
      </c>
      <c r="L835" s="1">
        <v>43163</v>
      </c>
      <c r="M835" s="1">
        <v>10</v>
      </c>
      <c r="N835" s="1">
        <v>21581.5</v>
      </c>
      <c r="O835" s="1">
        <v>34962.03</v>
      </c>
      <c r="P835" s="1">
        <v>202</v>
      </c>
      <c r="Q835" s="1">
        <v>229397.53</v>
      </c>
      <c r="R835" s="1" t="s">
        <v>54</v>
      </c>
      <c r="S835" s="1" t="s">
        <v>63</v>
      </c>
      <c r="T835" s="1" t="s">
        <v>46</v>
      </c>
      <c r="U835" s="1" t="s">
        <v>36</v>
      </c>
      <c r="V835" s="1" t="s">
        <v>37</v>
      </c>
      <c r="W835" s="1">
        <v>1</v>
      </c>
      <c r="X835" s="1" t="s">
        <v>38</v>
      </c>
      <c r="Y835" s="1">
        <v>5</v>
      </c>
      <c r="Z835" s="1" t="s">
        <v>91</v>
      </c>
    </row>
    <row r="836" spans="1:26" x14ac:dyDescent="0.3">
      <c r="A836" s="1" t="s">
        <v>1463</v>
      </c>
      <c r="B836" s="2">
        <v>45792</v>
      </c>
      <c r="C836" s="1" t="s">
        <v>1464</v>
      </c>
      <c r="D836" s="1" t="s">
        <v>108</v>
      </c>
      <c r="E836" s="1" t="s">
        <v>29</v>
      </c>
      <c r="F836" s="1">
        <v>29</v>
      </c>
      <c r="G836" s="1" t="s">
        <v>94</v>
      </c>
      <c r="H836" s="1" t="s">
        <v>31</v>
      </c>
      <c r="I836" s="1" t="s">
        <v>94</v>
      </c>
      <c r="J836" s="1" t="s">
        <v>75</v>
      </c>
      <c r="K836" s="1">
        <v>1</v>
      </c>
      <c r="L836" s="1">
        <v>31573</v>
      </c>
      <c r="M836" s="1">
        <v>10</v>
      </c>
      <c r="N836" s="1">
        <v>3157.3</v>
      </c>
      <c r="O836" s="1">
        <v>5114.83</v>
      </c>
      <c r="P836" s="1">
        <v>152</v>
      </c>
      <c r="Q836" s="1">
        <v>33682.53</v>
      </c>
      <c r="R836" s="1" t="s">
        <v>54</v>
      </c>
      <c r="S836" s="1" t="s">
        <v>34</v>
      </c>
      <c r="T836" s="1" t="s">
        <v>55</v>
      </c>
      <c r="U836" s="1" t="s">
        <v>56</v>
      </c>
      <c r="V836" s="1" t="s">
        <v>57</v>
      </c>
      <c r="W836" s="1">
        <v>4</v>
      </c>
      <c r="X836" s="1" t="s">
        <v>47</v>
      </c>
      <c r="Y836" s="1">
        <v>1</v>
      </c>
      <c r="Z836" s="1" t="s">
        <v>39</v>
      </c>
    </row>
    <row r="837" spans="1:26" x14ac:dyDescent="0.3">
      <c r="A837" s="1" t="s">
        <v>1465</v>
      </c>
      <c r="B837" s="2">
        <v>45956</v>
      </c>
      <c r="C837" s="1" t="s">
        <v>1466</v>
      </c>
      <c r="D837" s="1" t="s">
        <v>89</v>
      </c>
      <c r="E837" s="1" t="s">
        <v>43</v>
      </c>
      <c r="F837" s="1">
        <v>29</v>
      </c>
      <c r="G837" s="1" t="s">
        <v>67</v>
      </c>
      <c r="H837" s="1" t="s">
        <v>68</v>
      </c>
      <c r="I837" s="1" t="s">
        <v>67</v>
      </c>
      <c r="J837" s="1" t="s">
        <v>150</v>
      </c>
      <c r="K837" s="1">
        <v>1</v>
      </c>
      <c r="L837" s="1">
        <v>48245</v>
      </c>
      <c r="M837" s="1">
        <v>20</v>
      </c>
      <c r="N837" s="1">
        <v>9649</v>
      </c>
      <c r="O837" s="1">
        <v>6947.28</v>
      </c>
      <c r="P837" s="1">
        <v>5</v>
      </c>
      <c r="Q837" s="1">
        <v>45548.28</v>
      </c>
      <c r="R837" s="1" t="s">
        <v>45</v>
      </c>
      <c r="S837" s="1" t="s">
        <v>34</v>
      </c>
      <c r="T837" s="1" t="s">
        <v>70</v>
      </c>
      <c r="U837" s="1" t="s">
        <v>56</v>
      </c>
      <c r="V837" s="1" t="s">
        <v>57</v>
      </c>
      <c r="W837" s="1">
        <v>6</v>
      </c>
      <c r="X837" s="1" t="s">
        <v>38</v>
      </c>
      <c r="Y837" s="1">
        <v>3</v>
      </c>
      <c r="Z837" s="1" t="s">
        <v>91</v>
      </c>
    </row>
    <row r="838" spans="1:26" x14ac:dyDescent="0.3">
      <c r="A838" s="1" t="s">
        <v>1467</v>
      </c>
      <c r="B838" s="2">
        <v>45968</v>
      </c>
      <c r="C838" s="1" t="s">
        <v>934</v>
      </c>
      <c r="D838" s="1" t="s">
        <v>66</v>
      </c>
      <c r="E838" s="1" t="s">
        <v>43</v>
      </c>
      <c r="F838" s="1">
        <v>27</v>
      </c>
      <c r="G838" s="1" t="s">
        <v>134</v>
      </c>
      <c r="H838" s="1" t="s">
        <v>31</v>
      </c>
      <c r="I838" s="1" t="s">
        <v>134</v>
      </c>
      <c r="J838" s="1" t="s">
        <v>69</v>
      </c>
      <c r="K838" s="1">
        <v>4</v>
      </c>
      <c r="L838" s="1">
        <v>47145</v>
      </c>
      <c r="M838" s="1">
        <v>20</v>
      </c>
      <c r="N838" s="1">
        <v>37716</v>
      </c>
      <c r="O838" s="1">
        <v>27155.52</v>
      </c>
      <c r="P838" s="1">
        <v>457</v>
      </c>
      <c r="Q838" s="1">
        <v>178476.52</v>
      </c>
      <c r="R838" s="1" t="s">
        <v>54</v>
      </c>
      <c r="S838" s="1" t="s">
        <v>63</v>
      </c>
      <c r="T838" s="1" t="s">
        <v>103</v>
      </c>
      <c r="U838" s="1" t="s">
        <v>103</v>
      </c>
      <c r="V838" s="1" t="s">
        <v>57</v>
      </c>
      <c r="W838" s="1">
        <v>1</v>
      </c>
      <c r="X838" s="1" t="s">
        <v>47</v>
      </c>
      <c r="Y838" s="1">
        <v>5</v>
      </c>
      <c r="Z838" s="1" t="s">
        <v>47</v>
      </c>
    </row>
    <row r="839" spans="1:26" x14ac:dyDescent="0.3">
      <c r="A839" s="1" t="s">
        <v>1468</v>
      </c>
      <c r="B839" s="2">
        <v>45982</v>
      </c>
      <c r="C839" s="1" t="s">
        <v>623</v>
      </c>
      <c r="D839" s="1" t="s">
        <v>66</v>
      </c>
      <c r="E839" s="1" t="s">
        <v>43</v>
      </c>
      <c r="F839" s="1">
        <v>56</v>
      </c>
      <c r="G839" s="1" t="s">
        <v>51</v>
      </c>
      <c r="H839" s="1" t="s">
        <v>52</v>
      </c>
      <c r="I839" s="1" t="s">
        <v>51</v>
      </c>
      <c r="J839" s="1" t="s">
        <v>125</v>
      </c>
      <c r="K839" s="1">
        <v>5</v>
      </c>
      <c r="L839" s="1">
        <v>25380</v>
      </c>
      <c r="M839" s="1">
        <v>0</v>
      </c>
      <c r="N839" s="1">
        <v>0</v>
      </c>
      <c r="O839" s="1">
        <v>22842</v>
      </c>
      <c r="P839" s="1">
        <v>309</v>
      </c>
      <c r="Q839" s="1">
        <v>150051</v>
      </c>
      <c r="R839" s="1" t="s">
        <v>45</v>
      </c>
      <c r="S839" s="1" t="s">
        <v>34</v>
      </c>
      <c r="T839" s="1" t="s">
        <v>46</v>
      </c>
      <c r="U839" s="1" t="s">
        <v>36</v>
      </c>
      <c r="V839" s="1" t="s">
        <v>37</v>
      </c>
      <c r="W839" s="1">
        <v>1</v>
      </c>
      <c r="X839" s="1" t="s">
        <v>47</v>
      </c>
      <c r="Y839" s="1">
        <v>2</v>
      </c>
      <c r="Z839" s="1" t="s">
        <v>58</v>
      </c>
    </row>
    <row r="840" spans="1:26" x14ac:dyDescent="0.3">
      <c r="A840" s="1" t="s">
        <v>1469</v>
      </c>
      <c r="B840" s="2">
        <v>45911</v>
      </c>
      <c r="C840" s="1" t="s">
        <v>965</v>
      </c>
      <c r="D840" s="1" t="s">
        <v>28</v>
      </c>
      <c r="E840" s="1" t="s">
        <v>29</v>
      </c>
      <c r="F840" s="1">
        <v>22</v>
      </c>
      <c r="G840" s="1" t="s">
        <v>134</v>
      </c>
      <c r="H840" s="1" t="s">
        <v>31</v>
      </c>
      <c r="I840" s="1" t="s">
        <v>134</v>
      </c>
      <c r="J840" s="1" t="s">
        <v>32</v>
      </c>
      <c r="K840" s="1">
        <v>1</v>
      </c>
      <c r="L840" s="1">
        <v>40566</v>
      </c>
      <c r="M840" s="1">
        <v>10</v>
      </c>
      <c r="N840" s="1">
        <v>4056.6</v>
      </c>
      <c r="O840" s="1">
        <v>6571.69</v>
      </c>
      <c r="P840" s="1">
        <v>112</v>
      </c>
      <c r="Q840" s="1">
        <v>43193.09</v>
      </c>
      <c r="R840" s="1" t="s">
        <v>45</v>
      </c>
      <c r="S840" s="1" t="s">
        <v>63</v>
      </c>
      <c r="T840" s="1" t="s">
        <v>55</v>
      </c>
      <c r="U840" s="1" t="s">
        <v>56</v>
      </c>
      <c r="V840" s="1" t="s">
        <v>57</v>
      </c>
      <c r="W840" s="1">
        <v>8</v>
      </c>
      <c r="X840" s="1" t="s">
        <v>47</v>
      </c>
      <c r="Y840" s="1">
        <v>2</v>
      </c>
      <c r="Z840" s="1" t="s">
        <v>47</v>
      </c>
    </row>
    <row r="841" spans="1:26" x14ac:dyDescent="0.3">
      <c r="A841" s="1" t="s">
        <v>1470</v>
      </c>
      <c r="B841" s="2">
        <v>45969</v>
      </c>
      <c r="C841" s="1" t="s">
        <v>414</v>
      </c>
      <c r="D841" s="1" t="s">
        <v>66</v>
      </c>
      <c r="E841" s="1" t="s">
        <v>43</v>
      </c>
      <c r="F841" s="1">
        <v>37</v>
      </c>
      <c r="G841" s="1" t="s">
        <v>30</v>
      </c>
      <c r="H841" s="1" t="s">
        <v>31</v>
      </c>
      <c r="I841" s="1" t="s">
        <v>30</v>
      </c>
      <c r="J841" s="1" t="s">
        <v>201</v>
      </c>
      <c r="K841" s="1">
        <v>1</v>
      </c>
      <c r="L841" s="1">
        <v>6815</v>
      </c>
      <c r="M841" s="1">
        <v>20</v>
      </c>
      <c r="N841" s="1">
        <v>1363</v>
      </c>
      <c r="O841" s="1">
        <v>981.36</v>
      </c>
      <c r="P841" s="1">
        <v>338</v>
      </c>
      <c r="Q841" s="1">
        <v>6771.36</v>
      </c>
      <c r="R841" s="1" t="s">
        <v>33</v>
      </c>
      <c r="S841" s="1" t="s">
        <v>34</v>
      </c>
      <c r="T841" s="1" t="s">
        <v>95</v>
      </c>
      <c r="U841" s="1" t="s">
        <v>96</v>
      </c>
      <c r="V841" s="1" t="s">
        <v>57</v>
      </c>
      <c r="W841" s="1">
        <v>8</v>
      </c>
      <c r="X841" s="1" t="s">
        <v>47</v>
      </c>
      <c r="Y841" s="1">
        <v>5</v>
      </c>
      <c r="Z841" s="1" t="s">
        <v>47</v>
      </c>
    </row>
    <row r="842" spans="1:26" x14ac:dyDescent="0.3">
      <c r="A842" s="1" t="s">
        <v>1471</v>
      </c>
      <c r="B842" s="2">
        <v>45931</v>
      </c>
      <c r="C842" s="1" t="s">
        <v>1472</v>
      </c>
      <c r="D842" s="1" t="s">
        <v>28</v>
      </c>
      <c r="E842" s="1" t="s">
        <v>29</v>
      </c>
      <c r="F842" s="1">
        <v>51</v>
      </c>
      <c r="G842" s="1" t="s">
        <v>30</v>
      </c>
      <c r="H842" s="1" t="s">
        <v>31</v>
      </c>
      <c r="I842" s="1" t="s">
        <v>30</v>
      </c>
      <c r="J842" s="1" t="s">
        <v>69</v>
      </c>
      <c r="K842" s="1">
        <v>3</v>
      </c>
      <c r="L842" s="1">
        <v>49678</v>
      </c>
      <c r="M842" s="1">
        <v>15</v>
      </c>
      <c r="N842" s="1">
        <v>22355.1</v>
      </c>
      <c r="O842" s="1">
        <v>22802.2</v>
      </c>
      <c r="P842" s="1">
        <v>277</v>
      </c>
      <c r="Q842" s="1">
        <v>149758.1</v>
      </c>
      <c r="R842" s="1" t="s">
        <v>45</v>
      </c>
      <c r="S842" s="1" t="s">
        <v>34</v>
      </c>
      <c r="T842" s="1" t="s">
        <v>55</v>
      </c>
      <c r="U842" s="1" t="s">
        <v>56</v>
      </c>
      <c r="V842" s="1" t="s">
        <v>57</v>
      </c>
      <c r="W842" s="1">
        <v>8</v>
      </c>
      <c r="X842" s="1" t="s">
        <v>38</v>
      </c>
      <c r="Y842" s="1">
        <v>5</v>
      </c>
      <c r="Z842" s="1" t="s">
        <v>47</v>
      </c>
    </row>
    <row r="843" spans="1:26" x14ac:dyDescent="0.3">
      <c r="A843" s="1" t="s">
        <v>1473</v>
      </c>
      <c r="B843" s="2">
        <v>45940</v>
      </c>
      <c r="C843" s="1" t="s">
        <v>1474</v>
      </c>
      <c r="D843" s="1" t="s">
        <v>108</v>
      </c>
      <c r="E843" s="1" t="s">
        <v>43</v>
      </c>
      <c r="F843" s="1">
        <v>46</v>
      </c>
      <c r="G843" s="1" t="s">
        <v>139</v>
      </c>
      <c r="H843" s="1" t="s">
        <v>31</v>
      </c>
      <c r="I843" s="1" t="s">
        <v>139</v>
      </c>
      <c r="J843" s="1" t="s">
        <v>62</v>
      </c>
      <c r="K843" s="1">
        <v>4</v>
      </c>
      <c r="L843" s="1">
        <v>21247</v>
      </c>
      <c r="M843" s="1">
        <v>5</v>
      </c>
      <c r="N843" s="1">
        <v>4249.3999999999996</v>
      </c>
      <c r="O843" s="1">
        <v>14532.95</v>
      </c>
      <c r="P843" s="1">
        <v>439</v>
      </c>
      <c r="Q843" s="1">
        <v>95710.55</v>
      </c>
      <c r="R843" s="1" t="s">
        <v>83</v>
      </c>
      <c r="S843" s="1" t="s">
        <v>63</v>
      </c>
      <c r="T843" s="1" t="s">
        <v>70</v>
      </c>
      <c r="U843" s="1" t="s">
        <v>56</v>
      </c>
      <c r="V843" s="1" t="s">
        <v>57</v>
      </c>
      <c r="W843" s="1">
        <v>5</v>
      </c>
      <c r="X843" s="1" t="s">
        <v>38</v>
      </c>
      <c r="Y843" s="1">
        <v>2</v>
      </c>
      <c r="Z843" s="1" t="s">
        <v>47</v>
      </c>
    </row>
    <row r="844" spans="1:26" x14ac:dyDescent="0.3">
      <c r="A844" s="1" t="s">
        <v>1475</v>
      </c>
      <c r="B844" s="2">
        <v>45897</v>
      </c>
      <c r="C844" s="1" t="s">
        <v>1366</v>
      </c>
      <c r="D844" s="1" t="s">
        <v>111</v>
      </c>
      <c r="E844" s="1" t="s">
        <v>43</v>
      </c>
      <c r="F844" s="1">
        <v>31</v>
      </c>
      <c r="G844" s="1" t="s">
        <v>51</v>
      </c>
      <c r="H844" s="1" t="s">
        <v>52</v>
      </c>
      <c r="I844" s="1" t="s">
        <v>51</v>
      </c>
      <c r="J844" s="1" t="s">
        <v>112</v>
      </c>
      <c r="K844" s="1">
        <v>2</v>
      </c>
      <c r="L844" s="1">
        <v>10921</v>
      </c>
      <c r="M844" s="1">
        <v>5</v>
      </c>
      <c r="N844" s="1">
        <v>1092.0999999999999</v>
      </c>
      <c r="O844" s="1">
        <v>3734.98</v>
      </c>
      <c r="P844" s="1">
        <v>395</v>
      </c>
      <c r="Q844" s="1">
        <v>24879.88</v>
      </c>
      <c r="R844" s="1" t="s">
        <v>83</v>
      </c>
      <c r="S844" s="1" t="s">
        <v>34</v>
      </c>
      <c r="T844" s="1" t="s">
        <v>70</v>
      </c>
      <c r="U844" s="1" t="s">
        <v>56</v>
      </c>
      <c r="V844" s="1" t="s">
        <v>57</v>
      </c>
      <c r="W844" s="1">
        <v>6</v>
      </c>
      <c r="X844" s="1" t="s">
        <v>38</v>
      </c>
      <c r="Y844" s="1">
        <v>2</v>
      </c>
      <c r="Z844" s="1" t="s">
        <v>58</v>
      </c>
    </row>
    <row r="845" spans="1:26" x14ac:dyDescent="0.3">
      <c r="A845" s="1" t="s">
        <v>1476</v>
      </c>
      <c r="B845" s="2">
        <v>45879</v>
      </c>
      <c r="C845" s="1" t="s">
        <v>989</v>
      </c>
      <c r="D845" s="1" t="s">
        <v>50</v>
      </c>
      <c r="E845" s="1" t="s">
        <v>43</v>
      </c>
      <c r="F845" s="1">
        <v>20</v>
      </c>
      <c r="G845" s="1" t="s">
        <v>67</v>
      </c>
      <c r="H845" s="1" t="s">
        <v>68</v>
      </c>
      <c r="I845" s="1" t="s">
        <v>67</v>
      </c>
      <c r="J845" s="1" t="s">
        <v>32</v>
      </c>
      <c r="K845" s="1">
        <v>2</v>
      </c>
      <c r="L845" s="1">
        <v>41264</v>
      </c>
      <c r="M845" s="1">
        <v>5</v>
      </c>
      <c r="N845" s="1">
        <v>4126.3999999999996</v>
      </c>
      <c r="O845" s="1">
        <v>14112.29</v>
      </c>
      <c r="P845" s="1">
        <v>7</v>
      </c>
      <c r="Q845" s="1">
        <v>92520.89</v>
      </c>
      <c r="R845" s="1" t="s">
        <v>54</v>
      </c>
      <c r="S845" s="1" t="s">
        <v>34</v>
      </c>
      <c r="T845" s="1" t="s">
        <v>103</v>
      </c>
      <c r="U845" s="1" t="s">
        <v>103</v>
      </c>
      <c r="V845" s="1" t="s">
        <v>57</v>
      </c>
      <c r="W845" s="1">
        <v>6</v>
      </c>
      <c r="X845" s="1" t="s">
        <v>47</v>
      </c>
      <c r="Y845" s="1">
        <v>5</v>
      </c>
      <c r="Z845" s="1" t="s">
        <v>91</v>
      </c>
    </row>
    <row r="846" spans="1:26" x14ac:dyDescent="0.3">
      <c r="A846" s="1" t="s">
        <v>1477</v>
      </c>
      <c r="B846" s="2">
        <v>46006</v>
      </c>
      <c r="C846" s="1" t="s">
        <v>1478</v>
      </c>
      <c r="D846" s="1" t="s">
        <v>108</v>
      </c>
      <c r="E846" s="1" t="s">
        <v>43</v>
      </c>
      <c r="F846" s="1">
        <v>37</v>
      </c>
      <c r="G846" s="1" t="s">
        <v>139</v>
      </c>
      <c r="H846" s="1" t="s">
        <v>31</v>
      </c>
      <c r="I846" s="1" t="s">
        <v>139</v>
      </c>
      <c r="J846" s="1" t="s">
        <v>112</v>
      </c>
      <c r="K846" s="1">
        <v>5</v>
      </c>
      <c r="L846" s="1">
        <v>15722</v>
      </c>
      <c r="M846" s="1">
        <v>20</v>
      </c>
      <c r="N846" s="1">
        <v>15722</v>
      </c>
      <c r="O846" s="1">
        <v>11319.84</v>
      </c>
      <c r="P846" s="1">
        <v>333</v>
      </c>
      <c r="Q846" s="1">
        <v>74540.84</v>
      </c>
      <c r="R846" s="1" t="s">
        <v>83</v>
      </c>
      <c r="S846" s="1" t="s">
        <v>34</v>
      </c>
      <c r="T846" s="1" t="s">
        <v>84</v>
      </c>
      <c r="U846" s="1" t="s">
        <v>85</v>
      </c>
      <c r="V846" s="1" t="s">
        <v>86</v>
      </c>
      <c r="W846" s="1">
        <v>7</v>
      </c>
      <c r="X846" s="1" t="s">
        <v>38</v>
      </c>
      <c r="Y846" s="1">
        <v>3</v>
      </c>
      <c r="Z846" s="1" t="s">
        <v>39</v>
      </c>
    </row>
    <row r="847" spans="1:26" x14ac:dyDescent="0.3">
      <c r="A847" s="1" t="s">
        <v>1479</v>
      </c>
      <c r="B847" s="2">
        <v>45819</v>
      </c>
      <c r="C847" s="1" t="s">
        <v>1480</v>
      </c>
      <c r="D847" s="1" t="s">
        <v>73</v>
      </c>
      <c r="E847" s="1" t="s">
        <v>29</v>
      </c>
      <c r="F847" s="1">
        <v>26</v>
      </c>
      <c r="G847" s="1" t="s">
        <v>30</v>
      </c>
      <c r="H847" s="1" t="s">
        <v>31</v>
      </c>
      <c r="I847" s="1" t="s">
        <v>30</v>
      </c>
      <c r="J847" s="1" t="s">
        <v>201</v>
      </c>
      <c r="K847" s="1">
        <v>4</v>
      </c>
      <c r="L847" s="1">
        <v>48345</v>
      </c>
      <c r="M847" s="1">
        <v>5</v>
      </c>
      <c r="N847" s="1">
        <v>9669</v>
      </c>
      <c r="O847" s="1">
        <v>33067.980000000003</v>
      </c>
      <c r="P847" s="1">
        <v>107</v>
      </c>
      <c r="Q847" s="1">
        <v>216885.98</v>
      </c>
      <c r="R847" s="1" t="s">
        <v>45</v>
      </c>
      <c r="S847" s="1" t="s">
        <v>63</v>
      </c>
      <c r="T847" s="1" t="s">
        <v>35</v>
      </c>
      <c r="U847" s="1" t="s">
        <v>36</v>
      </c>
      <c r="V847" s="1" t="s">
        <v>37</v>
      </c>
      <c r="W847" s="1">
        <v>9</v>
      </c>
      <c r="X847" s="1" t="s">
        <v>38</v>
      </c>
      <c r="Y847" s="1">
        <v>3</v>
      </c>
      <c r="Z847" s="1" t="s">
        <v>47</v>
      </c>
    </row>
    <row r="848" spans="1:26" x14ac:dyDescent="0.3">
      <c r="A848" s="1" t="s">
        <v>1481</v>
      </c>
      <c r="B848" s="2">
        <v>45891</v>
      </c>
      <c r="C848" s="1" t="s">
        <v>467</v>
      </c>
      <c r="D848" s="1" t="s">
        <v>80</v>
      </c>
      <c r="E848" s="1" t="s">
        <v>43</v>
      </c>
      <c r="F848" s="1">
        <v>59</v>
      </c>
      <c r="G848" s="1" t="s">
        <v>74</v>
      </c>
      <c r="H848" s="1" t="s">
        <v>31</v>
      </c>
      <c r="I848" s="1" t="s">
        <v>74</v>
      </c>
      <c r="J848" s="1" t="s">
        <v>201</v>
      </c>
      <c r="K848" s="1">
        <v>2</v>
      </c>
      <c r="L848" s="1">
        <v>32961</v>
      </c>
      <c r="M848" s="1">
        <v>0</v>
      </c>
      <c r="N848" s="1">
        <v>0</v>
      </c>
      <c r="O848" s="1">
        <v>11865.96</v>
      </c>
      <c r="P848" s="1">
        <v>103</v>
      </c>
      <c r="Q848" s="1">
        <v>77890.960000000006</v>
      </c>
      <c r="R848" s="1" t="s">
        <v>83</v>
      </c>
      <c r="S848" s="1" t="s">
        <v>34</v>
      </c>
      <c r="T848" s="1" t="s">
        <v>103</v>
      </c>
      <c r="U848" s="1" t="s">
        <v>103</v>
      </c>
      <c r="V848" s="1" t="s">
        <v>57</v>
      </c>
      <c r="W848" s="1">
        <v>8</v>
      </c>
      <c r="X848" s="1" t="s">
        <v>38</v>
      </c>
      <c r="Y848" s="1">
        <v>1</v>
      </c>
      <c r="Z848" s="1" t="s">
        <v>47</v>
      </c>
    </row>
    <row r="849" spans="1:26" x14ac:dyDescent="0.3">
      <c r="A849" s="1" t="s">
        <v>1482</v>
      </c>
      <c r="B849" s="2">
        <v>45965</v>
      </c>
      <c r="C849" s="1" t="s">
        <v>1483</v>
      </c>
      <c r="D849" s="1" t="s">
        <v>50</v>
      </c>
      <c r="E849" s="1" t="s">
        <v>43</v>
      </c>
      <c r="F849" s="1">
        <v>36</v>
      </c>
      <c r="G849" s="1" t="s">
        <v>99</v>
      </c>
      <c r="H849" s="1" t="s">
        <v>52</v>
      </c>
      <c r="I849" s="1" t="s">
        <v>99</v>
      </c>
      <c r="J849" s="1" t="s">
        <v>32</v>
      </c>
      <c r="K849" s="1">
        <v>3</v>
      </c>
      <c r="L849" s="1">
        <v>20711</v>
      </c>
      <c r="M849" s="1">
        <v>20</v>
      </c>
      <c r="N849" s="1">
        <v>12426.6</v>
      </c>
      <c r="O849" s="1">
        <v>8947.15</v>
      </c>
      <c r="P849" s="1">
        <v>216</v>
      </c>
      <c r="Q849" s="1">
        <v>58869.55</v>
      </c>
      <c r="R849" s="1" t="s">
        <v>33</v>
      </c>
      <c r="S849" s="1" t="s">
        <v>63</v>
      </c>
      <c r="T849" s="1" t="s">
        <v>35</v>
      </c>
      <c r="U849" s="1" t="s">
        <v>36</v>
      </c>
      <c r="V849" s="1" t="s">
        <v>37</v>
      </c>
      <c r="W849" s="1">
        <v>5</v>
      </c>
      <c r="X849" s="1" t="s">
        <v>47</v>
      </c>
      <c r="Y849" s="1">
        <v>5</v>
      </c>
      <c r="Z849" s="1" t="s">
        <v>91</v>
      </c>
    </row>
    <row r="850" spans="1:26" x14ac:dyDescent="0.3">
      <c r="A850" s="1" t="s">
        <v>1484</v>
      </c>
      <c r="B850" s="2">
        <v>45965</v>
      </c>
      <c r="C850" s="1" t="s">
        <v>1485</v>
      </c>
      <c r="D850" s="1" t="s">
        <v>61</v>
      </c>
      <c r="E850" s="1" t="s">
        <v>29</v>
      </c>
      <c r="F850" s="1">
        <v>49</v>
      </c>
      <c r="G850" s="1" t="s">
        <v>134</v>
      </c>
      <c r="H850" s="1" t="s">
        <v>31</v>
      </c>
      <c r="I850" s="1" t="s">
        <v>134</v>
      </c>
      <c r="J850" s="1" t="s">
        <v>62</v>
      </c>
      <c r="K850" s="1">
        <v>5</v>
      </c>
      <c r="L850" s="1">
        <v>19707</v>
      </c>
      <c r="M850" s="1">
        <v>10</v>
      </c>
      <c r="N850" s="1">
        <v>9853.5</v>
      </c>
      <c r="O850" s="1">
        <v>15962.67</v>
      </c>
      <c r="P850" s="1">
        <v>346</v>
      </c>
      <c r="Q850" s="1">
        <v>104990.17</v>
      </c>
      <c r="R850" s="1" t="s">
        <v>83</v>
      </c>
      <c r="S850" s="1" t="s">
        <v>63</v>
      </c>
      <c r="T850" s="1" t="s">
        <v>76</v>
      </c>
      <c r="U850" s="1" t="s">
        <v>77</v>
      </c>
      <c r="V850" s="1" t="s">
        <v>57</v>
      </c>
      <c r="W850" s="1">
        <v>4</v>
      </c>
      <c r="X850" s="1" t="s">
        <v>47</v>
      </c>
      <c r="Y850" s="1">
        <v>1</v>
      </c>
      <c r="Z850" s="1" t="s">
        <v>47</v>
      </c>
    </row>
    <row r="851" spans="1:26" x14ac:dyDescent="0.3">
      <c r="A851" s="1" t="s">
        <v>1486</v>
      </c>
      <c r="B851" s="2">
        <v>46029</v>
      </c>
      <c r="C851" s="1" t="s">
        <v>321</v>
      </c>
      <c r="D851" s="1" t="s">
        <v>73</v>
      </c>
      <c r="E851" s="1" t="s">
        <v>43</v>
      </c>
      <c r="F851" s="1">
        <v>45</v>
      </c>
      <c r="G851" s="1" t="s">
        <v>67</v>
      </c>
      <c r="H851" s="1" t="s">
        <v>68</v>
      </c>
      <c r="I851" s="1" t="s">
        <v>67</v>
      </c>
      <c r="J851" s="1" t="s">
        <v>201</v>
      </c>
      <c r="K851" s="1">
        <v>1</v>
      </c>
      <c r="L851" s="1">
        <v>37289</v>
      </c>
      <c r="M851" s="1">
        <v>20</v>
      </c>
      <c r="N851" s="1">
        <v>7457.8</v>
      </c>
      <c r="O851" s="1">
        <v>5369.62</v>
      </c>
      <c r="P851" s="1">
        <v>297</v>
      </c>
      <c r="Q851" s="1">
        <v>35497.82</v>
      </c>
      <c r="R851" s="1" t="s">
        <v>45</v>
      </c>
      <c r="S851" s="1" t="s">
        <v>63</v>
      </c>
      <c r="T851" s="1" t="s">
        <v>84</v>
      </c>
      <c r="U851" s="1" t="s">
        <v>85</v>
      </c>
      <c r="V851" s="1" t="s">
        <v>86</v>
      </c>
      <c r="W851" s="1">
        <v>6</v>
      </c>
      <c r="X851" s="1" t="s">
        <v>38</v>
      </c>
      <c r="Y851" s="1">
        <v>2</v>
      </c>
      <c r="Z851" s="1" t="s">
        <v>39</v>
      </c>
    </row>
    <row r="852" spans="1:26" x14ac:dyDescent="0.3">
      <c r="A852" s="1" t="s">
        <v>1487</v>
      </c>
      <c r="B852" s="2">
        <v>46066</v>
      </c>
      <c r="C852" s="1" t="s">
        <v>760</v>
      </c>
      <c r="D852" s="1" t="s">
        <v>28</v>
      </c>
      <c r="E852" s="1" t="s">
        <v>29</v>
      </c>
      <c r="F852" s="1">
        <v>53</v>
      </c>
      <c r="G852" s="1" t="s">
        <v>67</v>
      </c>
      <c r="H852" s="1" t="s">
        <v>68</v>
      </c>
      <c r="I852" s="1" t="s">
        <v>67</v>
      </c>
      <c r="J852" s="1" t="s">
        <v>201</v>
      </c>
      <c r="K852" s="1">
        <v>5</v>
      </c>
      <c r="L852" s="1">
        <v>35009</v>
      </c>
      <c r="M852" s="1">
        <v>0</v>
      </c>
      <c r="N852" s="1">
        <v>0</v>
      </c>
      <c r="O852" s="1">
        <v>31508.1</v>
      </c>
      <c r="P852" s="1">
        <v>316</v>
      </c>
      <c r="Q852" s="1">
        <v>206869.1</v>
      </c>
      <c r="R852" s="1" t="s">
        <v>45</v>
      </c>
      <c r="S852" s="1" t="s">
        <v>34</v>
      </c>
      <c r="T852" s="1" t="s">
        <v>46</v>
      </c>
      <c r="U852" s="1" t="s">
        <v>36</v>
      </c>
      <c r="V852" s="1" t="s">
        <v>37</v>
      </c>
      <c r="W852" s="1">
        <v>1</v>
      </c>
      <c r="X852" s="1" t="s">
        <v>47</v>
      </c>
      <c r="Y852" s="1">
        <v>3</v>
      </c>
      <c r="Z852" s="1" t="s">
        <v>58</v>
      </c>
    </row>
    <row r="853" spans="1:26" x14ac:dyDescent="0.3">
      <c r="A853" s="1" t="s">
        <v>1488</v>
      </c>
      <c r="B853" s="2">
        <v>45894</v>
      </c>
      <c r="C853" s="1" t="s">
        <v>1489</v>
      </c>
      <c r="D853" s="1" t="s">
        <v>80</v>
      </c>
      <c r="E853" s="1" t="s">
        <v>29</v>
      </c>
      <c r="F853" s="1">
        <v>30</v>
      </c>
      <c r="G853" s="1" t="s">
        <v>134</v>
      </c>
      <c r="H853" s="1" t="s">
        <v>31</v>
      </c>
      <c r="I853" s="1" t="s">
        <v>134</v>
      </c>
      <c r="J853" s="1" t="s">
        <v>150</v>
      </c>
      <c r="K853" s="1">
        <v>3</v>
      </c>
      <c r="L853" s="1">
        <v>26210</v>
      </c>
      <c r="M853" s="1">
        <v>20</v>
      </c>
      <c r="N853" s="1">
        <v>15726</v>
      </c>
      <c r="O853" s="1">
        <v>11322.72</v>
      </c>
      <c r="P853" s="1">
        <v>459</v>
      </c>
      <c r="Q853" s="1">
        <v>74685.72</v>
      </c>
      <c r="R853" s="1" t="s">
        <v>83</v>
      </c>
      <c r="S853" s="1" t="s">
        <v>34</v>
      </c>
      <c r="T853" s="1" t="s">
        <v>35</v>
      </c>
      <c r="U853" s="1" t="s">
        <v>36</v>
      </c>
      <c r="V853" s="1" t="s">
        <v>37</v>
      </c>
      <c r="W853" s="1">
        <v>2</v>
      </c>
      <c r="X853" s="1" t="s">
        <v>38</v>
      </c>
      <c r="Y853" s="1">
        <v>1</v>
      </c>
      <c r="Z853" s="1" t="s">
        <v>47</v>
      </c>
    </row>
    <row r="854" spans="1:26" x14ac:dyDescent="0.3">
      <c r="A854" s="1" t="s">
        <v>1490</v>
      </c>
      <c r="B854" s="2">
        <v>45877</v>
      </c>
      <c r="C854" s="1" t="s">
        <v>1185</v>
      </c>
      <c r="D854" s="1" t="s">
        <v>66</v>
      </c>
      <c r="E854" s="1" t="s">
        <v>29</v>
      </c>
      <c r="F854" s="1">
        <v>49</v>
      </c>
      <c r="G854" s="1" t="s">
        <v>51</v>
      </c>
      <c r="H854" s="1" t="s">
        <v>52</v>
      </c>
      <c r="I854" s="1" t="s">
        <v>51</v>
      </c>
      <c r="J854" s="1" t="s">
        <v>32</v>
      </c>
      <c r="K854" s="1">
        <v>4</v>
      </c>
      <c r="L854" s="1">
        <v>13804</v>
      </c>
      <c r="M854" s="1">
        <v>5</v>
      </c>
      <c r="N854" s="1">
        <v>2760.8</v>
      </c>
      <c r="O854" s="1">
        <v>9441.94</v>
      </c>
      <c r="P854" s="1">
        <v>349</v>
      </c>
      <c r="Q854" s="1">
        <v>62246.14</v>
      </c>
      <c r="R854" s="1" t="s">
        <v>33</v>
      </c>
      <c r="S854" s="1" t="s">
        <v>34</v>
      </c>
      <c r="T854" s="1" t="s">
        <v>70</v>
      </c>
      <c r="U854" s="1" t="s">
        <v>56</v>
      </c>
      <c r="V854" s="1" t="s">
        <v>57</v>
      </c>
      <c r="W854" s="1">
        <v>7</v>
      </c>
      <c r="X854" s="1" t="s">
        <v>47</v>
      </c>
      <c r="Y854" s="1">
        <v>5</v>
      </c>
      <c r="Z854" s="1" t="s">
        <v>47</v>
      </c>
    </row>
    <row r="855" spans="1:26" x14ac:dyDescent="0.3">
      <c r="A855" s="1" t="s">
        <v>1491</v>
      </c>
      <c r="B855" s="2">
        <v>45958</v>
      </c>
      <c r="C855" s="1" t="s">
        <v>412</v>
      </c>
      <c r="D855" s="1" t="s">
        <v>89</v>
      </c>
      <c r="E855" s="1" t="s">
        <v>43</v>
      </c>
      <c r="F855" s="1">
        <v>59</v>
      </c>
      <c r="G855" s="1" t="s">
        <v>44</v>
      </c>
      <c r="H855" s="1" t="s">
        <v>31</v>
      </c>
      <c r="I855" s="1" t="s">
        <v>44</v>
      </c>
      <c r="J855" s="1" t="s">
        <v>112</v>
      </c>
      <c r="K855" s="1">
        <v>2</v>
      </c>
      <c r="L855" s="1">
        <v>20640</v>
      </c>
      <c r="M855" s="1">
        <v>0</v>
      </c>
      <c r="N855" s="1">
        <v>0</v>
      </c>
      <c r="O855" s="1">
        <v>7430.4</v>
      </c>
      <c r="P855" s="1">
        <v>97</v>
      </c>
      <c r="Q855" s="1">
        <v>48807.4</v>
      </c>
      <c r="R855" s="1" t="s">
        <v>45</v>
      </c>
      <c r="S855" s="1" t="s">
        <v>34</v>
      </c>
      <c r="T855" s="1" t="s">
        <v>35</v>
      </c>
      <c r="U855" s="1" t="s">
        <v>36</v>
      </c>
      <c r="V855" s="1" t="s">
        <v>37</v>
      </c>
      <c r="W855" s="1">
        <v>6</v>
      </c>
      <c r="X855" s="1" t="s">
        <v>47</v>
      </c>
      <c r="Y855" s="1">
        <v>1</v>
      </c>
      <c r="Z855" s="1" t="s">
        <v>47</v>
      </c>
    </row>
    <row r="856" spans="1:26" x14ac:dyDescent="0.3">
      <c r="A856" s="1" t="s">
        <v>1492</v>
      </c>
      <c r="B856" s="2">
        <v>46085</v>
      </c>
      <c r="C856" s="1" t="s">
        <v>1493</v>
      </c>
      <c r="D856" s="1" t="s">
        <v>28</v>
      </c>
      <c r="E856" s="1" t="s">
        <v>43</v>
      </c>
      <c r="F856" s="1">
        <v>47</v>
      </c>
      <c r="G856" s="1" t="s">
        <v>67</v>
      </c>
      <c r="H856" s="1" t="s">
        <v>68</v>
      </c>
      <c r="I856" s="1" t="s">
        <v>67</v>
      </c>
      <c r="J856" s="1" t="s">
        <v>32</v>
      </c>
      <c r="K856" s="1">
        <v>4</v>
      </c>
      <c r="L856" s="1">
        <v>32637</v>
      </c>
      <c r="M856" s="1">
        <v>15</v>
      </c>
      <c r="N856" s="1">
        <v>19582.2</v>
      </c>
      <c r="O856" s="1">
        <v>19973.84</v>
      </c>
      <c r="P856" s="1">
        <v>162</v>
      </c>
      <c r="Q856" s="1">
        <v>131101.64000000001</v>
      </c>
      <c r="R856" s="1" t="s">
        <v>45</v>
      </c>
      <c r="S856" s="1" t="s">
        <v>63</v>
      </c>
      <c r="T856" s="1" t="s">
        <v>70</v>
      </c>
      <c r="U856" s="1" t="s">
        <v>56</v>
      </c>
      <c r="V856" s="1" t="s">
        <v>57</v>
      </c>
      <c r="W856" s="1">
        <v>3</v>
      </c>
      <c r="X856" s="1" t="s">
        <v>38</v>
      </c>
      <c r="Y856" s="1">
        <v>4</v>
      </c>
      <c r="Z856" s="1" t="s">
        <v>91</v>
      </c>
    </row>
    <row r="857" spans="1:26" x14ac:dyDescent="0.3">
      <c r="A857" s="1" t="s">
        <v>1494</v>
      </c>
      <c r="B857" s="2">
        <v>46105</v>
      </c>
      <c r="C857" s="1" t="s">
        <v>1495</v>
      </c>
      <c r="D857" s="1" t="s">
        <v>108</v>
      </c>
      <c r="E857" s="1" t="s">
        <v>29</v>
      </c>
      <c r="F857" s="1">
        <v>18</v>
      </c>
      <c r="G857" s="1" t="s">
        <v>67</v>
      </c>
      <c r="H857" s="1" t="s">
        <v>68</v>
      </c>
      <c r="I857" s="1" t="s">
        <v>67</v>
      </c>
      <c r="J857" s="1" t="s">
        <v>75</v>
      </c>
      <c r="K857" s="1">
        <v>5</v>
      </c>
      <c r="L857" s="1">
        <v>30196</v>
      </c>
      <c r="M857" s="1">
        <v>5</v>
      </c>
      <c r="N857" s="1">
        <v>7549</v>
      </c>
      <c r="O857" s="1">
        <v>25817.58</v>
      </c>
      <c r="P857" s="1">
        <v>472</v>
      </c>
      <c r="Q857" s="1">
        <v>169720.58</v>
      </c>
      <c r="R857" s="1" t="s">
        <v>54</v>
      </c>
      <c r="S857" s="1" t="s">
        <v>63</v>
      </c>
      <c r="T857" s="1" t="s">
        <v>70</v>
      </c>
      <c r="U857" s="1" t="s">
        <v>56</v>
      </c>
      <c r="V857" s="1" t="s">
        <v>57</v>
      </c>
      <c r="W857" s="1">
        <v>6</v>
      </c>
      <c r="X857" s="1" t="s">
        <v>38</v>
      </c>
      <c r="Y857" s="1">
        <v>1</v>
      </c>
      <c r="Z857" s="1" t="s">
        <v>47</v>
      </c>
    </row>
    <row r="858" spans="1:26" x14ac:dyDescent="0.3">
      <c r="A858" s="1" t="s">
        <v>1496</v>
      </c>
      <c r="B858" s="2">
        <v>45844</v>
      </c>
      <c r="C858" s="1" t="s">
        <v>1497</v>
      </c>
      <c r="D858" s="1" t="s">
        <v>108</v>
      </c>
      <c r="E858" s="1" t="s">
        <v>43</v>
      </c>
      <c r="F858" s="1">
        <v>21</v>
      </c>
      <c r="G858" s="1" t="s">
        <v>94</v>
      </c>
      <c r="H858" s="1" t="s">
        <v>31</v>
      </c>
      <c r="I858" s="1" t="s">
        <v>94</v>
      </c>
      <c r="J858" s="1" t="s">
        <v>150</v>
      </c>
      <c r="K858" s="1">
        <v>2</v>
      </c>
      <c r="L858" s="1">
        <v>22407</v>
      </c>
      <c r="M858" s="1">
        <v>5</v>
      </c>
      <c r="N858" s="1">
        <v>2240.6999999999998</v>
      </c>
      <c r="O858" s="1">
        <v>7663.19</v>
      </c>
      <c r="P858" s="1">
        <v>46</v>
      </c>
      <c r="Q858" s="1">
        <v>50282.49</v>
      </c>
      <c r="R858" s="1" t="s">
        <v>54</v>
      </c>
      <c r="S858" s="1" t="s">
        <v>34</v>
      </c>
      <c r="T858" s="1" t="s">
        <v>95</v>
      </c>
      <c r="U858" s="1" t="s">
        <v>96</v>
      </c>
      <c r="V858" s="1" t="s">
        <v>57</v>
      </c>
      <c r="W858" s="1">
        <v>4</v>
      </c>
      <c r="X858" s="1" t="s">
        <v>38</v>
      </c>
      <c r="Y858" s="1">
        <v>1</v>
      </c>
      <c r="Z858" s="1" t="s">
        <v>47</v>
      </c>
    </row>
    <row r="859" spans="1:26" x14ac:dyDescent="0.3">
      <c r="A859" s="1" t="s">
        <v>1498</v>
      </c>
      <c r="B859" s="2">
        <v>45767</v>
      </c>
      <c r="C859" s="1" t="s">
        <v>1499</v>
      </c>
      <c r="D859" s="1" t="s">
        <v>28</v>
      </c>
      <c r="E859" s="1" t="s">
        <v>43</v>
      </c>
      <c r="F859" s="1">
        <v>25</v>
      </c>
      <c r="G859" s="1" t="s">
        <v>134</v>
      </c>
      <c r="H859" s="1" t="s">
        <v>31</v>
      </c>
      <c r="I859" s="1" t="s">
        <v>134</v>
      </c>
      <c r="J859" s="1" t="s">
        <v>125</v>
      </c>
      <c r="K859" s="1">
        <v>4</v>
      </c>
      <c r="L859" s="1">
        <v>21850</v>
      </c>
      <c r="M859" s="1">
        <v>15</v>
      </c>
      <c r="N859" s="1">
        <v>13110</v>
      </c>
      <c r="O859" s="1">
        <v>13372.2</v>
      </c>
      <c r="P859" s="1">
        <v>303</v>
      </c>
      <c r="Q859" s="1">
        <v>87965.2</v>
      </c>
      <c r="R859" s="1" t="s">
        <v>45</v>
      </c>
      <c r="S859" s="1" t="s">
        <v>34</v>
      </c>
      <c r="T859" s="1" t="s">
        <v>95</v>
      </c>
      <c r="U859" s="1" t="s">
        <v>96</v>
      </c>
      <c r="V859" s="1" t="s">
        <v>57</v>
      </c>
      <c r="W859" s="1">
        <v>9</v>
      </c>
      <c r="X859" s="1" t="s">
        <v>47</v>
      </c>
      <c r="Y859" s="1">
        <v>3</v>
      </c>
      <c r="Z859" s="1" t="s">
        <v>91</v>
      </c>
    </row>
    <row r="860" spans="1:26" x14ac:dyDescent="0.3">
      <c r="A860" s="1" t="s">
        <v>1500</v>
      </c>
      <c r="B860" s="2">
        <v>45927</v>
      </c>
      <c r="C860" s="1" t="s">
        <v>1501</v>
      </c>
      <c r="D860" s="1" t="s">
        <v>111</v>
      </c>
      <c r="E860" s="1" t="s">
        <v>29</v>
      </c>
      <c r="F860" s="1">
        <v>31</v>
      </c>
      <c r="G860" s="1" t="s">
        <v>90</v>
      </c>
      <c r="H860" s="1" t="s">
        <v>31</v>
      </c>
      <c r="I860" s="1" t="s">
        <v>90</v>
      </c>
      <c r="J860" s="1" t="s">
        <v>69</v>
      </c>
      <c r="K860" s="1">
        <v>1</v>
      </c>
      <c r="L860" s="1">
        <v>24965</v>
      </c>
      <c r="M860" s="1">
        <v>20</v>
      </c>
      <c r="N860" s="1">
        <v>4993</v>
      </c>
      <c r="O860" s="1">
        <v>3594.96</v>
      </c>
      <c r="P860" s="1">
        <v>431</v>
      </c>
      <c r="Q860" s="1">
        <v>23997.96</v>
      </c>
      <c r="R860" s="1" t="s">
        <v>33</v>
      </c>
      <c r="S860" s="1" t="s">
        <v>34</v>
      </c>
      <c r="T860" s="1" t="s">
        <v>70</v>
      </c>
      <c r="U860" s="1" t="s">
        <v>56</v>
      </c>
      <c r="V860" s="1" t="s">
        <v>57</v>
      </c>
      <c r="W860" s="1">
        <v>1</v>
      </c>
      <c r="X860" s="1" t="s">
        <v>47</v>
      </c>
      <c r="Y860" s="1">
        <v>1</v>
      </c>
      <c r="Z860" s="1" t="s">
        <v>39</v>
      </c>
    </row>
    <row r="861" spans="1:26" x14ac:dyDescent="0.3">
      <c r="A861" s="1" t="s">
        <v>1502</v>
      </c>
      <c r="B861" s="2">
        <v>45993</v>
      </c>
      <c r="C861" s="1" t="s">
        <v>553</v>
      </c>
      <c r="D861" s="1" t="s">
        <v>73</v>
      </c>
      <c r="E861" s="1" t="s">
        <v>43</v>
      </c>
      <c r="F861" s="1">
        <v>24</v>
      </c>
      <c r="G861" s="1" t="s">
        <v>134</v>
      </c>
      <c r="H861" s="1" t="s">
        <v>31</v>
      </c>
      <c r="I861" s="1" t="s">
        <v>134</v>
      </c>
      <c r="J861" s="1" t="s">
        <v>150</v>
      </c>
      <c r="K861" s="1">
        <v>2</v>
      </c>
      <c r="L861" s="1">
        <v>44956</v>
      </c>
      <c r="M861" s="1">
        <v>15</v>
      </c>
      <c r="N861" s="1">
        <v>13486.8</v>
      </c>
      <c r="O861" s="1">
        <v>13756.54</v>
      </c>
      <c r="P861" s="1">
        <v>136</v>
      </c>
      <c r="Q861" s="1">
        <v>90317.74</v>
      </c>
      <c r="R861" s="1" t="s">
        <v>54</v>
      </c>
      <c r="S861" s="1" t="s">
        <v>63</v>
      </c>
      <c r="T861" s="1" t="s">
        <v>35</v>
      </c>
      <c r="U861" s="1" t="s">
        <v>36</v>
      </c>
      <c r="V861" s="1" t="s">
        <v>37</v>
      </c>
      <c r="W861" s="1">
        <v>1</v>
      </c>
      <c r="X861" s="1" t="s">
        <v>38</v>
      </c>
      <c r="Y861" s="1">
        <v>2</v>
      </c>
      <c r="Z861" s="1" t="s">
        <v>39</v>
      </c>
    </row>
    <row r="862" spans="1:26" x14ac:dyDescent="0.3">
      <c r="A862" s="1" t="s">
        <v>1503</v>
      </c>
      <c r="B862" s="2">
        <v>45792</v>
      </c>
      <c r="C862" s="1" t="s">
        <v>1504</v>
      </c>
      <c r="D862" s="1" t="s">
        <v>111</v>
      </c>
      <c r="E862" s="1" t="s">
        <v>29</v>
      </c>
      <c r="F862" s="1">
        <v>57</v>
      </c>
      <c r="G862" s="1" t="s">
        <v>90</v>
      </c>
      <c r="H862" s="1" t="s">
        <v>31</v>
      </c>
      <c r="I862" s="1" t="s">
        <v>90</v>
      </c>
      <c r="J862" s="1" t="s">
        <v>32</v>
      </c>
      <c r="K862" s="1">
        <v>3</v>
      </c>
      <c r="L862" s="1">
        <v>42360</v>
      </c>
      <c r="M862" s="1">
        <v>15</v>
      </c>
      <c r="N862" s="1">
        <v>19062</v>
      </c>
      <c r="O862" s="1">
        <v>19443.240000000002</v>
      </c>
      <c r="P862" s="1">
        <v>46</v>
      </c>
      <c r="Q862" s="1">
        <v>127507.24</v>
      </c>
      <c r="R862" s="1" t="s">
        <v>45</v>
      </c>
      <c r="S862" s="1" t="s">
        <v>34</v>
      </c>
      <c r="T862" s="1" t="s">
        <v>70</v>
      </c>
      <c r="U862" s="1" t="s">
        <v>56</v>
      </c>
      <c r="V862" s="1" t="s">
        <v>57</v>
      </c>
      <c r="W862" s="1">
        <v>6</v>
      </c>
      <c r="X862" s="1" t="s">
        <v>47</v>
      </c>
      <c r="Y862" s="1">
        <v>1</v>
      </c>
      <c r="Z862" s="1" t="s">
        <v>91</v>
      </c>
    </row>
    <row r="863" spans="1:26" x14ac:dyDescent="0.3">
      <c r="A863" s="1" t="s">
        <v>1505</v>
      </c>
      <c r="B863" s="2">
        <v>46065</v>
      </c>
      <c r="C863" s="1" t="s">
        <v>1077</v>
      </c>
      <c r="D863" s="1" t="s">
        <v>61</v>
      </c>
      <c r="E863" s="1" t="s">
        <v>43</v>
      </c>
      <c r="F863" s="1">
        <v>39</v>
      </c>
      <c r="G863" s="1" t="s">
        <v>99</v>
      </c>
      <c r="H863" s="1" t="s">
        <v>52</v>
      </c>
      <c r="I863" s="1" t="s">
        <v>99</v>
      </c>
      <c r="J863" s="1" t="s">
        <v>62</v>
      </c>
      <c r="K863" s="1">
        <v>2</v>
      </c>
      <c r="L863" s="1">
        <v>26834</v>
      </c>
      <c r="M863" s="1">
        <v>20</v>
      </c>
      <c r="N863" s="1">
        <v>10733.6</v>
      </c>
      <c r="O863" s="1">
        <v>7728.19</v>
      </c>
      <c r="P863" s="1">
        <v>488</v>
      </c>
      <c r="Q863" s="1">
        <v>51150.59</v>
      </c>
      <c r="R863" s="1" t="s">
        <v>54</v>
      </c>
      <c r="S863" s="1" t="s">
        <v>34</v>
      </c>
      <c r="T863" s="1" t="s">
        <v>35</v>
      </c>
      <c r="U863" s="1" t="s">
        <v>36</v>
      </c>
      <c r="V863" s="1" t="s">
        <v>37</v>
      </c>
      <c r="W863" s="1">
        <v>8</v>
      </c>
      <c r="X863" s="1" t="s">
        <v>47</v>
      </c>
      <c r="Y863" s="1">
        <v>4</v>
      </c>
      <c r="Z863" s="1" t="s">
        <v>91</v>
      </c>
    </row>
    <row r="864" spans="1:26" x14ac:dyDescent="0.3">
      <c r="A864" s="1" t="s">
        <v>1506</v>
      </c>
      <c r="B864" s="2">
        <v>45801</v>
      </c>
      <c r="C864" s="1" t="s">
        <v>375</v>
      </c>
      <c r="D864" s="1" t="s">
        <v>111</v>
      </c>
      <c r="E864" s="1" t="s">
        <v>43</v>
      </c>
      <c r="F864" s="1">
        <v>52</v>
      </c>
      <c r="G864" s="1" t="s">
        <v>44</v>
      </c>
      <c r="H864" s="1" t="s">
        <v>31</v>
      </c>
      <c r="I864" s="1" t="s">
        <v>44</v>
      </c>
      <c r="J864" s="1" t="s">
        <v>32</v>
      </c>
      <c r="K864" s="1">
        <v>4</v>
      </c>
      <c r="L864" s="1">
        <v>43417</v>
      </c>
      <c r="M864" s="1">
        <v>20</v>
      </c>
      <c r="N864" s="1">
        <v>34733.599999999999</v>
      </c>
      <c r="O864" s="1">
        <v>25008.19</v>
      </c>
      <c r="P864" s="1">
        <v>360</v>
      </c>
      <c r="Q864" s="1">
        <v>164302.59</v>
      </c>
      <c r="R864" s="1" t="s">
        <v>33</v>
      </c>
      <c r="S864" s="1" t="s">
        <v>63</v>
      </c>
      <c r="T864" s="1" t="s">
        <v>35</v>
      </c>
      <c r="U864" s="1" t="s">
        <v>36</v>
      </c>
      <c r="V864" s="1" t="s">
        <v>37</v>
      </c>
      <c r="W864" s="1">
        <v>5</v>
      </c>
      <c r="X864" s="1" t="s">
        <v>38</v>
      </c>
      <c r="Y864" s="1">
        <v>1</v>
      </c>
      <c r="Z864" s="1" t="s">
        <v>91</v>
      </c>
    </row>
    <row r="865" spans="1:26" x14ac:dyDescent="0.3">
      <c r="A865" s="1" t="s">
        <v>1507</v>
      </c>
      <c r="B865" s="2">
        <v>46078</v>
      </c>
      <c r="C865" s="1" t="s">
        <v>1508</v>
      </c>
      <c r="D865" s="1" t="s">
        <v>108</v>
      </c>
      <c r="E865" s="1" t="s">
        <v>29</v>
      </c>
      <c r="F865" s="1">
        <v>33</v>
      </c>
      <c r="G865" s="1" t="s">
        <v>67</v>
      </c>
      <c r="H865" s="1" t="s">
        <v>68</v>
      </c>
      <c r="I865" s="1" t="s">
        <v>67</v>
      </c>
      <c r="J865" s="1" t="s">
        <v>75</v>
      </c>
      <c r="K865" s="1">
        <v>5</v>
      </c>
      <c r="L865" s="1">
        <v>36728</v>
      </c>
      <c r="M865" s="1">
        <v>10</v>
      </c>
      <c r="N865" s="1">
        <v>18364</v>
      </c>
      <c r="O865" s="1">
        <v>29749.68</v>
      </c>
      <c r="P865" s="1">
        <v>119</v>
      </c>
      <c r="Q865" s="1">
        <v>195144.68</v>
      </c>
      <c r="R865" s="1" t="s">
        <v>54</v>
      </c>
      <c r="S865" s="1" t="s">
        <v>63</v>
      </c>
      <c r="T865" s="1" t="s">
        <v>103</v>
      </c>
      <c r="U865" s="1" t="s">
        <v>103</v>
      </c>
      <c r="V865" s="1" t="s">
        <v>57</v>
      </c>
      <c r="W865" s="1">
        <v>1</v>
      </c>
      <c r="X865" s="1" t="s">
        <v>47</v>
      </c>
      <c r="Y865" s="1">
        <v>4</v>
      </c>
      <c r="Z865" s="1" t="s">
        <v>39</v>
      </c>
    </row>
    <row r="866" spans="1:26" x14ac:dyDescent="0.3">
      <c r="A866" s="1" t="s">
        <v>1509</v>
      </c>
      <c r="B866" s="2">
        <v>45792</v>
      </c>
      <c r="C866" s="1" t="s">
        <v>1291</v>
      </c>
      <c r="D866" s="1" t="s">
        <v>108</v>
      </c>
      <c r="E866" s="1" t="s">
        <v>29</v>
      </c>
      <c r="F866" s="1">
        <v>25</v>
      </c>
      <c r="G866" s="1" t="s">
        <v>94</v>
      </c>
      <c r="H866" s="1" t="s">
        <v>31</v>
      </c>
      <c r="I866" s="1" t="s">
        <v>94</v>
      </c>
      <c r="J866" s="1" t="s">
        <v>125</v>
      </c>
      <c r="K866" s="1">
        <v>1</v>
      </c>
      <c r="L866" s="1">
        <v>41533</v>
      </c>
      <c r="M866" s="1">
        <v>0</v>
      </c>
      <c r="N866" s="1">
        <v>0</v>
      </c>
      <c r="O866" s="1">
        <v>7475.94</v>
      </c>
      <c r="P866" s="1">
        <v>229</v>
      </c>
      <c r="Q866" s="1">
        <v>49237.94</v>
      </c>
      <c r="R866" s="1" t="s">
        <v>83</v>
      </c>
      <c r="S866" s="1" t="s">
        <v>34</v>
      </c>
      <c r="T866" s="1" t="s">
        <v>46</v>
      </c>
      <c r="U866" s="1" t="s">
        <v>36</v>
      </c>
      <c r="V866" s="1" t="s">
        <v>37</v>
      </c>
      <c r="W866" s="1">
        <v>2</v>
      </c>
      <c r="X866" s="1" t="s">
        <v>47</v>
      </c>
      <c r="Y866" s="1">
        <v>5</v>
      </c>
      <c r="Z866" s="1" t="s">
        <v>91</v>
      </c>
    </row>
    <row r="867" spans="1:26" x14ac:dyDescent="0.3">
      <c r="A867" s="1" t="s">
        <v>1510</v>
      </c>
      <c r="B867" s="2">
        <v>46116</v>
      </c>
      <c r="C867" s="1" t="s">
        <v>1511</v>
      </c>
      <c r="D867" s="1" t="s">
        <v>28</v>
      </c>
      <c r="E867" s="1" t="s">
        <v>29</v>
      </c>
      <c r="F867" s="1">
        <v>55</v>
      </c>
      <c r="G867" s="1" t="s">
        <v>90</v>
      </c>
      <c r="H867" s="1" t="s">
        <v>31</v>
      </c>
      <c r="I867" s="1" t="s">
        <v>90</v>
      </c>
      <c r="J867" s="1" t="s">
        <v>112</v>
      </c>
      <c r="K867" s="1">
        <v>5</v>
      </c>
      <c r="L867" s="1">
        <v>30419</v>
      </c>
      <c r="M867" s="1">
        <v>10</v>
      </c>
      <c r="N867" s="1">
        <v>15209.5</v>
      </c>
      <c r="O867" s="1">
        <v>24639.39</v>
      </c>
      <c r="P867" s="1">
        <v>45</v>
      </c>
      <c r="Q867" s="1">
        <v>161569.89000000001</v>
      </c>
      <c r="R867" s="1" t="s">
        <v>45</v>
      </c>
      <c r="S867" s="1" t="s">
        <v>34</v>
      </c>
      <c r="T867" s="1" t="s">
        <v>46</v>
      </c>
      <c r="U867" s="1" t="s">
        <v>36</v>
      </c>
      <c r="V867" s="1" t="s">
        <v>37</v>
      </c>
      <c r="W867" s="1">
        <v>3</v>
      </c>
      <c r="X867" s="1" t="s">
        <v>38</v>
      </c>
      <c r="Y867" s="1">
        <v>4</v>
      </c>
      <c r="Z867" s="1" t="s">
        <v>91</v>
      </c>
    </row>
    <row r="868" spans="1:26" x14ac:dyDescent="0.3">
      <c r="A868" s="1" t="s">
        <v>1512</v>
      </c>
      <c r="B868" s="2">
        <v>45774</v>
      </c>
      <c r="C868" s="1" t="s">
        <v>1513</v>
      </c>
      <c r="D868" s="1" t="s">
        <v>73</v>
      </c>
      <c r="E868" s="1" t="s">
        <v>43</v>
      </c>
      <c r="F868" s="1">
        <v>24</v>
      </c>
      <c r="G868" s="1" t="s">
        <v>74</v>
      </c>
      <c r="H868" s="1" t="s">
        <v>31</v>
      </c>
      <c r="I868" s="1" t="s">
        <v>74</v>
      </c>
      <c r="J868" s="1" t="s">
        <v>102</v>
      </c>
      <c r="K868" s="1">
        <v>3</v>
      </c>
      <c r="L868" s="1">
        <v>41505</v>
      </c>
      <c r="M868" s="1">
        <v>20</v>
      </c>
      <c r="N868" s="1">
        <v>24903</v>
      </c>
      <c r="O868" s="1">
        <v>17930.16</v>
      </c>
      <c r="P868" s="1">
        <v>297</v>
      </c>
      <c r="Q868" s="1">
        <v>117839.16</v>
      </c>
      <c r="R868" s="1" t="s">
        <v>33</v>
      </c>
      <c r="S868" s="1" t="s">
        <v>63</v>
      </c>
      <c r="T868" s="1" t="s">
        <v>35</v>
      </c>
      <c r="U868" s="1" t="s">
        <v>36</v>
      </c>
      <c r="V868" s="1" t="s">
        <v>37</v>
      </c>
      <c r="W868" s="1">
        <v>1</v>
      </c>
      <c r="X868" s="1" t="s">
        <v>38</v>
      </c>
      <c r="Y868" s="1">
        <v>3</v>
      </c>
      <c r="Z868" s="1" t="s">
        <v>39</v>
      </c>
    </row>
    <row r="869" spans="1:26" x14ac:dyDescent="0.3">
      <c r="A869" s="1" t="s">
        <v>1514</v>
      </c>
      <c r="B869" s="2">
        <v>45759</v>
      </c>
      <c r="C869" s="1" t="s">
        <v>1515</v>
      </c>
      <c r="D869" s="1" t="s">
        <v>42</v>
      </c>
      <c r="E869" s="1" t="s">
        <v>29</v>
      </c>
      <c r="F869" s="1">
        <v>49</v>
      </c>
      <c r="G869" s="1" t="s">
        <v>51</v>
      </c>
      <c r="H869" s="1" t="s">
        <v>52</v>
      </c>
      <c r="I869" s="1" t="s">
        <v>51</v>
      </c>
      <c r="J869" s="1" t="s">
        <v>32</v>
      </c>
      <c r="K869" s="1">
        <v>3</v>
      </c>
      <c r="L869" s="1">
        <v>5310</v>
      </c>
      <c r="M869" s="1">
        <v>10</v>
      </c>
      <c r="N869" s="1">
        <v>1593</v>
      </c>
      <c r="O869" s="1">
        <v>2580.66</v>
      </c>
      <c r="P869" s="1">
        <v>400</v>
      </c>
      <c r="Q869" s="1">
        <v>17317.66</v>
      </c>
      <c r="R869" s="1" t="s">
        <v>33</v>
      </c>
      <c r="S869" s="1" t="s">
        <v>63</v>
      </c>
      <c r="T869" s="1" t="s">
        <v>103</v>
      </c>
      <c r="U869" s="1" t="s">
        <v>103</v>
      </c>
      <c r="V869" s="1" t="s">
        <v>57</v>
      </c>
      <c r="W869" s="1">
        <v>6</v>
      </c>
      <c r="X869" s="1" t="s">
        <v>38</v>
      </c>
      <c r="Y869" s="1">
        <v>5</v>
      </c>
      <c r="Z869" s="1" t="s">
        <v>47</v>
      </c>
    </row>
    <row r="870" spans="1:26" x14ac:dyDescent="0.3">
      <c r="A870" s="1" t="s">
        <v>1516</v>
      </c>
      <c r="B870" s="2">
        <v>46012</v>
      </c>
      <c r="C870" s="1" t="s">
        <v>239</v>
      </c>
      <c r="D870" s="1" t="s">
        <v>108</v>
      </c>
      <c r="E870" s="1" t="s">
        <v>43</v>
      </c>
      <c r="F870" s="1">
        <v>32</v>
      </c>
      <c r="G870" s="1" t="s">
        <v>134</v>
      </c>
      <c r="H870" s="1" t="s">
        <v>31</v>
      </c>
      <c r="I870" s="1" t="s">
        <v>134</v>
      </c>
      <c r="J870" s="1" t="s">
        <v>150</v>
      </c>
      <c r="K870" s="1">
        <v>4</v>
      </c>
      <c r="L870" s="1">
        <v>14528</v>
      </c>
      <c r="M870" s="1">
        <v>20</v>
      </c>
      <c r="N870" s="1">
        <v>11622.4</v>
      </c>
      <c r="O870" s="1">
        <v>8368.1299999999992</v>
      </c>
      <c r="P870" s="1">
        <v>121</v>
      </c>
      <c r="Q870" s="1">
        <v>54978.73</v>
      </c>
      <c r="R870" s="1" t="s">
        <v>45</v>
      </c>
      <c r="S870" s="1" t="s">
        <v>34</v>
      </c>
      <c r="T870" s="1" t="s">
        <v>55</v>
      </c>
      <c r="U870" s="1" t="s">
        <v>56</v>
      </c>
      <c r="V870" s="1" t="s">
        <v>57</v>
      </c>
      <c r="W870" s="1">
        <v>7</v>
      </c>
      <c r="X870" s="1" t="s">
        <v>38</v>
      </c>
      <c r="Y870" s="1">
        <v>5</v>
      </c>
      <c r="Z870" s="1" t="s">
        <v>58</v>
      </c>
    </row>
    <row r="871" spans="1:26" x14ac:dyDescent="0.3">
      <c r="A871" s="1" t="s">
        <v>1517</v>
      </c>
      <c r="B871" s="2">
        <v>45890</v>
      </c>
      <c r="C871" s="1" t="s">
        <v>1518</v>
      </c>
      <c r="D871" s="1" t="s">
        <v>61</v>
      </c>
      <c r="E871" s="1" t="s">
        <v>43</v>
      </c>
      <c r="F871" s="1">
        <v>34</v>
      </c>
      <c r="G871" s="1" t="s">
        <v>99</v>
      </c>
      <c r="H871" s="1" t="s">
        <v>52</v>
      </c>
      <c r="I871" s="1" t="s">
        <v>99</v>
      </c>
      <c r="J871" s="1" t="s">
        <v>150</v>
      </c>
      <c r="K871" s="1">
        <v>4</v>
      </c>
      <c r="L871" s="1">
        <v>29992</v>
      </c>
      <c r="M871" s="1">
        <v>5</v>
      </c>
      <c r="N871" s="1">
        <v>5998.4</v>
      </c>
      <c r="O871" s="1">
        <v>20514.53</v>
      </c>
      <c r="P871" s="1">
        <v>338</v>
      </c>
      <c r="Q871" s="1">
        <v>134822.13</v>
      </c>
      <c r="R871" s="1" t="s">
        <v>83</v>
      </c>
      <c r="S871" s="1" t="s">
        <v>63</v>
      </c>
      <c r="T871" s="1" t="s">
        <v>70</v>
      </c>
      <c r="U871" s="1" t="s">
        <v>56</v>
      </c>
      <c r="V871" s="1" t="s">
        <v>57</v>
      </c>
      <c r="W871" s="1">
        <v>4</v>
      </c>
      <c r="X871" s="1" t="s">
        <v>47</v>
      </c>
      <c r="Y871" s="1">
        <v>2</v>
      </c>
      <c r="Z871" s="1" t="s">
        <v>58</v>
      </c>
    </row>
    <row r="872" spans="1:26" x14ac:dyDescent="0.3">
      <c r="A872" s="1" t="s">
        <v>1519</v>
      </c>
      <c r="B872" s="2">
        <v>46009</v>
      </c>
      <c r="C872" s="1" t="s">
        <v>445</v>
      </c>
      <c r="D872" s="1" t="s">
        <v>50</v>
      </c>
      <c r="E872" s="1" t="s">
        <v>29</v>
      </c>
      <c r="F872" s="1">
        <v>28</v>
      </c>
      <c r="G872" s="1" t="s">
        <v>44</v>
      </c>
      <c r="H872" s="1" t="s">
        <v>31</v>
      </c>
      <c r="I872" s="1" t="s">
        <v>44</v>
      </c>
      <c r="J872" s="1" t="s">
        <v>150</v>
      </c>
      <c r="K872" s="1">
        <v>4</v>
      </c>
      <c r="L872" s="1">
        <v>29117</v>
      </c>
      <c r="M872" s="1">
        <v>15</v>
      </c>
      <c r="N872" s="1">
        <v>17470.2</v>
      </c>
      <c r="O872" s="1">
        <v>17819.599999999999</v>
      </c>
      <c r="P872" s="1">
        <v>300</v>
      </c>
      <c r="Q872" s="1">
        <v>117117.4</v>
      </c>
      <c r="R872" s="1" t="s">
        <v>45</v>
      </c>
      <c r="S872" s="1" t="s">
        <v>34</v>
      </c>
      <c r="T872" s="1" t="s">
        <v>46</v>
      </c>
      <c r="U872" s="1" t="s">
        <v>36</v>
      </c>
      <c r="V872" s="1" t="s">
        <v>37</v>
      </c>
      <c r="W872" s="1">
        <v>9</v>
      </c>
      <c r="X872" s="1" t="s">
        <v>38</v>
      </c>
      <c r="Y872" s="1">
        <v>5</v>
      </c>
      <c r="Z872" s="1" t="s">
        <v>58</v>
      </c>
    </row>
    <row r="873" spans="1:26" x14ac:dyDescent="0.3">
      <c r="A873" s="1" t="s">
        <v>1520</v>
      </c>
      <c r="B873" s="2">
        <v>45983</v>
      </c>
      <c r="C873" s="1" t="s">
        <v>1521</v>
      </c>
      <c r="D873" s="1" t="s">
        <v>28</v>
      </c>
      <c r="E873" s="1" t="s">
        <v>29</v>
      </c>
      <c r="F873" s="1">
        <v>32</v>
      </c>
      <c r="G873" s="1" t="s">
        <v>44</v>
      </c>
      <c r="H873" s="1" t="s">
        <v>31</v>
      </c>
      <c r="I873" s="1" t="s">
        <v>44</v>
      </c>
      <c r="J873" s="1" t="s">
        <v>32</v>
      </c>
      <c r="K873" s="1">
        <v>1</v>
      </c>
      <c r="L873" s="1">
        <v>6441</v>
      </c>
      <c r="M873" s="1">
        <v>20</v>
      </c>
      <c r="N873" s="1">
        <v>1288.2</v>
      </c>
      <c r="O873" s="1">
        <v>927.5</v>
      </c>
      <c r="P873" s="1">
        <v>124</v>
      </c>
      <c r="Q873" s="1">
        <v>6204.3</v>
      </c>
      <c r="R873" s="1" t="s">
        <v>45</v>
      </c>
      <c r="S873" s="1" t="s">
        <v>34</v>
      </c>
      <c r="T873" s="1" t="s">
        <v>76</v>
      </c>
      <c r="U873" s="1" t="s">
        <v>77</v>
      </c>
      <c r="V873" s="1" t="s">
        <v>57</v>
      </c>
      <c r="W873" s="1">
        <v>7</v>
      </c>
      <c r="X873" s="1" t="s">
        <v>38</v>
      </c>
      <c r="Y873" s="1">
        <v>3</v>
      </c>
      <c r="Z873" s="1" t="s">
        <v>91</v>
      </c>
    </row>
    <row r="874" spans="1:26" x14ac:dyDescent="0.3">
      <c r="A874" s="1" t="s">
        <v>1522</v>
      </c>
      <c r="B874" s="2">
        <v>45844</v>
      </c>
      <c r="C874" s="1" t="s">
        <v>1124</v>
      </c>
      <c r="D874" s="1" t="s">
        <v>66</v>
      </c>
      <c r="E874" s="1" t="s">
        <v>29</v>
      </c>
      <c r="F874" s="1">
        <v>25</v>
      </c>
      <c r="G874" s="1" t="s">
        <v>67</v>
      </c>
      <c r="H874" s="1" t="s">
        <v>68</v>
      </c>
      <c r="I874" s="1" t="s">
        <v>67</v>
      </c>
      <c r="J874" s="1" t="s">
        <v>112</v>
      </c>
      <c r="K874" s="1">
        <v>3</v>
      </c>
      <c r="L874" s="1">
        <v>23228</v>
      </c>
      <c r="M874" s="1">
        <v>15</v>
      </c>
      <c r="N874" s="1">
        <v>10452.6</v>
      </c>
      <c r="O874" s="1">
        <v>10661.65</v>
      </c>
      <c r="P874" s="1">
        <v>74</v>
      </c>
      <c r="Q874" s="1">
        <v>69967.05</v>
      </c>
      <c r="R874" s="1" t="s">
        <v>54</v>
      </c>
      <c r="S874" s="1" t="s">
        <v>63</v>
      </c>
      <c r="T874" s="1" t="s">
        <v>84</v>
      </c>
      <c r="U874" s="1" t="s">
        <v>85</v>
      </c>
      <c r="V874" s="1" t="s">
        <v>86</v>
      </c>
      <c r="W874" s="1">
        <v>4</v>
      </c>
      <c r="X874" s="1" t="s">
        <v>47</v>
      </c>
      <c r="Y874" s="1">
        <v>2</v>
      </c>
      <c r="Z874" s="1" t="s">
        <v>47</v>
      </c>
    </row>
    <row r="875" spans="1:26" x14ac:dyDescent="0.3">
      <c r="A875" s="1" t="s">
        <v>1523</v>
      </c>
      <c r="B875" s="2">
        <v>46090</v>
      </c>
      <c r="C875" s="1" t="s">
        <v>515</v>
      </c>
      <c r="D875" s="1" t="s">
        <v>89</v>
      </c>
      <c r="E875" s="1" t="s">
        <v>29</v>
      </c>
      <c r="F875" s="1">
        <v>53</v>
      </c>
      <c r="G875" s="1" t="s">
        <v>30</v>
      </c>
      <c r="H875" s="1" t="s">
        <v>31</v>
      </c>
      <c r="I875" s="1" t="s">
        <v>30</v>
      </c>
      <c r="J875" s="1" t="s">
        <v>62</v>
      </c>
      <c r="K875" s="1">
        <v>5</v>
      </c>
      <c r="L875" s="1">
        <v>13705</v>
      </c>
      <c r="M875" s="1">
        <v>20</v>
      </c>
      <c r="N875" s="1">
        <v>13705</v>
      </c>
      <c r="O875" s="1">
        <v>9867.6</v>
      </c>
      <c r="P875" s="1">
        <v>26</v>
      </c>
      <c r="Q875" s="1">
        <v>64713.599999999999</v>
      </c>
      <c r="R875" s="1" t="s">
        <v>33</v>
      </c>
      <c r="S875" s="1" t="s">
        <v>34</v>
      </c>
      <c r="T875" s="1" t="s">
        <v>76</v>
      </c>
      <c r="U875" s="1" t="s">
        <v>77</v>
      </c>
      <c r="V875" s="1" t="s">
        <v>57</v>
      </c>
      <c r="W875" s="1">
        <v>4</v>
      </c>
      <c r="X875" s="1" t="s">
        <v>47</v>
      </c>
      <c r="Y875" s="1">
        <v>3</v>
      </c>
      <c r="Z875" s="1" t="s">
        <v>91</v>
      </c>
    </row>
    <row r="876" spans="1:26" x14ac:dyDescent="0.3">
      <c r="A876" s="1" t="s">
        <v>1524</v>
      </c>
      <c r="B876" s="2">
        <v>46055</v>
      </c>
      <c r="C876" s="1" t="s">
        <v>669</v>
      </c>
      <c r="D876" s="1" t="s">
        <v>42</v>
      </c>
      <c r="E876" s="1" t="s">
        <v>29</v>
      </c>
      <c r="F876" s="1">
        <v>38</v>
      </c>
      <c r="G876" s="1" t="s">
        <v>67</v>
      </c>
      <c r="H876" s="1" t="s">
        <v>68</v>
      </c>
      <c r="I876" s="1" t="s">
        <v>67</v>
      </c>
      <c r="J876" s="1" t="s">
        <v>62</v>
      </c>
      <c r="K876" s="1">
        <v>2</v>
      </c>
      <c r="L876" s="1">
        <v>48561</v>
      </c>
      <c r="M876" s="1">
        <v>20</v>
      </c>
      <c r="N876" s="1">
        <v>19424.400000000001</v>
      </c>
      <c r="O876" s="1">
        <v>13985.57</v>
      </c>
      <c r="P876" s="1">
        <v>179</v>
      </c>
      <c r="Q876" s="1">
        <v>91862.17</v>
      </c>
      <c r="R876" s="1" t="s">
        <v>45</v>
      </c>
      <c r="S876" s="1" t="s">
        <v>34</v>
      </c>
      <c r="T876" s="1" t="s">
        <v>84</v>
      </c>
      <c r="U876" s="1" t="s">
        <v>85</v>
      </c>
      <c r="V876" s="1" t="s">
        <v>86</v>
      </c>
      <c r="W876" s="1">
        <v>1</v>
      </c>
      <c r="X876" s="1" t="s">
        <v>47</v>
      </c>
      <c r="Y876" s="1">
        <v>2</v>
      </c>
      <c r="Z876" s="1" t="s">
        <v>58</v>
      </c>
    </row>
    <row r="877" spans="1:26" x14ac:dyDescent="0.3">
      <c r="A877" s="1" t="s">
        <v>1525</v>
      </c>
      <c r="B877" s="2">
        <v>45839</v>
      </c>
      <c r="C877" s="1" t="s">
        <v>1526</v>
      </c>
      <c r="D877" s="1" t="s">
        <v>108</v>
      </c>
      <c r="E877" s="1" t="s">
        <v>43</v>
      </c>
      <c r="F877" s="1">
        <v>28</v>
      </c>
      <c r="G877" s="1" t="s">
        <v>51</v>
      </c>
      <c r="H877" s="1" t="s">
        <v>52</v>
      </c>
      <c r="I877" s="1" t="s">
        <v>51</v>
      </c>
      <c r="J877" s="1" t="s">
        <v>125</v>
      </c>
      <c r="K877" s="1">
        <v>2</v>
      </c>
      <c r="L877" s="1">
        <v>17048</v>
      </c>
      <c r="M877" s="1">
        <v>10</v>
      </c>
      <c r="N877" s="1">
        <v>3409.6</v>
      </c>
      <c r="O877" s="1">
        <v>5523.55</v>
      </c>
      <c r="P877" s="1">
        <v>126</v>
      </c>
      <c r="Q877" s="1">
        <v>36335.949999999997</v>
      </c>
      <c r="R877" s="1" t="s">
        <v>33</v>
      </c>
      <c r="S877" s="1" t="s">
        <v>63</v>
      </c>
      <c r="T877" s="1" t="s">
        <v>76</v>
      </c>
      <c r="U877" s="1" t="s">
        <v>77</v>
      </c>
      <c r="V877" s="1" t="s">
        <v>57</v>
      </c>
      <c r="W877" s="1">
        <v>6</v>
      </c>
      <c r="X877" s="1" t="s">
        <v>38</v>
      </c>
      <c r="Y877" s="1">
        <v>2</v>
      </c>
      <c r="Z877" s="1" t="s">
        <v>39</v>
      </c>
    </row>
    <row r="878" spans="1:26" x14ac:dyDescent="0.3">
      <c r="A878" s="1" t="s">
        <v>1527</v>
      </c>
      <c r="B878" s="2">
        <v>46092</v>
      </c>
      <c r="C878" s="1" t="s">
        <v>1528</v>
      </c>
      <c r="D878" s="1" t="s">
        <v>61</v>
      </c>
      <c r="E878" s="1" t="s">
        <v>29</v>
      </c>
      <c r="F878" s="1">
        <v>55</v>
      </c>
      <c r="G878" s="1" t="s">
        <v>44</v>
      </c>
      <c r="H878" s="1" t="s">
        <v>31</v>
      </c>
      <c r="I878" s="1" t="s">
        <v>44</v>
      </c>
      <c r="J878" s="1" t="s">
        <v>125</v>
      </c>
      <c r="K878" s="1">
        <v>2</v>
      </c>
      <c r="L878" s="1">
        <v>46981</v>
      </c>
      <c r="M878" s="1">
        <v>0</v>
      </c>
      <c r="N878" s="1">
        <v>0</v>
      </c>
      <c r="O878" s="1">
        <v>16913.16</v>
      </c>
      <c r="P878" s="1">
        <v>252</v>
      </c>
      <c r="Q878" s="1">
        <v>111127.16</v>
      </c>
      <c r="R878" s="1" t="s">
        <v>83</v>
      </c>
      <c r="S878" s="1" t="s">
        <v>34</v>
      </c>
      <c r="T878" s="1" t="s">
        <v>35</v>
      </c>
      <c r="U878" s="1" t="s">
        <v>36</v>
      </c>
      <c r="V878" s="1" t="s">
        <v>37</v>
      </c>
      <c r="W878" s="1">
        <v>4</v>
      </c>
      <c r="X878" s="1" t="s">
        <v>47</v>
      </c>
      <c r="Y878" s="1">
        <v>1</v>
      </c>
      <c r="Z878" s="1" t="s">
        <v>39</v>
      </c>
    </row>
    <row r="879" spans="1:26" x14ac:dyDescent="0.3">
      <c r="A879" s="1" t="s">
        <v>1529</v>
      </c>
      <c r="B879" s="2">
        <v>45892</v>
      </c>
      <c r="C879" s="1" t="s">
        <v>160</v>
      </c>
      <c r="D879" s="1" t="s">
        <v>73</v>
      </c>
      <c r="E879" s="1" t="s">
        <v>29</v>
      </c>
      <c r="F879" s="1">
        <v>59</v>
      </c>
      <c r="G879" s="1" t="s">
        <v>74</v>
      </c>
      <c r="H879" s="1" t="s">
        <v>31</v>
      </c>
      <c r="I879" s="1" t="s">
        <v>74</v>
      </c>
      <c r="J879" s="1" t="s">
        <v>125</v>
      </c>
      <c r="K879" s="1">
        <v>3</v>
      </c>
      <c r="L879" s="1">
        <v>42665</v>
      </c>
      <c r="M879" s="1">
        <v>10</v>
      </c>
      <c r="N879" s="1">
        <v>12799.5</v>
      </c>
      <c r="O879" s="1">
        <v>20735.189999999999</v>
      </c>
      <c r="P879" s="1">
        <v>452</v>
      </c>
      <c r="Q879" s="1">
        <v>136382.69</v>
      </c>
      <c r="R879" s="1" t="s">
        <v>33</v>
      </c>
      <c r="S879" s="1" t="s">
        <v>63</v>
      </c>
      <c r="T879" s="1" t="s">
        <v>103</v>
      </c>
      <c r="U879" s="1" t="s">
        <v>103</v>
      </c>
      <c r="V879" s="1" t="s">
        <v>57</v>
      </c>
      <c r="W879" s="1">
        <v>1</v>
      </c>
      <c r="X879" s="1" t="s">
        <v>38</v>
      </c>
      <c r="Y879" s="1">
        <v>3</v>
      </c>
      <c r="Z879" s="1" t="s">
        <v>58</v>
      </c>
    </row>
    <row r="880" spans="1:26" x14ac:dyDescent="0.3">
      <c r="A880" s="1" t="s">
        <v>1530</v>
      </c>
      <c r="B880" s="2">
        <v>46045</v>
      </c>
      <c r="C880" s="1" t="s">
        <v>1531</v>
      </c>
      <c r="D880" s="1" t="s">
        <v>73</v>
      </c>
      <c r="E880" s="1" t="s">
        <v>29</v>
      </c>
      <c r="F880" s="1">
        <v>42</v>
      </c>
      <c r="G880" s="1" t="s">
        <v>74</v>
      </c>
      <c r="H880" s="1" t="s">
        <v>31</v>
      </c>
      <c r="I880" s="1" t="s">
        <v>74</v>
      </c>
      <c r="J880" s="1" t="s">
        <v>150</v>
      </c>
      <c r="K880" s="1">
        <v>3</v>
      </c>
      <c r="L880" s="1">
        <v>33362</v>
      </c>
      <c r="M880" s="1">
        <v>0</v>
      </c>
      <c r="N880" s="1">
        <v>0</v>
      </c>
      <c r="O880" s="1">
        <v>18015.48</v>
      </c>
      <c r="P880" s="1">
        <v>429</v>
      </c>
      <c r="Q880" s="1">
        <v>118530.48</v>
      </c>
      <c r="R880" s="1" t="s">
        <v>33</v>
      </c>
      <c r="S880" s="1" t="s">
        <v>63</v>
      </c>
      <c r="T880" s="1" t="s">
        <v>95</v>
      </c>
      <c r="U880" s="1" t="s">
        <v>96</v>
      </c>
      <c r="V880" s="1" t="s">
        <v>57</v>
      </c>
      <c r="W880" s="1">
        <v>1</v>
      </c>
      <c r="X880" s="1" t="s">
        <v>38</v>
      </c>
      <c r="Y880" s="1">
        <v>2</v>
      </c>
      <c r="Z880" s="1" t="s">
        <v>47</v>
      </c>
    </row>
    <row r="881" spans="1:26" x14ac:dyDescent="0.3">
      <c r="A881" s="1" t="s">
        <v>1532</v>
      </c>
      <c r="B881" s="2">
        <v>45893</v>
      </c>
      <c r="C881" s="1" t="s">
        <v>477</v>
      </c>
      <c r="D881" s="1" t="s">
        <v>111</v>
      </c>
      <c r="E881" s="1" t="s">
        <v>29</v>
      </c>
      <c r="F881" s="1">
        <v>45</v>
      </c>
      <c r="G881" s="1" t="s">
        <v>134</v>
      </c>
      <c r="H881" s="1" t="s">
        <v>31</v>
      </c>
      <c r="I881" s="1" t="s">
        <v>134</v>
      </c>
      <c r="J881" s="1" t="s">
        <v>75</v>
      </c>
      <c r="K881" s="1">
        <v>1</v>
      </c>
      <c r="L881" s="1">
        <v>4860</v>
      </c>
      <c r="M881" s="1">
        <v>10</v>
      </c>
      <c r="N881" s="1">
        <v>486</v>
      </c>
      <c r="O881" s="1">
        <v>787.32</v>
      </c>
      <c r="P881" s="1">
        <v>245</v>
      </c>
      <c r="Q881" s="1">
        <v>5406.32</v>
      </c>
      <c r="R881" s="1" t="s">
        <v>33</v>
      </c>
      <c r="S881" s="1" t="s">
        <v>63</v>
      </c>
      <c r="T881" s="1" t="s">
        <v>103</v>
      </c>
      <c r="U881" s="1" t="s">
        <v>103</v>
      </c>
      <c r="V881" s="1" t="s">
        <v>57</v>
      </c>
      <c r="W881" s="1">
        <v>9</v>
      </c>
      <c r="X881" s="1" t="s">
        <v>47</v>
      </c>
      <c r="Y881" s="1">
        <v>5</v>
      </c>
      <c r="Z881" s="1" t="s">
        <v>58</v>
      </c>
    </row>
    <row r="882" spans="1:26" x14ac:dyDescent="0.3">
      <c r="A882" s="1" t="s">
        <v>1533</v>
      </c>
      <c r="B882" s="2">
        <v>45791</v>
      </c>
      <c r="C882" s="1" t="s">
        <v>225</v>
      </c>
      <c r="D882" s="1" t="s">
        <v>28</v>
      </c>
      <c r="E882" s="1" t="s">
        <v>43</v>
      </c>
      <c r="F882" s="1">
        <v>34</v>
      </c>
      <c r="G882" s="1" t="s">
        <v>30</v>
      </c>
      <c r="H882" s="1" t="s">
        <v>31</v>
      </c>
      <c r="I882" s="1" t="s">
        <v>30</v>
      </c>
      <c r="J882" s="1" t="s">
        <v>201</v>
      </c>
      <c r="K882" s="1">
        <v>3</v>
      </c>
      <c r="L882" s="1">
        <v>39078</v>
      </c>
      <c r="M882" s="1">
        <v>15</v>
      </c>
      <c r="N882" s="1">
        <v>17585.099999999999</v>
      </c>
      <c r="O882" s="1">
        <v>17936.8</v>
      </c>
      <c r="P882" s="1">
        <v>64</v>
      </c>
      <c r="Q882" s="1">
        <v>117649.7</v>
      </c>
      <c r="R882" s="1" t="s">
        <v>54</v>
      </c>
      <c r="S882" s="1" t="s">
        <v>63</v>
      </c>
      <c r="T882" s="1" t="s">
        <v>46</v>
      </c>
      <c r="U882" s="1" t="s">
        <v>36</v>
      </c>
      <c r="V882" s="1" t="s">
        <v>37</v>
      </c>
      <c r="W882" s="1">
        <v>7</v>
      </c>
      <c r="X882" s="1" t="s">
        <v>38</v>
      </c>
      <c r="Y882" s="1">
        <v>1</v>
      </c>
      <c r="Z882" s="1" t="s">
        <v>91</v>
      </c>
    </row>
    <row r="883" spans="1:26" x14ac:dyDescent="0.3">
      <c r="A883" s="1" t="s">
        <v>1534</v>
      </c>
      <c r="B883" s="2">
        <v>46105</v>
      </c>
      <c r="C883" s="1" t="s">
        <v>810</v>
      </c>
      <c r="D883" s="1" t="s">
        <v>42</v>
      </c>
      <c r="E883" s="1" t="s">
        <v>43</v>
      </c>
      <c r="F883" s="1">
        <v>47</v>
      </c>
      <c r="G883" s="1" t="s">
        <v>99</v>
      </c>
      <c r="H883" s="1" t="s">
        <v>52</v>
      </c>
      <c r="I883" s="1" t="s">
        <v>99</v>
      </c>
      <c r="J883" s="1" t="s">
        <v>53</v>
      </c>
      <c r="K883" s="1">
        <v>5</v>
      </c>
      <c r="L883" s="1">
        <v>5258</v>
      </c>
      <c r="M883" s="1">
        <v>15</v>
      </c>
      <c r="N883" s="1">
        <v>3943.5</v>
      </c>
      <c r="O883" s="1">
        <v>4022.37</v>
      </c>
      <c r="P883" s="1">
        <v>359</v>
      </c>
      <c r="Q883" s="1">
        <v>26727.87</v>
      </c>
      <c r="R883" s="1" t="s">
        <v>33</v>
      </c>
      <c r="S883" s="1" t="s">
        <v>63</v>
      </c>
      <c r="T883" s="1" t="s">
        <v>70</v>
      </c>
      <c r="U883" s="1" t="s">
        <v>56</v>
      </c>
      <c r="V883" s="1" t="s">
        <v>57</v>
      </c>
      <c r="W883" s="1">
        <v>10</v>
      </c>
      <c r="X883" s="1" t="s">
        <v>38</v>
      </c>
      <c r="Y883" s="1">
        <v>2</v>
      </c>
      <c r="Z883" s="1" t="s">
        <v>58</v>
      </c>
    </row>
    <row r="884" spans="1:26" x14ac:dyDescent="0.3">
      <c r="A884" s="1" t="s">
        <v>1535</v>
      </c>
      <c r="B884" s="2">
        <v>45782</v>
      </c>
      <c r="C884" s="1" t="s">
        <v>1536</v>
      </c>
      <c r="D884" s="1" t="s">
        <v>61</v>
      </c>
      <c r="E884" s="1" t="s">
        <v>29</v>
      </c>
      <c r="F884" s="1">
        <v>31</v>
      </c>
      <c r="G884" s="1" t="s">
        <v>44</v>
      </c>
      <c r="H884" s="1" t="s">
        <v>31</v>
      </c>
      <c r="I884" s="1" t="s">
        <v>44</v>
      </c>
      <c r="J884" s="1" t="s">
        <v>32</v>
      </c>
      <c r="K884" s="1">
        <v>5</v>
      </c>
      <c r="L884" s="1">
        <v>13845</v>
      </c>
      <c r="M884" s="1">
        <v>15</v>
      </c>
      <c r="N884" s="1">
        <v>10383.75</v>
      </c>
      <c r="O884" s="1">
        <v>10591.42</v>
      </c>
      <c r="P884" s="1">
        <v>169</v>
      </c>
      <c r="Q884" s="1">
        <v>69601.679999999993</v>
      </c>
      <c r="R884" s="1" t="s">
        <v>54</v>
      </c>
      <c r="S884" s="1" t="s">
        <v>63</v>
      </c>
      <c r="T884" s="1" t="s">
        <v>46</v>
      </c>
      <c r="U884" s="1" t="s">
        <v>36</v>
      </c>
      <c r="V884" s="1" t="s">
        <v>37</v>
      </c>
      <c r="W884" s="1">
        <v>10</v>
      </c>
      <c r="X884" s="1" t="s">
        <v>38</v>
      </c>
      <c r="Y884" s="1">
        <v>5</v>
      </c>
      <c r="Z884" s="1" t="s">
        <v>47</v>
      </c>
    </row>
    <row r="885" spans="1:26" x14ac:dyDescent="0.3">
      <c r="A885" s="1" t="s">
        <v>1537</v>
      </c>
      <c r="B885" s="2">
        <v>46034</v>
      </c>
      <c r="C885" s="1" t="s">
        <v>1538</v>
      </c>
      <c r="D885" s="1" t="s">
        <v>89</v>
      </c>
      <c r="E885" s="1" t="s">
        <v>29</v>
      </c>
      <c r="F885" s="1">
        <v>19</v>
      </c>
      <c r="G885" s="1" t="s">
        <v>30</v>
      </c>
      <c r="H885" s="1" t="s">
        <v>31</v>
      </c>
      <c r="I885" s="1" t="s">
        <v>30</v>
      </c>
      <c r="J885" s="1" t="s">
        <v>112</v>
      </c>
      <c r="K885" s="1">
        <v>3</v>
      </c>
      <c r="L885" s="1">
        <v>39216</v>
      </c>
      <c r="M885" s="1">
        <v>20</v>
      </c>
      <c r="N885" s="1">
        <v>23529.599999999999</v>
      </c>
      <c r="O885" s="1">
        <v>16941.310000000001</v>
      </c>
      <c r="P885" s="1">
        <v>13</v>
      </c>
      <c r="Q885" s="1">
        <v>111072.71</v>
      </c>
      <c r="R885" s="1" t="s">
        <v>33</v>
      </c>
      <c r="S885" s="1" t="s">
        <v>63</v>
      </c>
      <c r="T885" s="1" t="s">
        <v>103</v>
      </c>
      <c r="U885" s="1" t="s">
        <v>103</v>
      </c>
      <c r="V885" s="1" t="s">
        <v>57</v>
      </c>
      <c r="W885" s="1">
        <v>1</v>
      </c>
      <c r="X885" s="1" t="s">
        <v>47</v>
      </c>
      <c r="Y885" s="1">
        <v>4</v>
      </c>
      <c r="Z885" s="1" t="s">
        <v>39</v>
      </c>
    </row>
    <row r="886" spans="1:26" x14ac:dyDescent="0.3">
      <c r="A886" s="1" t="s">
        <v>1539</v>
      </c>
      <c r="B886" s="2">
        <v>46101</v>
      </c>
      <c r="C886" s="1" t="s">
        <v>1540</v>
      </c>
      <c r="D886" s="1" t="s">
        <v>42</v>
      </c>
      <c r="E886" s="1" t="s">
        <v>43</v>
      </c>
      <c r="F886" s="1">
        <v>40</v>
      </c>
      <c r="G886" s="1" t="s">
        <v>51</v>
      </c>
      <c r="H886" s="1" t="s">
        <v>52</v>
      </c>
      <c r="I886" s="1" t="s">
        <v>51</v>
      </c>
      <c r="J886" s="1" t="s">
        <v>69</v>
      </c>
      <c r="K886" s="1">
        <v>5</v>
      </c>
      <c r="L886" s="1">
        <v>21764</v>
      </c>
      <c r="M886" s="1">
        <v>20</v>
      </c>
      <c r="N886" s="1">
        <v>21764</v>
      </c>
      <c r="O886" s="1">
        <v>15670.08</v>
      </c>
      <c r="P886" s="1">
        <v>260</v>
      </c>
      <c r="Q886" s="1">
        <v>102986.08</v>
      </c>
      <c r="R886" s="1" t="s">
        <v>54</v>
      </c>
      <c r="S886" s="1" t="s">
        <v>34</v>
      </c>
      <c r="T886" s="1" t="s">
        <v>70</v>
      </c>
      <c r="U886" s="1" t="s">
        <v>56</v>
      </c>
      <c r="V886" s="1" t="s">
        <v>57</v>
      </c>
      <c r="W886" s="1">
        <v>2</v>
      </c>
      <c r="X886" s="1" t="s">
        <v>47</v>
      </c>
      <c r="Y886" s="1">
        <v>4</v>
      </c>
      <c r="Z886" s="1" t="s">
        <v>39</v>
      </c>
    </row>
    <row r="887" spans="1:26" x14ac:dyDescent="0.3">
      <c r="A887" s="1" t="s">
        <v>1541</v>
      </c>
      <c r="B887" s="2">
        <v>45765</v>
      </c>
      <c r="C887" s="1" t="s">
        <v>576</v>
      </c>
      <c r="D887" s="1" t="s">
        <v>61</v>
      </c>
      <c r="E887" s="1" t="s">
        <v>29</v>
      </c>
      <c r="F887" s="1">
        <v>21</v>
      </c>
      <c r="G887" s="1" t="s">
        <v>139</v>
      </c>
      <c r="H887" s="1" t="s">
        <v>31</v>
      </c>
      <c r="I887" s="1" t="s">
        <v>139</v>
      </c>
      <c r="J887" s="1" t="s">
        <v>62</v>
      </c>
      <c r="K887" s="1">
        <v>1</v>
      </c>
      <c r="L887" s="1">
        <v>35662</v>
      </c>
      <c r="M887" s="1">
        <v>20</v>
      </c>
      <c r="N887" s="1">
        <v>7132.4</v>
      </c>
      <c r="O887" s="1">
        <v>5135.33</v>
      </c>
      <c r="P887" s="1">
        <v>390</v>
      </c>
      <c r="Q887" s="1">
        <v>34054.93</v>
      </c>
      <c r="R887" s="1" t="s">
        <v>33</v>
      </c>
      <c r="S887" s="1" t="s">
        <v>63</v>
      </c>
      <c r="T887" s="1" t="s">
        <v>95</v>
      </c>
      <c r="U887" s="1" t="s">
        <v>96</v>
      </c>
      <c r="V887" s="1" t="s">
        <v>57</v>
      </c>
      <c r="W887" s="1">
        <v>5</v>
      </c>
      <c r="X887" s="1" t="s">
        <v>47</v>
      </c>
      <c r="Y887" s="1">
        <v>3</v>
      </c>
      <c r="Z887" s="1" t="s">
        <v>47</v>
      </c>
    </row>
    <row r="888" spans="1:26" x14ac:dyDescent="0.3">
      <c r="A888" s="1" t="s">
        <v>1542</v>
      </c>
      <c r="B888" s="2">
        <v>46079</v>
      </c>
      <c r="C888" s="1" t="s">
        <v>1543</v>
      </c>
      <c r="D888" s="1" t="s">
        <v>108</v>
      </c>
      <c r="E888" s="1" t="s">
        <v>29</v>
      </c>
      <c r="F888" s="1">
        <v>26</v>
      </c>
      <c r="G888" s="1" t="s">
        <v>139</v>
      </c>
      <c r="H888" s="1" t="s">
        <v>31</v>
      </c>
      <c r="I888" s="1" t="s">
        <v>139</v>
      </c>
      <c r="J888" s="1" t="s">
        <v>125</v>
      </c>
      <c r="K888" s="1">
        <v>2</v>
      </c>
      <c r="L888" s="1">
        <v>32832</v>
      </c>
      <c r="M888" s="1">
        <v>10</v>
      </c>
      <c r="N888" s="1">
        <v>6566.4</v>
      </c>
      <c r="O888" s="1">
        <v>10637.57</v>
      </c>
      <c r="P888" s="1">
        <v>492</v>
      </c>
      <c r="Q888" s="1">
        <v>70227.17</v>
      </c>
      <c r="R888" s="1" t="s">
        <v>45</v>
      </c>
      <c r="S888" s="1" t="s">
        <v>63</v>
      </c>
      <c r="T888" s="1" t="s">
        <v>103</v>
      </c>
      <c r="U888" s="1" t="s">
        <v>103</v>
      </c>
      <c r="V888" s="1" t="s">
        <v>57</v>
      </c>
      <c r="W888" s="1">
        <v>3</v>
      </c>
      <c r="X888" s="1" t="s">
        <v>47</v>
      </c>
      <c r="Y888" s="1">
        <v>4</v>
      </c>
      <c r="Z888" s="1" t="s">
        <v>39</v>
      </c>
    </row>
    <row r="889" spans="1:26" x14ac:dyDescent="0.3">
      <c r="A889" s="1" t="s">
        <v>1544</v>
      </c>
      <c r="B889" s="2">
        <v>46043</v>
      </c>
      <c r="C889" s="1" t="s">
        <v>921</v>
      </c>
      <c r="D889" s="1" t="s">
        <v>108</v>
      </c>
      <c r="E889" s="1" t="s">
        <v>43</v>
      </c>
      <c r="F889" s="1">
        <v>51</v>
      </c>
      <c r="G889" s="1" t="s">
        <v>139</v>
      </c>
      <c r="H889" s="1" t="s">
        <v>31</v>
      </c>
      <c r="I889" s="1" t="s">
        <v>139</v>
      </c>
      <c r="J889" s="1" t="s">
        <v>62</v>
      </c>
      <c r="K889" s="1">
        <v>5</v>
      </c>
      <c r="L889" s="1">
        <v>42505</v>
      </c>
      <c r="M889" s="1">
        <v>15</v>
      </c>
      <c r="N889" s="1">
        <v>31878.75</v>
      </c>
      <c r="O889" s="1">
        <v>32516.32</v>
      </c>
      <c r="P889" s="1">
        <v>414</v>
      </c>
      <c r="Q889" s="1">
        <v>213576.58</v>
      </c>
      <c r="R889" s="1" t="s">
        <v>45</v>
      </c>
      <c r="S889" s="1" t="s">
        <v>34</v>
      </c>
      <c r="T889" s="1" t="s">
        <v>35</v>
      </c>
      <c r="U889" s="1" t="s">
        <v>36</v>
      </c>
      <c r="V889" s="1" t="s">
        <v>37</v>
      </c>
      <c r="W889" s="1">
        <v>7</v>
      </c>
      <c r="X889" s="1" t="s">
        <v>38</v>
      </c>
      <c r="Y889" s="1">
        <v>2</v>
      </c>
      <c r="Z889" s="1" t="s">
        <v>47</v>
      </c>
    </row>
    <row r="890" spans="1:26" x14ac:dyDescent="0.3">
      <c r="A890" s="1" t="s">
        <v>1545</v>
      </c>
      <c r="B890" s="2">
        <v>45814</v>
      </c>
      <c r="C890" s="1" t="s">
        <v>1087</v>
      </c>
      <c r="D890" s="1" t="s">
        <v>42</v>
      </c>
      <c r="E890" s="1" t="s">
        <v>29</v>
      </c>
      <c r="F890" s="1">
        <v>60</v>
      </c>
      <c r="G890" s="1" t="s">
        <v>30</v>
      </c>
      <c r="H890" s="1" t="s">
        <v>31</v>
      </c>
      <c r="I890" s="1" t="s">
        <v>30</v>
      </c>
      <c r="J890" s="1" t="s">
        <v>102</v>
      </c>
      <c r="K890" s="1">
        <v>4</v>
      </c>
      <c r="L890" s="1">
        <v>42685</v>
      </c>
      <c r="M890" s="1">
        <v>20</v>
      </c>
      <c r="N890" s="1">
        <v>34148</v>
      </c>
      <c r="O890" s="1">
        <v>24586.560000000001</v>
      </c>
      <c r="P890" s="1">
        <v>281</v>
      </c>
      <c r="Q890" s="1">
        <v>161459.56</v>
      </c>
      <c r="R890" s="1" t="s">
        <v>54</v>
      </c>
      <c r="S890" s="1" t="s">
        <v>34</v>
      </c>
      <c r="T890" s="1" t="s">
        <v>70</v>
      </c>
      <c r="U890" s="1" t="s">
        <v>56</v>
      </c>
      <c r="V890" s="1" t="s">
        <v>57</v>
      </c>
      <c r="W890" s="1">
        <v>4</v>
      </c>
      <c r="X890" s="1" t="s">
        <v>47</v>
      </c>
      <c r="Y890" s="1">
        <v>4</v>
      </c>
      <c r="Z890" s="1" t="s">
        <v>39</v>
      </c>
    </row>
    <row r="891" spans="1:26" x14ac:dyDescent="0.3">
      <c r="A891" s="1" t="s">
        <v>1546</v>
      </c>
      <c r="B891" s="2">
        <v>45969</v>
      </c>
      <c r="C891" s="1" t="s">
        <v>1547</v>
      </c>
      <c r="D891" s="1" t="s">
        <v>28</v>
      </c>
      <c r="E891" s="1" t="s">
        <v>29</v>
      </c>
      <c r="F891" s="1">
        <v>42</v>
      </c>
      <c r="G891" s="1" t="s">
        <v>94</v>
      </c>
      <c r="H891" s="1" t="s">
        <v>31</v>
      </c>
      <c r="I891" s="1" t="s">
        <v>94</v>
      </c>
      <c r="J891" s="1" t="s">
        <v>150</v>
      </c>
      <c r="K891" s="1">
        <v>4</v>
      </c>
      <c r="L891" s="1">
        <v>38588</v>
      </c>
      <c r="M891" s="1">
        <v>5</v>
      </c>
      <c r="N891" s="1">
        <v>7717.6</v>
      </c>
      <c r="O891" s="1">
        <v>26394.19</v>
      </c>
      <c r="P891" s="1">
        <v>304</v>
      </c>
      <c r="Q891" s="1">
        <v>173332.59</v>
      </c>
      <c r="R891" s="1" t="s">
        <v>45</v>
      </c>
      <c r="S891" s="1" t="s">
        <v>34</v>
      </c>
      <c r="T891" s="1" t="s">
        <v>76</v>
      </c>
      <c r="U891" s="1" t="s">
        <v>77</v>
      </c>
      <c r="V891" s="1" t="s">
        <v>57</v>
      </c>
      <c r="W891" s="1">
        <v>10</v>
      </c>
      <c r="X891" s="1" t="s">
        <v>47</v>
      </c>
      <c r="Y891" s="1">
        <v>3</v>
      </c>
      <c r="Z891" s="1" t="s">
        <v>58</v>
      </c>
    </row>
    <row r="892" spans="1:26" x14ac:dyDescent="0.3">
      <c r="A892" s="1" t="s">
        <v>1548</v>
      </c>
      <c r="B892" s="2">
        <v>45888</v>
      </c>
      <c r="C892" s="1" t="s">
        <v>141</v>
      </c>
      <c r="D892" s="1" t="s">
        <v>61</v>
      </c>
      <c r="E892" s="1" t="s">
        <v>43</v>
      </c>
      <c r="F892" s="1">
        <v>27</v>
      </c>
      <c r="G892" s="1" t="s">
        <v>44</v>
      </c>
      <c r="H892" s="1" t="s">
        <v>31</v>
      </c>
      <c r="I892" s="1" t="s">
        <v>44</v>
      </c>
      <c r="J892" s="1" t="s">
        <v>62</v>
      </c>
      <c r="K892" s="1">
        <v>4</v>
      </c>
      <c r="L892" s="1">
        <v>13547</v>
      </c>
      <c r="M892" s="1">
        <v>15</v>
      </c>
      <c r="N892" s="1">
        <v>8128.2</v>
      </c>
      <c r="O892" s="1">
        <v>8290.76</v>
      </c>
      <c r="P892" s="1">
        <v>303</v>
      </c>
      <c r="Q892" s="1">
        <v>54653.56</v>
      </c>
      <c r="R892" s="1" t="s">
        <v>33</v>
      </c>
      <c r="S892" s="1" t="s">
        <v>34</v>
      </c>
      <c r="T892" s="1" t="s">
        <v>103</v>
      </c>
      <c r="U892" s="1" t="s">
        <v>103</v>
      </c>
      <c r="V892" s="1" t="s">
        <v>57</v>
      </c>
      <c r="W892" s="1">
        <v>3</v>
      </c>
      <c r="X892" s="1" t="s">
        <v>47</v>
      </c>
      <c r="Y892" s="1">
        <v>4</v>
      </c>
      <c r="Z892" s="1" t="s">
        <v>39</v>
      </c>
    </row>
    <row r="893" spans="1:26" x14ac:dyDescent="0.3">
      <c r="A893" s="1" t="s">
        <v>1549</v>
      </c>
      <c r="B893" s="2">
        <v>45886</v>
      </c>
      <c r="C893" s="1" t="s">
        <v>806</v>
      </c>
      <c r="D893" s="1" t="s">
        <v>28</v>
      </c>
      <c r="E893" s="1" t="s">
        <v>43</v>
      </c>
      <c r="F893" s="1">
        <v>53</v>
      </c>
      <c r="G893" s="1" t="s">
        <v>99</v>
      </c>
      <c r="H893" s="1" t="s">
        <v>52</v>
      </c>
      <c r="I893" s="1" t="s">
        <v>99</v>
      </c>
      <c r="J893" s="1" t="s">
        <v>62</v>
      </c>
      <c r="K893" s="1">
        <v>3</v>
      </c>
      <c r="L893" s="1">
        <v>21239</v>
      </c>
      <c r="M893" s="1">
        <v>0</v>
      </c>
      <c r="N893" s="1">
        <v>0</v>
      </c>
      <c r="O893" s="1">
        <v>11469.06</v>
      </c>
      <c r="P893" s="1">
        <v>442</v>
      </c>
      <c r="Q893" s="1">
        <v>75628.06</v>
      </c>
      <c r="R893" s="1" t="s">
        <v>45</v>
      </c>
      <c r="S893" s="1" t="s">
        <v>34</v>
      </c>
      <c r="T893" s="1" t="s">
        <v>76</v>
      </c>
      <c r="U893" s="1" t="s">
        <v>77</v>
      </c>
      <c r="V893" s="1" t="s">
        <v>57</v>
      </c>
      <c r="W893" s="1">
        <v>2</v>
      </c>
      <c r="X893" s="1" t="s">
        <v>47</v>
      </c>
      <c r="Y893" s="1">
        <v>3</v>
      </c>
      <c r="Z893" s="1" t="s">
        <v>91</v>
      </c>
    </row>
    <row r="894" spans="1:26" x14ac:dyDescent="0.3">
      <c r="A894" s="1" t="s">
        <v>1550</v>
      </c>
      <c r="B894" s="2">
        <v>45794</v>
      </c>
      <c r="C894" s="1" t="s">
        <v>484</v>
      </c>
      <c r="D894" s="1" t="s">
        <v>111</v>
      </c>
      <c r="E894" s="1" t="s">
        <v>43</v>
      </c>
      <c r="F894" s="1">
        <v>31</v>
      </c>
      <c r="G894" s="1" t="s">
        <v>44</v>
      </c>
      <c r="H894" s="1" t="s">
        <v>31</v>
      </c>
      <c r="I894" s="1" t="s">
        <v>44</v>
      </c>
      <c r="J894" s="1" t="s">
        <v>53</v>
      </c>
      <c r="K894" s="1">
        <v>5</v>
      </c>
      <c r="L894" s="1">
        <v>29270</v>
      </c>
      <c r="M894" s="1">
        <v>5</v>
      </c>
      <c r="N894" s="1">
        <v>7317.5</v>
      </c>
      <c r="O894" s="1">
        <v>25025.85</v>
      </c>
      <c r="P894" s="1">
        <v>96</v>
      </c>
      <c r="Q894" s="1">
        <v>164154.35</v>
      </c>
      <c r="R894" s="1" t="s">
        <v>33</v>
      </c>
      <c r="S894" s="1" t="s">
        <v>34</v>
      </c>
      <c r="T894" s="1" t="s">
        <v>55</v>
      </c>
      <c r="U894" s="1" t="s">
        <v>56</v>
      </c>
      <c r="V894" s="1" t="s">
        <v>57</v>
      </c>
      <c r="W894" s="1">
        <v>3</v>
      </c>
      <c r="X894" s="1" t="s">
        <v>47</v>
      </c>
      <c r="Y894" s="1">
        <v>5</v>
      </c>
      <c r="Z894" s="1" t="s">
        <v>58</v>
      </c>
    </row>
    <row r="895" spans="1:26" x14ac:dyDescent="0.3">
      <c r="A895" s="1" t="s">
        <v>1551</v>
      </c>
      <c r="B895" s="2">
        <v>46089</v>
      </c>
      <c r="C895" s="1" t="s">
        <v>231</v>
      </c>
      <c r="D895" s="1" t="s">
        <v>42</v>
      </c>
      <c r="E895" s="1" t="s">
        <v>29</v>
      </c>
      <c r="F895" s="1">
        <v>50</v>
      </c>
      <c r="G895" s="1" t="s">
        <v>134</v>
      </c>
      <c r="H895" s="1" t="s">
        <v>31</v>
      </c>
      <c r="I895" s="1" t="s">
        <v>134</v>
      </c>
      <c r="J895" s="1" t="s">
        <v>112</v>
      </c>
      <c r="K895" s="1">
        <v>2</v>
      </c>
      <c r="L895" s="1">
        <v>21419</v>
      </c>
      <c r="M895" s="1">
        <v>5</v>
      </c>
      <c r="N895" s="1">
        <v>2141.9</v>
      </c>
      <c r="O895" s="1">
        <v>7325.3</v>
      </c>
      <c r="P895" s="1">
        <v>117</v>
      </c>
      <c r="Q895" s="1">
        <v>48138.400000000001</v>
      </c>
      <c r="R895" s="1" t="s">
        <v>45</v>
      </c>
      <c r="S895" s="1" t="s">
        <v>34</v>
      </c>
      <c r="T895" s="1" t="s">
        <v>70</v>
      </c>
      <c r="U895" s="1" t="s">
        <v>56</v>
      </c>
      <c r="V895" s="1" t="s">
        <v>57</v>
      </c>
      <c r="W895" s="1">
        <v>4</v>
      </c>
      <c r="X895" s="1" t="s">
        <v>38</v>
      </c>
      <c r="Y895" s="1">
        <v>5</v>
      </c>
      <c r="Z895" s="1" t="s">
        <v>58</v>
      </c>
    </row>
    <row r="896" spans="1:26" x14ac:dyDescent="0.3">
      <c r="A896" s="1" t="s">
        <v>1552</v>
      </c>
      <c r="B896" s="2">
        <v>46025</v>
      </c>
      <c r="C896" s="1" t="s">
        <v>1553</v>
      </c>
      <c r="D896" s="1" t="s">
        <v>28</v>
      </c>
      <c r="E896" s="1" t="s">
        <v>43</v>
      </c>
      <c r="F896" s="1">
        <v>32</v>
      </c>
      <c r="G896" s="1" t="s">
        <v>51</v>
      </c>
      <c r="H896" s="1" t="s">
        <v>52</v>
      </c>
      <c r="I896" s="1" t="s">
        <v>51</v>
      </c>
      <c r="J896" s="1" t="s">
        <v>75</v>
      </c>
      <c r="K896" s="1">
        <v>1</v>
      </c>
      <c r="L896" s="1">
        <v>49049</v>
      </c>
      <c r="M896" s="1">
        <v>0</v>
      </c>
      <c r="N896" s="1">
        <v>0</v>
      </c>
      <c r="O896" s="1">
        <v>8828.82</v>
      </c>
      <c r="P896" s="1">
        <v>224</v>
      </c>
      <c r="Q896" s="1">
        <v>58101.82</v>
      </c>
      <c r="R896" s="1" t="s">
        <v>45</v>
      </c>
      <c r="S896" s="1" t="s">
        <v>63</v>
      </c>
      <c r="T896" s="1" t="s">
        <v>55</v>
      </c>
      <c r="U896" s="1" t="s">
        <v>56</v>
      </c>
      <c r="V896" s="1" t="s">
        <v>57</v>
      </c>
      <c r="W896" s="1">
        <v>5</v>
      </c>
      <c r="X896" s="1" t="s">
        <v>47</v>
      </c>
      <c r="Y896" s="1">
        <v>1</v>
      </c>
      <c r="Z896" s="1" t="s">
        <v>39</v>
      </c>
    </row>
    <row r="897" spans="1:26" x14ac:dyDescent="0.3">
      <c r="A897" s="1" t="s">
        <v>1554</v>
      </c>
      <c r="B897" s="2">
        <v>46011</v>
      </c>
      <c r="C897" s="1" t="s">
        <v>447</v>
      </c>
      <c r="D897" s="1" t="s">
        <v>108</v>
      </c>
      <c r="E897" s="1" t="s">
        <v>43</v>
      </c>
      <c r="F897" s="1">
        <v>19</v>
      </c>
      <c r="G897" s="1" t="s">
        <v>90</v>
      </c>
      <c r="H897" s="1" t="s">
        <v>31</v>
      </c>
      <c r="I897" s="1" t="s">
        <v>90</v>
      </c>
      <c r="J897" s="1" t="s">
        <v>102</v>
      </c>
      <c r="K897" s="1">
        <v>3</v>
      </c>
      <c r="L897" s="1">
        <v>49307</v>
      </c>
      <c r="M897" s="1">
        <v>5</v>
      </c>
      <c r="N897" s="1">
        <v>7396.05</v>
      </c>
      <c r="O897" s="1">
        <v>25294.49</v>
      </c>
      <c r="P897" s="1">
        <v>113</v>
      </c>
      <c r="Q897" s="1">
        <v>165932.44</v>
      </c>
      <c r="R897" s="1" t="s">
        <v>54</v>
      </c>
      <c r="S897" s="1" t="s">
        <v>34</v>
      </c>
      <c r="T897" s="1" t="s">
        <v>76</v>
      </c>
      <c r="U897" s="1" t="s">
        <v>77</v>
      </c>
      <c r="V897" s="1" t="s">
        <v>57</v>
      </c>
      <c r="W897" s="1">
        <v>8</v>
      </c>
      <c r="X897" s="1" t="s">
        <v>38</v>
      </c>
      <c r="Y897" s="1">
        <v>3</v>
      </c>
      <c r="Z897" s="1" t="s">
        <v>39</v>
      </c>
    </row>
    <row r="898" spans="1:26" x14ac:dyDescent="0.3">
      <c r="A898" s="1" t="s">
        <v>1555</v>
      </c>
      <c r="B898" s="2">
        <v>45864</v>
      </c>
      <c r="C898" s="1" t="s">
        <v>1032</v>
      </c>
      <c r="D898" s="1" t="s">
        <v>42</v>
      </c>
      <c r="E898" s="1" t="s">
        <v>43</v>
      </c>
      <c r="F898" s="1">
        <v>50</v>
      </c>
      <c r="G898" s="1" t="s">
        <v>30</v>
      </c>
      <c r="H898" s="1" t="s">
        <v>31</v>
      </c>
      <c r="I898" s="1" t="s">
        <v>30</v>
      </c>
      <c r="J898" s="1" t="s">
        <v>53</v>
      </c>
      <c r="K898" s="1">
        <v>1</v>
      </c>
      <c r="L898" s="1">
        <v>16899</v>
      </c>
      <c r="M898" s="1">
        <v>15</v>
      </c>
      <c r="N898" s="1">
        <v>2534.85</v>
      </c>
      <c r="O898" s="1">
        <v>2585.5500000000002</v>
      </c>
      <c r="P898" s="1">
        <v>2</v>
      </c>
      <c r="Q898" s="1">
        <v>16951.7</v>
      </c>
      <c r="R898" s="1" t="s">
        <v>54</v>
      </c>
      <c r="S898" s="1" t="s">
        <v>34</v>
      </c>
      <c r="T898" s="1" t="s">
        <v>70</v>
      </c>
      <c r="U898" s="1" t="s">
        <v>56</v>
      </c>
      <c r="V898" s="1" t="s">
        <v>57</v>
      </c>
      <c r="W898" s="1">
        <v>10</v>
      </c>
      <c r="X898" s="1" t="s">
        <v>38</v>
      </c>
      <c r="Y898" s="1">
        <v>4</v>
      </c>
      <c r="Z898" s="1" t="s">
        <v>39</v>
      </c>
    </row>
    <row r="899" spans="1:26" x14ac:dyDescent="0.3">
      <c r="A899" s="1" t="s">
        <v>1556</v>
      </c>
      <c r="B899" s="2">
        <v>45842</v>
      </c>
      <c r="C899" s="1" t="s">
        <v>49</v>
      </c>
      <c r="D899" s="1" t="s">
        <v>61</v>
      </c>
      <c r="E899" s="1" t="s">
        <v>43</v>
      </c>
      <c r="F899" s="1">
        <v>30</v>
      </c>
      <c r="G899" s="1" t="s">
        <v>99</v>
      </c>
      <c r="H899" s="1" t="s">
        <v>52</v>
      </c>
      <c r="I899" s="1" t="s">
        <v>99</v>
      </c>
      <c r="J899" s="1" t="s">
        <v>62</v>
      </c>
      <c r="K899" s="1">
        <v>3</v>
      </c>
      <c r="L899" s="1">
        <v>48086</v>
      </c>
      <c r="M899" s="1">
        <v>5</v>
      </c>
      <c r="N899" s="1">
        <v>7212.9</v>
      </c>
      <c r="O899" s="1">
        <v>24668.12</v>
      </c>
      <c r="P899" s="1">
        <v>82</v>
      </c>
      <c r="Q899" s="1">
        <v>161795.22</v>
      </c>
      <c r="R899" s="1" t="s">
        <v>83</v>
      </c>
      <c r="S899" s="1" t="s">
        <v>63</v>
      </c>
      <c r="T899" s="1" t="s">
        <v>46</v>
      </c>
      <c r="U899" s="1" t="s">
        <v>36</v>
      </c>
      <c r="V899" s="1" t="s">
        <v>37</v>
      </c>
      <c r="W899" s="1">
        <v>6</v>
      </c>
      <c r="X899" s="1" t="s">
        <v>47</v>
      </c>
      <c r="Y899" s="1">
        <v>1</v>
      </c>
      <c r="Z899" s="1" t="s">
        <v>91</v>
      </c>
    </row>
    <row r="900" spans="1:26" x14ac:dyDescent="0.3">
      <c r="A900" s="1" t="s">
        <v>1557</v>
      </c>
      <c r="B900" s="2">
        <v>45859</v>
      </c>
      <c r="C900" s="1" t="s">
        <v>899</v>
      </c>
      <c r="D900" s="1" t="s">
        <v>80</v>
      </c>
      <c r="E900" s="1" t="s">
        <v>43</v>
      </c>
      <c r="F900" s="1">
        <v>59</v>
      </c>
      <c r="G900" s="1" t="s">
        <v>94</v>
      </c>
      <c r="H900" s="1" t="s">
        <v>31</v>
      </c>
      <c r="I900" s="1" t="s">
        <v>94</v>
      </c>
      <c r="J900" s="1" t="s">
        <v>112</v>
      </c>
      <c r="K900" s="1">
        <v>2</v>
      </c>
      <c r="L900" s="1">
        <v>39784</v>
      </c>
      <c r="M900" s="1">
        <v>10</v>
      </c>
      <c r="N900" s="1">
        <v>7956.8</v>
      </c>
      <c r="O900" s="1">
        <v>12890.02</v>
      </c>
      <c r="P900" s="1">
        <v>184</v>
      </c>
      <c r="Q900" s="1">
        <v>84685.22</v>
      </c>
      <c r="R900" s="1" t="s">
        <v>45</v>
      </c>
      <c r="S900" s="1" t="s">
        <v>63</v>
      </c>
      <c r="T900" s="1" t="s">
        <v>46</v>
      </c>
      <c r="U900" s="1" t="s">
        <v>36</v>
      </c>
      <c r="V900" s="1" t="s">
        <v>37</v>
      </c>
      <c r="W900" s="1">
        <v>6</v>
      </c>
      <c r="X900" s="1" t="s">
        <v>38</v>
      </c>
      <c r="Y900" s="1">
        <v>3</v>
      </c>
      <c r="Z900" s="1" t="s">
        <v>91</v>
      </c>
    </row>
    <row r="901" spans="1:26" x14ac:dyDescent="0.3">
      <c r="A901" s="1" t="s">
        <v>1558</v>
      </c>
      <c r="B901" s="2">
        <v>45791</v>
      </c>
      <c r="C901" s="1" t="s">
        <v>1559</v>
      </c>
      <c r="D901" s="1" t="s">
        <v>42</v>
      </c>
      <c r="E901" s="1" t="s">
        <v>29</v>
      </c>
      <c r="F901" s="1">
        <v>58</v>
      </c>
      <c r="G901" s="1" t="s">
        <v>134</v>
      </c>
      <c r="H901" s="1" t="s">
        <v>31</v>
      </c>
      <c r="I901" s="1" t="s">
        <v>134</v>
      </c>
      <c r="J901" s="1" t="s">
        <v>125</v>
      </c>
      <c r="K901" s="1">
        <v>1</v>
      </c>
      <c r="L901" s="1">
        <v>17849</v>
      </c>
      <c r="M901" s="1">
        <v>15</v>
      </c>
      <c r="N901" s="1">
        <v>2677.35</v>
      </c>
      <c r="O901" s="1">
        <v>2730.9</v>
      </c>
      <c r="P901" s="1">
        <v>268</v>
      </c>
      <c r="Q901" s="1">
        <v>18170.55</v>
      </c>
      <c r="R901" s="1" t="s">
        <v>83</v>
      </c>
      <c r="S901" s="1" t="s">
        <v>63</v>
      </c>
      <c r="T901" s="1" t="s">
        <v>46</v>
      </c>
      <c r="U901" s="1" t="s">
        <v>36</v>
      </c>
      <c r="V901" s="1" t="s">
        <v>37</v>
      </c>
      <c r="W901" s="1">
        <v>3</v>
      </c>
      <c r="X901" s="1" t="s">
        <v>38</v>
      </c>
      <c r="Y901" s="1">
        <v>4</v>
      </c>
      <c r="Z901" s="1" t="s">
        <v>91</v>
      </c>
    </row>
    <row r="902" spans="1:26" x14ac:dyDescent="0.3">
      <c r="A902" s="1" t="s">
        <v>1560</v>
      </c>
      <c r="B902" s="2">
        <v>46037</v>
      </c>
      <c r="C902" s="1" t="s">
        <v>363</v>
      </c>
      <c r="D902" s="1" t="s">
        <v>42</v>
      </c>
      <c r="E902" s="1" t="s">
        <v>29</v>
      </c>
      <c r="F902" s="1">
        <v>18</v>
      </c>
      <c r="G902" s="1" t="s">
        <v>51</v>
      </c>
      <c r="H902" s="1" t="s">
        <v>52</v>
      </c>
      <c r="I902" s="1" t="s">
        <v>51</v>
      </c>
      <c r="J902" s="1" t="s">
        <v>102</v>
      </c>
      <c r="K902" s="1">
        <v>4</v>
      </c>
      <c r="L902" s="1">
        <v>22659</v>
      </c>
      <c r="M902" s="1">
        <v>15</v>
      </c>
      <c r="N902" s="1">
        <v>13595.4</v>
      </c>
      <c r="O902" s="1">
        <v>13867.31</v>
      </c>
      <c r="P902" s="1">
        <v>374</v>
      </c>
      <c r="Q902" s="1">
        <v>91281.91</v>
      </c>
      <c r="R902" s="1" t="s">
        <v>33</v>
      </c>
      <c r="S902" s="1" t="s">
        <v>34</v>
      </c>
      <c r="T902" s="1" t="s">
        <v>55</v>
      </c>
      <c r="U902" s="1" t="s">
        <v>56</v>
      </c>
      <c r="V902" s="1" t="s">
        <v>57</v>
      </c>
      <c r="W902" s="1">
        <v>6</v>
      </c>
      <c r="X902" s="1" t="s">
        <v>47</v>
      </c>
      <c r="Y902" s="1">
        <v>5</v>
      </c>
      <c r="Z902" s="1" t="s">
        <v>91</v>
      </c>
    </row>
    <row r="903" spans="1:26" x14ac:dyDescent="0.3">
      <c r="A903" s="1" t="s">
        <v>1561</v>
      </c>
      <c r="B903" s="2">
        <v>46010</v>
      </c>
      <c r="C903" s="1" t="s">
        <v>686</v>
      </c>
      <c r="D903" s="1" t="s">
        <v>80</v>
      </c>
      <c r="E903" s="1" t="s">
        <v>29</v>
      </c>
      <c r="F903" s="1">
        <v>32</v>
      </c>
      <c r="G903" s="1" t="s">
        <v>90</v>
      </c>
      <c r="H903" s="1" t="s">
        <v>31</v>
      </c>
      <c r="I903" s="1" t="s">
        <v>90</v>
      </c>
      <c r="J903" s="1" t="s">
        <v>32</v>
      </c>
      <c r="K903" s="1">
        <v>4</v>
      </c>
      <c r="L903" s="1">
        <v>34273</v>
      </c>
      <c r="M903" s="1">
        <v>0</v>
      </c>
      <c r="N903" s="1">
        <v>0</v>
      </c>
      <c r="O903" s="1">
        <v>24676.560000000001</v>
      </c>
      <c r="P903" s="1">
        <v>420</v>
      </c>
      <c r="Q903" s="1">
        <v>162188.56</v>
      </c>
      <c r="R903" s="1" t="s">
        <v>83</v>
      </c>
      <c r="S903" s="1" t="s">
        <v>63</v>
      </c>
      <c r="T903" s="1" t="s">
        <v>84</v>
      </c>
      <c r="U903" s="1" t="s">
        <v>85</v>
      </c>
      <c r="V903" s="1" t="s">
        <v>86</v>
      </c>
      <c r="W903" s="1">
        <v>10</v>
      </c>
      <c r="X903" s="1" t="s">
        <v>47</v>
      </c>
      <c r="Y903" s="1">
        <v>2</v>
      </c>
      <c r="Z903" s="1" t="s">
        <v>47</v>
      </c>
    </row>
    <row r="904" spans="1:26" x14ac:dyDescent="0.3">
      <c r="A904" s="1" t="s">
        <v>1562</v>
      </c>
      <c r="B904" s="2">
        <v>46044</v>
      </c>
      <c r="C904" s="1" t="s">
        <v>1155</v>
      </c>
      <c r="D904" s="1" t="s">
        <v>111</v>
      </c>
      <c r="E904" s="1" t="s">
        <v>43</v>
      </c>
      <c r="F904" s="1">
        <v>26</v>
      </c>
      <c r="G904" s="1" t="s">
        <v>51</v>
      </c>
      <c r="H904" s="1" t="s">
        <v>52</v>
      </c>
      <c r="I904" s="1" t="s">
        <v>51</v>
      </c>
      <c r="J904" s="1" t="s">
        <v>32</v>
      </c>
      <c r="K904" s="1">
        <v>1</v>
      </c>
      <c r="L904" s="1">
        <v>5894</v>
      </c>
      <c r="M904" s="1">
        <v>20</v>
      </c>
      <c r="N904" s="1">
        <v>1178.8</v>
      </c>
      <c r="O904" s="1">
        <v>848.74</v>
      </c>
      <c r="P904" s="1">
        <v>203</v>
      </c>
      <c r="Q904" s="1">
        <v>5766.94</v>
      </c>
      <c r="R904" s="1" t="s">
        <v>54</v>
      </c>
      <c r="S904" s="1" t="s">
        <v>63</v>
      </c>
      <c r="T904" s="1" t="s">
        <v>103</v>
      </c>
      <c r="U904" s="1" t="s">
        <v>103</v>
      </c>
      <c r="V904" s="1" t="s">
        <v>57</v>
      </c>
      <c r="W904" s="1">
        <v>10</v>
      </c>
      <c r="X904" s="1" t="s">
        <v>38</v>
      </c>
      <c r="Y904" s="1">
        <v>2</v>
      </c>
      <c r="Z904" s="1" t="s">
        <v>39</v>
      </c>
    </row>
    <row r="905" spans="1:26" x14ac:dyDescent="0.3">
      <c r="A905" s="1" t="s">
        <v>1563</v>
      </c>
      <c r="B905" s="2">
        <v>46105</v>
      </c>
      <c r="C905" s="1" t="s">
        <v>1564</v>
      </c>
      <c r="D905" s="1" t="s">
        <v>80</v>
      </c>
      <c r="E905" s="1" t="s">
        <v>43</v>
      </c>
      <c r="F905" s="1">
        <v>53</v>
      </c>
      <c r="G905" s="1" t="s">
        <v>44</v>
      </c>
      <c r="H905" s="1" t="s">
        <v>31</v>
      </c>
      <c r="I905" s="1" t="s">
        <v>44</v>
      </c>
      <c r="J905" s="1" t="s">
        <v>53</v>
      </c>
      <c r="K905" s="1">
        <v>5</v>
      </c>
      <c r="L905" s="1">
        <v>31840</v>
      </c>
      <c r="M905" s="1">
        <v>20</v>
      </c>
      <c r="N905" s="1">
        <v>31840</v>
      </c>
      <c r="O905" s="1">
        <v>22924.799999999999</v>
      </c>
      <c r="P905" s="1">
        <v>434</v>
      </c>
      <c r="Q905" s="1">
        <v>150718.79999999999</v>
      </c>
      <c r="R905" s="1" t="s">
        <v>54</v>
      </c>
      <c r="S905" s="1" t="s">
        <v>34</v>
      </c>
      <c r="T905" s="1" t="s">
        <v>76</v>
      </c>
      <c r="U905" s="1" t="s">
        <v>77</v>
      </c>
      <c r="V905" s="1" t="s">
        <v>57</v>
      </c>
      <c r="W905" s="1">
        <v>7</v>
      </c>
      <c r="X905" s="1" t="s">
        <v>38</v>
      </c>
      <c r="Y905" s="1">
        <v>1</v>
      </c>
      <c r="Z905" s="1" t="s">
        <v>47</v>
      </c>
    </row>
    <row r="906" spans="1:26" x14ac:dyDescent="0.3">
      <c r="A906" s="1" t="s">
        <v>1565</v>
      </c>
      <c r="B906" s="2">
        <v>45961</v>
      </c>
      <c r="C906" s="1" t="s">
        <v>1566</v>
      </c>
      <c r="D906" s="1" t="s">
        <v>80</v>
      </c>
      <c r="E906" s="1" t="s">
        <v>43</v>
      </c>
      <c r="F906" s="1">
        <v>44</v>
      </c>
      <c r="G906" s="1" t="s">
        <v>67</v>
      </c>
      <c r="H906" s="1" t="s">
        <v>68</v>
      </c>
      <c r="I906" s="1" t="s">
        <v>67</v>
      </c>
      <c r="J906" s="1" t="s">
        <v>32</v>
      </c>
      <c r="K906" s="1">
        <v>1</v>
      </c>
      <c r="L906" s="1">
        <v>3751</v>
      </c>
      <c r="M906" s="1">
        <v>10</v>
      </c>
      <c r="N906" s="1">
        <v>375.1</v>
      </c>
      <c r="O906" s="1">
        <v>607.66</v>
      </c>
      <c r="P906" s="1">
        <v>21</v>
      </c>
      <c r="Q906" s="1">
        <v>4004.56</v>
      </c>
      <c r="R906" s="1" t="s">
        <v>54</v>
      </c>
      <c r="S906" s="1" t="s">
        <v>63</v>
      </c>
      <c r="T906" s="1" t="s">
        <v>95</v>
      </c>
      <c r="U906" s="1" t="s">
        <v>96</v>
      </c>
      <c r="V906" s="1" t="s">
        <v>57</v>
      </c>
      <c r="W906" s="1">
        <v>6</v>
      </c>
      <c r="X906" s="1" t="s">
        <v>47</v>
      </c>
      <c r="Y906" s="1">
        <v>5</v>
      </c>
      <c r="Z906" s="1" t="s">
        <v>39</v>
      </c>
    </row>
    <row r="907" spans="1:26" x14ac:dyDescent="0.3">
      <c r="A907" s="1" t="s">
        <v>1567</v>
      </c>
      <c r="B907" s="2">
        <v>45832</v>
      </c>
      <c r="C907" s="1" t="s">
        <v>1245</v>
      </c>
      <c r="D907" s="1" t="s">
        <v>42</v>
      </c>
      <c r="E907" s="1" t="s">
        <v>29</v>
      </c>
      <c r="F907" s="1">
        <v>43</v>
      </c>
      <c r="G907" s="1" t="s">
        <v>30</v>
      </c>
      <c r="H907" s="1" t="s">
        <v>31</v>
      </c>
      <c r="I907" s="1" t="s">
        <v>30</v>
      </c>
      <c r="J907" s="1" t="s">
        <v>62</v>
      </c>
      <c r="K907" s="1">
        <v>1</v>
      </c>
      <c r="L907" s="1">
        <v>9225</v>
      </c>
      <c r="M907" s="1">
        <v>5</v>
      </c>
      <c r="N907" s="1">
        <v>461.25</v>
      </c>
      <c r="O907" s="1">
        <v>1577.47</v>
      </c>
      <c r="P907" s="1">
        <v>455</v>
      </c>
      <c r="Q907" s="1">
        <v>10796.23</v>
      </c>
      <c r="R907" s="1" t="s">
        <v>33</v>
      </c>
      <c r="S907" s="1" t="s">
        <v>34</v>
      </c>
      <c r="T907" s="1" t="s">
        <v>95</v>
      </c>
      <c r="U907" s="1" t="s">
        <v>96</v>
      </c>
      <c r="V907" s="1" t="s">
        <v>57</v>
      </c>
      <c r="W907" s="1">
        <v>1</v>
      </c>
      <c r="X907" s="1" t="s">
        <v>47</v>
      </c>
      <c r="Y907" s="1">
        <v>3</v>
      </c>
      <c r="Z907" s="1" t="s">
        <v>91</v>
      </c>
    </row>
    <row r="908" spans="1:26" x14ac:dyDescent="0.3">
      <c r="A908" s="1" t="s">
        <v>1568</v>
      </c>
      <c r="B908" s="2">
        <v>45945</v>
      </c>
      <c r="C908" s="1" t="s">
        <v>1431</v>
      </c>
      <c r="D908" s="1" t="s">
        <v>111</v>
      </c>
      <c r="E908" s="1" t="s">
        <v>43</v>
      </c>
      <c r="F908" s="1">
        <v>44</v>
      </c>
      <c r="G908" s="1" t="s">
        <v>134</v>
      </c>
      <c r="H908" s="1" t="s">
        <v>31</v>
      </c>
      <c r="I908" s="1" t="s">
        <v>134</v>
      </c>
      <c r="J908" s="1" t="s">
        <v>102</v>
      </c>
      <c r="K908" s="1">
        <v>1</v>
      </c>
      <c r="L908" s="1">
        <v>6372</v>
      </c>
      <c r="M908" s="1">
        <v>0</v>
      </c>
      <c r="N908" s="1">
        <v>0</v>
      </c>
      <c r="O908" s="1">
        <v>1146.96</v>
      </c>
      <c r="P908" s="1">
        <v>422</v>
      </c>
      <c r="Q908" s="1">
        <v>7940.96</v>
      </c>
      <c r="R908" s="1" t="s">
        <v>54</v>
      </c>
      <c r="S908" s="1" t="s">
        <v>34</v>
      </c>
      <c r="T908" s="1" t="s">
        <v>46</v>
      </c>
      <c r="U908" s="1" t="s">
        <v>36</v>
      </c>
      <c r="V908" s="1" t="s">
        <v>37</v>
      </c>
      <c r="W908" s="1">
        <v>8</v>
      </c>
      <c r="X908" s="1" t="s">
        <v>38</v>
      </c>
      <c r="Y908" s="1">
        <v>1</v>
      </c>
      <c r="Z908" s="1" t="s">
        <v>91</v>
      </c>
    </row>
    <row r="909" spans="1:26" x14ac:dyDescent="0.3">
      <c r="A909" s="1" t="s">
        <v>1569</v>
      </c>
      <c r="B909" s="2">
        <v>45984</v>
      </c>
      <c r="C909" s="1" t="s">
        <v>1570</v>
      </c>
      <c r="D909" s="1" t="s">
        <v>73</v>
      </c>
      <c r="E909" s="1" t="s">
        <v>29</v>
      </c>
      <c r="F909" s="1">
        <v>24</v>
      </c>
      <c r="G909" s="1" t="s">
        <v>51</v>
      </c>
      <c r="H909" s="1" t="s">
        <v>52</v>
      </c>
      <c r="I909" s="1" t="s">
        <v>51</v>
      </c>
      <c r="J909" s="1" t="s">
        <v>32</v>
      </c>
      <c r="K909" s="1">
        <v>5</v>
      </c>
      <c r="L909" s="1">
        <v>49982</v>
      </c>
      <c r="M909" s="1">
        <v>10</v>
      </c>
      <c r="N909" s="1">
        <v>24991</v>
      </c>
      <c r="O909" s="1">
        <v>40485.42</v>
      </c>
      <c r="P909" s="1">
        <v>205</v>
      </c>
      <c r="Q909" s="1">
        <v>265609.42</v>
      </c>
      <c r="R909" s="1" t="s">
        <v>45</v>
      </c>
      <c r="S909" s="1" t="s">
        <v>63</v>
      </c>
      <c r="T909" s="1" t="s">
        <v>103</v>
      </c>
      <c r="U909" s="1" t="s">
        <v>103</v>
      </c>
      <c r="V909" s="1" t="s">
        <v>57</v>
      </c>
      <c r="W909" s="1">
        <v>1</v>
      </c>
      <c r="X909" s="1" t="s">
        <v>47</v>
      </c>
      <c r="Y909" s="1">
        <v>1</v>
      </c>
      <c r="Z909" s="1" t="s">
        <v>91</v>
      </c>
    </row>
    <row r="910" spans="1:26" x14ac:dyDescent="0.3">
      <c r="A910" s="1" t="s">
        <v>1571</v>
      </c>
      <c r="B910" s="2">
        <v>45789</v>
      </c>
      <c r="C910" s="1" t="s">
        <v>229</v>
      </c>
      <c r="D910" s="1" t="s">
        <v>28</v>
      </c>
      <c r="E910" s="1" t="s">
        <v>29</v>
      </c>
      <c r="F910" s="1">
        <v>44</v>
      </c>
      <c r="G910" s="1" t="s">
        <v>67</v>
      </c>
      <c r="H910" s="1" t="s">
        <v>68</v>
      </c>
      <c r="I910" s="1" t="s">
        <v>67</v>
      </c>
      <c r="J910" s="1" t="s">
        <v>32</v>
      </c>
      <c r="K910" s="1">
        <v>5</v>
      </c>
      <c r="L910" s="1">
        <v>35237</v>
      </c>
      <c r="M910" s="1">
        <v>10</v>
      </c>
      <c r="N910" s="1">
        <v>17618.5</v>
      </c>
      <c r="O910" s="1">
        <v>28541.97</v>
      </c>
      <c r="P910" s="1">
        <v>14</v>
      </c>
      <c r="Q910" s="1">
        <v>187122.47</v>
      </c>
      <c r="R910" s="1" t="s">
        <v>45</v>
      </c>
      <c r="S910" s="1" t="s">
        <v>63</v>
      </c>
      <c r="T910" s="1" t="s">
        <v>46</v>
      </c>
      <c r="U910" s="1" t="s">
        <v>36</v>
      </c>
      <c r="V910" s="1" t="s">
        <v>37</v>
      </c>
      <c r="W910" s="1">
        <v>1</v>
      </c>
      <c r="X910" s="1" t="s">
        <v>47</v>
      </c>
      <c r="Y910" s="1">
        <v>4</v>
      </c>
      <c r="Z910" s="1" t="s">
        <v>47</v>
      </c>
    </row>
    <row r="911" spans="1:26" x14ac:dyDescent="0.3">
      <c r="A911" s="1" t="s">
        <v>1572</v>
      </c>
      <c r="B911" s="2">
        <v>45772</v>
      </c>
      <c r="C911" s="1" t="s">
        <v>1497</v>
      </c>
      <c r="D911" s="1" t="s">
        <v>50</v>
      </c>
      <c r="E911" s="1" t="s">
        <v>43</v>
      </c>
      <c r="F911" s="1">
        <v>47</v>
      </c>
      <c r="G911" s="1" t="s">
        <v>51</v>
      </c>
      <c r="H911" s="1" t="s">
        <v>52</v>
      </c>
      <c r="I911" s="1" t="s">
        <v>51</v>
      </c>
      <c r="J911" s="1" t="s">
        <v>125</v>
      </c>
      <c r="K911" s="1">
        <v>4</v>
      </c>
      <c r="L911" s="1">
        <v>26654</v>
      </c>
      <c r="M911" s="1">
        <v>15</v>
      </c>
      <c r="N911" s="1">
        <v>15992.4</v>
      </c>
      <c r="O911" s="1">
        <v>16312.25</v>
      </c>
      <c r="P911" s="1">
        <v>222</v>
      </c>
      <c r="Q911" s="1">
        <v>107157.85</v>
      </c>
      <c r="R911" s="1" t="s">
        <v>33</v>
      </c>
      <c r="S911" s="1" t="s">
        <v>63</v>
      </c>
      <c r="T911" s="1" t="s">
        <v>35</v>
      </c>
      <c r="U911" s="1" t="s">
        <v>36</v>
      </c>
      <c r="V911" s="1" t="s">
        <v>37</v>
      </c>
      <c r="W911" s="1">
        <v>3</v>
      </c>
      <c r="X911" s="1" t="s">
        <v>38</v>
      </c>
      <c r="Y911" s="1">
        <v>2</v>
      </c>
      <c r="Z911" s="1" t="s">
        <v>39</v>
      </c>
    </row>
    <row r="912" spans="1:26" x14ac:dyDescent="0.3">
      <c r="A912" s="1" t="s">
        <v>1573</v>
      </c>
      <c r="B912" s="2">
        <v>45834</v>
      </c>
      <c r="C912" s="1" t="s">
        <v>209</v>
      </c>
      <c r="D912" s="1" t="s">
        <v>80</v>
      </c>
      <c r="E912" s="1" t="s">
        <v>29</v>
      </c>
      <c r="F912" s="1">
        <v>25</v>
      </c>
      <c r="G912" s="1" t="s">
        <v>134</v>
      </c>
      <c r="H912" s="1" t="s">
        <v>31</v>
      </c>
      <c r="I912" s="1" t="s">
        <v>134</v>
      </c>
      <c r="J912" s="1" t="s">
        <v>102</v>
      </c>
      <c r="K912" s="1">
        <v>3</v>
      </c>
      <c r="L912" s="1">
        <v>12886</v>
      </c>
      <c r="M912" s="1">
        <v>5</v>
      </c>
      <c r="N912" s="1">
        <v>1932.9</v>
      </c>
      <c r="O912" s="1">
        <v>6610.52</v>
      </c>
      <c r="P912" s="1">
        <v>485</v>
      </c>
      <c r="Q912" s="1">
        <v>43820.62</v>
      </c>
      <c r="R912" s="1" t="s">
        <v>83</v>
      </c>
      <c r="S912" s="1" t="s">
        <v>34</v>
      </c>
      <c r="T912" s="1" t="s">
        <v>55</v>
      </c>
      <c r="U912" s="1" t="s">
        <v>56</v>
      </c>
      <c r="V912" s="1" t="s">
        <v>57</v>
      </c>
      <c r="W912" s="1">
        <v>2</v>
      </c>
      <c r="X912" s="1" t="s">
        <v>47</v>
      </c>
      <c r="Y912" s="1">
        <v>3</v>
      </c>
      <c r="Z912" s="1" t="s">
        <v>58</v>
      </c>
    </row>
    <row r="913" spans="1:26" x14ac:dyDescent="0.3">
      <c r="A913" s="1" t="s">
        <v>1574</v>
      </c>
      <c r="B913" s="2">
        <v>45899</v>
      </c>
      <c r="C913" s="1" t="s">
        <v>488</v>
      </c>
      <c r="D913" s="1" t="s">
        <v>111</v>
      </c>
      <c r="E913" s="1" t="s">
        <v>43</v>
      </c>
      <c r="F913" s="1">
        <v>28</v>
      </c>
      <c r="G913" s="1" t="s">
        <v>51</v>
      </c>
      <c r="H913" s="1" t="s">
        <v>52</v>
      </c>
      <c r="I913" s="1" t="s">
        <v>51</v>
      </c>
      <c r="J913" s="1" t="s">
        <v>69</v>
      </c>
      <c r="K913" s="1">
        <v>4</v>
      </c>
      <c r="L913" s="1">
        <v>35630</v>
      </c>
      <c r="M913" s="1">
        <v>15</v>
      </c>
      <c r="N913" s="1">
        <v>21378</v>
      </c>
      <c r="O913" s="1">
        <v>21805.56</v>
      </c>
      <c r="P913" s="1">
        <v>107</v>
      </c>
      <c r="Q913" s="1">
        <v>143054.56</v>
      </c>
      <c r="R913" s="1" t="s">
        <v>45</v>
      </c>
      <c r="S913" s="1" t="s">
        <v>63</v>
      </c>
      <c r="T913" s="1" t="s">
        <v>35</v>
      </c>
      <c r="U913" s="1" t="s">
        <v>36</v>
      </c>
      <c r="V913" s="1" t="s">
        <v>37</v>
      </c>
      <c r="W913" s="1">
        <v>3</v>
      </c>
      <c r="X913" s="1" t="s">
        <v>38</v>
      </c>
      <c r="Y913" s="1">
        <v>1</v>
      </c>
      <c r="Z913" s="1" t="s">
        <v>47</v>
      </c>
    </row>
    <row r="914" spans="1:26" x14ac:dyDescent="0.3">
      <c r="A914" s="1" t="s">
        <v>1575</v>
      </c>
      <c r="B914" s="2">
        <v>45804</v>
      </c>
      <c r="C914" s="1" t="s">
        <v>1576</v>
      </c>
      <c r="D914" s="1" t="s">
        <v>42</v>
      </c>
      <c r="E914" s="1" t="s">
        <v>43</v>
      </c>
      <c r="F914" s="1">
        <v>59</v>
      </c>
      <c r="G914" s="1" t="s">
        <v>139</v>
      </c>
      <c r="H914" s="1" t="s">
        <v>31</v>
      </c>
      <c r="I914" s="1" t="s">
        <v>139</v>
      </c>
      <c r="J914" s="1" t="s">
        <v>150</v>
      </c>
      <c r="K914" s="1">
        <v>2</v>
      </c>
      <c r="L914" s="1">
        <v>36760</v>
      </c>
      <c r="M914" s="1">
        <v>20</v>
      </c>
      <c r="N914" s="1">
        <v>14704</v>
      </c>
      <c r="O914" s="1">
        <v>10586.88</v>
      </c>
      <c r="P914" s="1">
        <v>454</v>
      </c>
      <c r="Q914" s="1">
        <v>69856.88</v>
      </c>
      <c r="R914" s="1" t="s">
        <v>54</v>
      </c>
      <c r="S914" s="1" t="s">
        <v>34</v>
      </c>
      <c r="T914" s="1" t="s">
        <v>55</v>
      </c>
      <c r="U914" s="1" t="s">
        <v>56</v>
      </c>
      <c r="V914" s="1" t="s">
        <v>57</v>
      </c>
      <c r="W914" s="1">
        <v>8</v>
      </c>
      <c r="X914" s="1" t="s">
        <v>47</v>
      </c>
      <c r="Y914" s="1">
        <v>2</v>
      </c>
      <c r="Z914" s="1" t="s">
        <v>91</v>
      </c>
    </row>
    <row r="915" spans="1:26" x14ac:dyDescent="0.3">
      <c r="A915" s="1" t="s">
        <v>1577</v>
      </c>
      <c r="B915" s="2">
        <v>45803</v>
      </c>
      <c r="C915" s="1" t="s">
        <v>1245</v>
      </c>
      <c r="D915" s="1" t="s">
        <v>111</v>
      </c>
      <c r="E915" s="1" t="s">
        <v>43</v>
      </c>
      <c r="F915" s="1">
        <v>49</v>
      </c>
      <c r="G915" s="1" t="s">
        <v>134</v>
      </c>
      <c r="H915" s="1" t="s">
        <v>31</v>
      </c>
      <c r="I915" s="1" t="s">
        <v>134</v>
      </c>
      <c r="J915" s="1" t="s">
        <v>102</v>
      </c>
      <c r="K915" s="1">
        <v>1</v>
      </c>
      <c r="L915" s="1">
        <v>18286</v>
      </c>
      <c r="M915" s="1">
        <v>20</v>
      </c>
      <c r="N915" s="1">
        <v>3657.2</v>
      </c>
      <c r="O915" s="1">
        <v>2633.18</v>
      </c>
      <c r="P915" s="1">
        <v>99</v>
      </c>
      <c r="Q915" s="1">
        <v>17360.98</v>
      </c>
      <c r="R915" s="1" t="s">
        <v>54</v>
      </c>
      <c r="S915" s="1" t="s">
        <v>34</v>
      </c>
      <c r="T915" s="1" t="s">
        <v>70</v>
      </c>
      <c r="U915" s="1" t="s">
        <v>56</v>
      </c>
      <c r="V915" s="1" t="s">
        <v>57</v>
      </c>
      <c r="W915" s="1">
        <v>3</v>
      </c>
      <c r="X915" s="1" t="s">
        <v>47</v>
      </c>
      <c r="Y915" s="1">
        <v>3</v>
      </c>
      <c r="Z915" s="1" t="s">
        <v>47</v>
      </c>
    </row>
    <row r="916" spans="1:26" x14ac:dyDescent="0.3">
      <c r="A916" s="1" t="s">
        <v>1578</v>
      </c>
      <c r="B916" s="2">
        <v>45794</v>
      </c>
      <c r="C916" s="1" t="s">
        <v>1579</v>
      </c>
      <c r="D916" s="1" t="s">
        <v>89</v>
      </c>
      <c r="E916" s="1" t="s">
        <v>29</v>
      </c>
      <c r="F916" s="1">
        <v>52</v>
      </c>
      <c r="G916" s="1" t="s">
        <v>51</v>
      </c>
      <c r="H916" s="1" t="s">
        <v>52</v>
      </c>
      <c r="I916" s="1" t="s">
        <v>51</v>
      </c>
      <c r="J916" s="1" t="s">
        <v>32</v>
      </c>
      <c r="K916" s="1">
        <v>2</v>
      </c>
      <c r="L916" s="1">
        <v>25487</v>
      </c>
      <c r="M916" s="1">
        <v>20</v>
      </c>
      <c r="N916" s="1">
        <v>10194.799999999999</v>
      </c>
      <c r="O916" s="1">
        <v>7340.26</v>
      </c>
      <c r="P916" s="1">
        <v>126</v>
      </c>
      <c r="Q916" s="1">
        <v>48245.46</v>
      </c>
      <c r="R916" s="1" t="s">
        <v>33</v>
      </c>
      <c r="S916" s="1" t="s">
        <v>63</v>
      </c>
      <c r="T916" s="1" t="s">
        <v>103</v>
      </c>
      <c r="U916" s="1" t="s">
        <v>103</v>
      </c>
      <c r="V916" s="1" t="s">
        <v>57</v>
      </c>
      <c r="W916" s="1">
        <v>4</v>
      </c>
      <c r="X916" s="1" t="s">
        <v>47</v>
      </c>
      <c r="Y916" s="1">
        <v>5</v>
      </c>
      <c r="Z916" s="1" t="s">
        <v>47</v>
      </c>
    </row>
    <row r="917" spans="1:26" x14ac:dyDescent="0.3">
      <c r="A917" s="1" t="s">
        <v>1580</v>
      </c>
      <c r="B917" s="2">
        <v>45972</v>
      </c>
      <c r="C917" s="1" t="s">
        <v>1497</v>
      </c>
      <c r="D917" s="1" t="s">
        <v>111</v>
      </c>
      <c r="E917" s="1" t="s">
        <v>43</v>
      </c>
      <c r="F917" s="1">
        <v>51</v>
      </c>
      <c r="G917" s="1" t="s">
        <v>74</v>
      </c>
      <c r="H917" s="1" t="s">
        <v>31</v>
      </c>
      <c r="I917" s="1" t="s">
        <v>74</v>
      </c>
      <c r="J917" s="1" t="s">
        <v>69</v>
      </c>
      <c r="K917" s="1">
        <v>3</v>
      </c>
      <c r="L917" s="1">
        <v>3238</v>
      </c>
      <c r="M917" s="1">
        <v>0</v>
      </c>
      <c r="N917" s="1">
        <v>0</v>
      </c>
      <c r="O917" s="1">
        <v>1748.52</v>
      </c>
      <c r="P917" s="1">
        <v>121</v>
      </c>
      <c r="Q917" s="1">
        <v>11583.52</v>
      </c>
      <c r="R917" s="1" t="s">
        <v>54</v>
      </c>
      <c r="S917" s="1" t="s">
        <v>34</v>
      </c>
      <c r="T917" s="1" t="s">
        <v>103</v>
      </c>
      <c r="U917" s="1" t="s">
        <v>103</v>
      </c>
      <c r="V917" s="1" t="s">
        <v>57</v>
      </c>
      <c r="W917" s="1">
        <v>3</v>
      </c>
      <c r="X917" s="1" t="s">
        <v>38</v>
      </c>
      <c r="Y917" s="1">
        <v>3</v>
      </c>
      <c r="Z917" s="1" t="s">
        <v>91</v>
      </c>
    </row>
    <row r="918" spans="1:26" x14ac:dyDescent="0.3">
      <c r="A918" s="1" t="s">
        <v>1581</v>
      </c>
      <c r="B918" s="2">
        <v>45786</v>
      </c>
      <c r="C918" s="1" t="s">
        <v>1582</v>
      </c>
      <c r="D918" s="1" t="s">
        <v>28</v>
      </c>
      <c r="E918" s="1" t="s">
        <v>43</v>
      </c>
      <c r="F918" s="1">
        <v>59</v>
      </c>
      <c r="G918" s="1" t="s">
        <v>99</v>
      </c>
      <c r="H918" s="1" t="s">
        <v>52</v>
      </c>
      <c r="I918" s="1" t="s">
        <v>99</v>
      </c>
      <c r="J918" s="1" t="s">
        <v>150</v>
      </c>
      <c r="K918" s="1">
        <v>4</v>
      </c>
      <c r="L918" s="1">
        <v>9369</v>
      </c>
      <c r="M918" s="1">
        <v>5</v>
      </c>
      <c r="N918" s="1">
        <v>1873.8</v>
      </c>
      <c r="O918" s="1">
        <v>6408.4</v>
      </c>
      <c r="P918" s="1">
        <v>483</v>
      </c>
      <c r="Q918" s="1">
        <v>42493.599999999999</v>
      </c>
      <c r="R918" s="1" t="s">
        <v>33</v>
      </c>
      <c r="S918" s="1" t="s">
        <v>34</v>
      </c>
      <c r="T918" s="1" t="s">
        <v>84</v>
      </c>
      <c r="U918" s="1" t="s">
        <v>85</v>
      </c>
      <c r="V918" s="1" t="s">
        <v>86</v>
      </c>
      <c r="W918" s="1">
        <v>2</v>
      </c>
      <c r="X918" s="1" t="s">
        <v>38</v>
      </c>
      <c r="Y918" s="1">
        <v>2</v>
      </c>
      <c r="Z918" s="1" t="s">
        <v>58</v>
      </c>
    </row>
    <row r="919" spans="1:26" x14ac:dyDescent="0.3">
      <c r="A919" s="1" t="s">
        <v>1583</v>
      </c>
      <c r="B919" s="2">
        <v>46033</v>
      </c>
      <c r="C919" s="1" t="s">
        <v>1584</v>
      </c>
      <c r="D919" s="1" t="s">
        <v>73</v>
      </c>
      <c r="E919" s="1" t="s">
        <v>43</v>
      </c>
      <c r="F919" s="1">
        <v>20</v>
      </c>
      <c r="G919" s="1" t="s">
        <v>67</v>
      </c>
      <c r="H919" s="1" t="s">
        <v>68</v>
      </c>
      <c r="I919" s="1" t="s">
        <v>67</v>
      </c>
      <c r="J919" s="1" t="s">
        <v>53</v>
      </c>
      <c r="K919" s="1">
        <v>5</v>
      </c>
      <c r="L919" s="1">
        <v>7487</v>
      </c>
      <c r="M919" s="1">
        <v>20</v>
      </c>
      <c r="N919" s="1">
        <v>7487</v>
      </c>
      <c r="O919" s="1">
        <v>5390.64</v>
      </c>
      <c r="P919" s="1">
        <v>492</v>
      </c>
      <c r="Q919" s="1">
        <v>35830.639999999999</v>
      </c>
      <c r="R919" s="1" t="s">
        <v>83</v>
      </c>
      <c r="S919" s="1" t="s">
        <v>34</v>
      </c>
      <c r="T919" s="1" t="s">
        <v>55</v>
      </c>
      <c r="U919" s="1" t="s">
        <v>56</v>
      </c>
      <c r="V919" s="1" t="s">
        <v>57</v>
      </c>
      <c r="W919" s="1">
        <v>4</v>
      </c>
      <c r="X919" s="1" t="s">
        <v>38</v>
      </c>
      <c r="Y919" s="1">
        <v>4</v>
      </c>
      <c r="Z919" s="1" t="s">
        <v>47</v>
      </c>
    </row>
    <row r="920" spans="1:26" x14ac:dyDescent="0.3">
      <c r="A920" s="1" t="s">
        <v>1585</v>
      </c>
      <c r="B920" s="2">
        <v>45879</v>
      </c>
      <c r="C920" s="1" t="s">
        <v>386</v>
      </c>
      <c r="D920" s="1" t="s">
        <v>108</v>
      </c>
      <c r="E920" s="1" t="s">
        <v>29</v>
      </c>
      <c r="F920" s="1">
        <v>42</v>
      </c>
      <c r="G920" s="1" t="s">
        <v>90</v>
      </c>
      <c r="H920" s="1" t="s">
        <v>31</v>
      </c>
      <c r="I920" s="1" t="s">
        <v>90</v>
      </c>
      <c r="J920" s="1" t="s">
        <v>75</v>
      </c>
      <c r="K920" s="1">
        <v>5</v>
      </c>
      <c r="L920" s="1">
        <v>8615</v>
      </c>
      <c r="M920" s="1">
        <v>5</v>
      </c>
      <c r="N920" s="1">
        <v>2153.75</v>
      </c>
      <c r="O920" s="1">
        <v>7365.82</v>
      </c>
      <c r="P920" s="1">
        <v>143</v>
      </c>
      <c r="Q920" s="1">
        <v>48430.07</v>
      </c>
      <c r="R920" s="1" t="s">
        <v>54</v>
      </c>
      <c r="S920" s="1" t="s">
        <v>34</v>
      </c>
      <c r="T920" s="1" t="s">
        <v>35</v>
      </c>
      <c r="U920" s="1" t="s">
        <v>36</v>
      </c>
      <c r="V920" s="1" t="s">
        <v>37</v>
      </c>
      <c r="W920" s="1">
        <v>7</v>
      </c>
      <c r="X920" s="1" t="s">
        <v>38</v>
      </c>
      <c r="Y920" s="1">
        <v>5</v>
      </c>
      <c r="Z920" s="1" t="s">
        <v>39</v>
      </c>
    </row>
    <row r="921" spans="1:26" x14ac:dyDescent="0.3">
      <c r="A921" s="1" t="s">
        <v>1586</v>
      </c>
      <c r="B921" s="2">
        <v>45945</v>
      </c>
      <c r="C921" s="1" t="s">
        <v>359</v>
      </c>
      <c r="D921" s="1" t="s">
        <v>80</v>
      </c>
      <c r="E921" s="1" t="s">
        <v>29</v>
      </c>
      <c r="F921" s="1">
        <v>47</v>
      </c>
      <c r="G921" s="1" t="s">
        <v>30</v>
      </c>
      <c r="H921" s="1" t="s">
        <v>31</v>
      </c>
      <c r="I921" s="1" t="s">
        <v>30</v>
      </c>
      <c r="J921" s="1" t="s">
        <v>75</v>
      </c>
      <c r="K921" s="1">
        <v>1</v>
      </c>
      <c r="L921" s="1">
        <v>17074</v>
      </c>
      <c r="M921" s="1">
        <v>15</v>
      </c>
      <c r="N921" s="1">
        <v>2561.1</v>
      </c>
      <c r="O921" s="1">
        <v>2612.3200000000002</v>
      </c>
      <c r="P921" s="1">
        <v>197</v>
      </c>
      <c r="Q921" s="1">
        <v>17322.22</v>
      </c>
      <c r="R921" s="1" t="s">
        <v>83</v>
      </c>
      <c r="S921" s="1" t="s">
        <v>63</v>
      </c>
      <c r="T921" s="1" t="s">
        <v>103</v>
      </c>
      <c r="U921" s="1" t="s">
        <v>103</v>
      </c>
      <c r="V921" s="1" t="s">
        <v>57</v>
      </c>
      <c r="W921" s="1">
        <v>10</v>
      </c>
      <c r="X921" s="1" t="s">
        <v>47</v>
      </c>
      <c r="Y921" s="1">
        <v>2</v>
      </c>
      <c r="Z921" s="1" t="s">
        <v>39</v>
      </c>
    </row>
    <row r="922" spans="1:26" x14ac:dyDescent="0.3">
      <c r="A922" s="1" t="s">
        <v>1587</v>
      </c>
      <c r="B922" s="2">
        <v>45828</v>
      </c>
      <c r="C922" s="1" t="s">
        <v>307</v>
      </c>
      <c r="D922" s="1" t="s">
        <v>89</v>
      </c>
      <c r="E922" s="1" t="s">
        <v>29</v>
      </c>
      <c r="F922" s="1">
        <v>22</v>
      </c>
      <c r="G922" s="1" t="s">
        <v>94</v>
      </c>
      <c r="H922" s="1" t="s">
        <v>31</v>
      </c>
      <c r="I922" s="1" t="s">
        <v>94</v>
      </c>
      <c r="J922" s="1" t="s">
        <v>75</v>
      </c>
      <c r="K922" s="1">
        <v>5</v>
      </c>
      <c r="L922" s="1">
        <v>31555</v>
      </c>
      <c r="M922" s="1">
        <v>0</v>
      </c>
      <c r="N922" s="1">
        <v>0</v>
      </c>
      <c r="O922" s="1">
        <v>28399.5</v>
      </c>
      <c r="P922" s="1">
        <v>290</v>
      </c>
      <c r="Q922" s="1">
        <v>186464.5</v>
      </c>
      <c r="R922" s="1" t="s">
        <v>83</v>
      </c>
      <c r="S922" s="1" t="s">
        <v>34</v>
      </c>
      <c r="T922" s="1" t="s">
        <v>76</v>
      </c>
      <c r="U922" s="1" t="s">
        <v>77</v>
      </c>
      <c r="V922" s="1" t="s">
        <v>57</v>
      </c>
      <c r="W922" s="1">
        <v>5</v>
      </c>
      <c r="X922" s="1" t="s">
        <v>47</v>
      </c>
      <c r="Y922" s="1">
        <v>2</v>
      </c>
      <c r="Z922" s="1" t="s">
        <v>39</v>
      </c>
    </row>
    <row r="923" spans="1:26" x14ac:dyDescent="0.3">
      <c r="A923" s="1" t="s">
        <v>1588</v>
      </c>
      <c r="B923" s="2">
        <v>45965</v>
      </c>
      <c r="C923" s="1" t="s">
        <v>1589</v>
      </c>
      <c r="D923" s="1" t="s">
        <v>73</v>
      </c>
      <c r="E923" s="1" t="s">
        <v>43</v>
      </c>
      <c r="F923" s="1">
        <v>42</v>
      </c>
      <c r="G923" s="1" t="s">
        <v>90</v>
      </c>
      <c r="H923" s="1" t="s">
        <v>31</v>
      </c>
      <c r="I923" s="1" t="s">
        <v>90</v>
      </c>
      <c r="J923" s="1" t="s">
        <v>150</v>
      </c>
      <c r="K923" s="1">
        <v>2</v>
      </c>
      <c r="L923" s="1">
        <v>36468</v>
      </c>
      <c r="M923" s="1">
        <v>10</v>
      </c>
      <c r="N923" s="1">
        <v>7293.6</v>
      </c>
      <c r="O923" s="1">
        <v>11815.63</v>
      </c>
      <c r="P923" s="1">
        <v>106</v>
      </c>
      <c r="Q923" s="1">
        <v>77564.03</v>
      </c>
      <c r="R923" s="1" t="s">
        <v>33</v>
      </c>
      <c r="S923" s="1" t="s">
        <v>63</v>
      </c>
      <c r="T923" s="1" t="s">
        <v>95</v>
      </c>
      <c r="U923" s="1" t="s">
        <v>96</v>
      </c>
      <c r="V923" s="1" t="s">
        <v>57</v>
      </c>
      <c r="W923" s="1">
        <v>7</v>
      </c>
      <c r="X923" s="1" t="s">
        <v>38</v>
      </c>
      <c r="Y923" s="1">
        <v>1</v>
      </c>
      <c r="Z923" s="1" t="s">
        <v>39</v>
      </c>
    </row>
    <row r="924" spans="1:26" x14ac:dyDescent="0.3">
      <c r="A924" s="1" t="s">
        <v>1590</v>
      </c>
      <c r="B924" s="2">
        <v>46109</v>
      </c>
      <c r="C924" s="1" t="s">
        <v>1591</v>
      </c>
      <c r="D924" s="1" t="s">
        <v>42</v>
      </c>
      <c r="E924" s="1" t="s">
        <v>29</v>
      </c>
      <c r="F924" s="1">
        <v>19</v>
      </c>
      <c r="G924" s="1" t="s">
        <v>99</v>
      </c>
      <c r="H924" s="1" t="s">
        <v>52</v>
      </c>
      <c r="I924" s="1" t="s">
        <v>99</v>
      </c>
      <c r="J924" s="1" t="s">
        <v>125</v>
      </c>
      <c r="K924" s="1">
        <v>1</v>
      </c>
      <c r="L924" s="1">
        <v>17001</v>
      </c>
      <c r="M924" s="1">
        <v>20</v>
      </c>
      <c r="N924" s="1">
        <v>3400.2</v>
      </c>
      <c r="O924" s="1">
        <v>2448.14</v>
      </c>
      <c r="P924" s="1">
        <v>72</v>
      </c>
      <c r="Q924" s="1">
        <v>16120.94</v>
      </c>
      <c r="R924" s="1" t="s">
        <v>54</v>
      </c>
      <c r="S924" s="1" t="s">
        <v>34</v>
      </c>
      <c r="T924" s="1" t="s">
        <v>70</v>
      </c>
      <c r="U924" s="1" t="s">
        <v>56</v>
      </c>
      <c r="V924" s="1" t="s">
        <v>57</v>
      </c>
      <c r="W924" s="1">
        <v>3</v>
      </c>
      <c r="X924" s="1" t="s">
        <v>38</v>
      </c>
      <c r="Y924" s="1">
        <v>4</v>
      </c>
      <c r="Z924" s="1" t="s">
        <v>39</v>
      </c>
    </row>
    <row r="925" spans="1:26" x14ac:dyDescent="0.3">
      <c r="A925" s="1" t="s">
        <v>1592</v>
      </c>
      <c r="B925" s="2">
        <v>45823</v>
      </c>
      <c r="C925" s="1" t="s">
        <v>897</v>
      </c>
      <c r="D925" s="1" t="s">
        <v>66</v>
      </c>
      <c r="E925" s="1" t="s">
        <v>43</v>
      </c>
      <c r="F925" s="1">
        <v>24</v>
      </c>
      <c r="G925" s="1" t="s">
        <v>99</v>
      </c>
      <c r="H925" s="1" t="s">
        <v>52</v>
      </c>
      <c r="I925" s="1" t="s">
        <v>99</v>
      </c>
      <c r="J925" s="1" t="s">
        <v>62</v>
      </c>
      <c r="K925" s="1">
        <v>1</v>
      </c>
      <c r="L925" s="1">
        <v>2091</v>
      </c>
      <c r="M925" s="1">
        <v>10</v>
      </c>
      <c r="N925" s="1">
        <v>209.1</v>
      </c>
      <c r="O925" s="1">
        <v>338.74</v>
      </c>
      <c r="P925" s="1">
        <v>95</v>
      </c>
      <c r="Q925" s="1">
        <v>2315.64</v>
      </c>
      <c r="R925" s="1" t="s">
        <v>45</v>
      </c>
      <c r="S925" s="1" t="s">
        <v>63</v>
      </c>
      <c r="T925" s="1" t="s">
        <v>46</v>
      </c>
      <c r="U925" s="1" t="s">
        <v>36</v>
      </c>
      <c r="V925" s="1" t="s">
        <v>37</v>
      </c>
      <c r="W925" s="1">
        <v>4</v>
      </c>
      <c r="X925" s="1" t="s">
        <v>47</v>
      </c>
      <c r="Y925" s="1">
        <v>4</v>
      </c>
      <c r="Z925" s="1" t="s">
        <v>58</v>
      </c>
    </row>
    <row r="926" spans="1:26" x14ac:dyDescent="0.3">
      <c r="A926" s="1" t="s">
        <v>1593</v>
      </c>
      <c r="B926" s="2">
        <v>45767</v>
      </c>
      <c r="C926" s="1" t="s">
        <v>1521</v>
      </c>
      <c r="D926" s="1" t="s">
        <v>111</v>
      </c>
      <c r="E926" s="1" t="s">
        <v>29</v>
      </c>
      <c r="F926" s="1">
        <v>24</v>
      </c>
      <c r="G926" s="1" t="s">
        <v>74</v>
      </c>
      <c r="H926" s="1" t="s">
        <v>31</v>
      </c>
      <c r="I926" s="1" t="s">
        <v>74</v>
      </c>
      <c r="J926" s="1" t="s">
        <v>201</v>
      </c>
      <c r="K926" s="1">
        <v>5</v>
      </c>
      <c r="L926" s="1">
        <v>27061</v>
      </c>
      <c r="M926" s="1">
        <v>15</v>
      </c>
      <c r="N926" s="1">
        <v>20295.75</v>
      </c>
      <c r="O926" s="1">
        <v>20701.669999999998</v>
      </c>
      <c r="P926" s="1">
        <v>389</v>
      </c>
      <c r="Q926" s="1">
        <v>136099.92000000001</v>
      </c>
      <c r="R926" s="1" t="s">
        <v>54</v>
      </c>
      <c r="S926" s="1" t="s">
        <v>63</v>
      </c>
      <c r="T926" s="1" t="s">
        <v>76</v>
      </c>
      <c r="U926" s="1" t="s">
        <v>77</v>
      </c>
      <c r="V926" s="1" t="s">
        <v>57</v>
      </c>
      <c r="W926" s="1">
        <v>4</v>
      </c>
      <c r="X926" s="1" t="s">
        <v>38</v>
      </c>
      <c r="Y926" s="1">
        <v>2</v>
      </c>
      <c r="Z926" s="1" t="s">
        <v>58</v>
      </c>
    </row>
    <row r="927" spans="1:26" x14ac:dyDescent="0.3">
      <c r="A927" s="1" t="s">
        <v>1594</v>
      </c>
      <c r="B927" s="2">
        <v>46000</v>
      </c>
      <c r="C927" s="1" t="s">
        <v>1595</v>
      </c>
      <c r="D927" s="1" t="s">
        <v>61</v>
      </c>
      <c r="E927" s="1" t="s">
        <v>29</v>
      </c>
      <c r="F927" s="1">
        <v>35</v>
      </c>
      <c r="G927" s="1" t="s">
        <v>74</v>
      </c>
      <c r="H927" s="1" t="s">
        <v>31</v>
      </c>
      <c r="I927" s="1" t="s">
        <v>74</v>
      </c>
      <c r="J927" s="1" t="s">
        <v>102</v>
      </c>
      <c r="K927" s="1">
        <v>3</v>
      </c>
      <c r="L927" s="1">
        <v>9812</v>
      </c>
      <c r="M927" s="1">
        <v>20</v>
      </c>
      <c r="N927" s="1">
        <v>5887.2</v>
      </c>
      <c r="O927" s="1">
        <v>4238.78</v>
      </c>
      <c r="P927" s="1">
        <v>136</v>
      </c>
      <c r="Q927" s="1">
        <v>27923.58</v>
      </c>
      <c r="R927" s="1" t="s">
        <v>45</v>
      </c>
      <c r="S927" s="1" t="s">
        <v>34</v>
      </c>
      <c r="T927" s="1" t="s">
        <v>103</v>
      </c>
      <c r="U927" s="1" t="s">
        <v>103</v>
      </c>
      <c r="V927" s="1" t="s">
        <v>57</v>
      </c>
      <c r="W927" s="1">
        <v>5</v>
      </c>
      <c r="X927" s="1" t="s">
        <v>47</v>
      </c>
      <c r="Y927" s="1">
        <v>5</v>
      </c>
      <c r="Z927" s="1" t="s">
        <v>58</v>
      </c>
    </row>
    <row r="928" spans="1:26" x14ac:dyDescent="0.3">
      <c r="A928" s="1" t="s">
        <v>1596</v>
      </c>
      <c r="B928" s="2">
        <v>45907</v>
      </c>
      <c r="C928" s="1" t="s">
        <v>441</v>
      </c>
      <c r="D928" s="1" t="s">
        <v>50</v>
      </c>
      <c r="E928" s="1" t="s">
        <v>29</v>
      </c>
      <c r="F928" s="1">
        <v>48</v>
      </c>
      <c r="G928" s="1" t="s">
        <v>134</v>
      </c>
      <c r="H928" s="1" t="s">
        <v>31</v>
      </c>
      <c r="I928" s="1" t="s">
        <v>134</v>
      </c>
      <c r="J928" s="1" t="s">
        <v>53</v>
      </c>
      <c r="K928" s="1">
        <v>2</v>
      </c>
      <c r="L928" s="1">
        <v>42773</v>
      </c>
      <c r="M928" s="1">
        <v>0</v>
      </c>
      <c r="N928" s="1">
        <v>0</v>
      </c>
      <c r="O928" s="1">
        <v>15398.28</v>
      </c>
      <c r="P928" s="1">
        <v>254</v>
      </c>
      <c r="Q928" s="1">
        <v>101198.28</v>
      </c>
      <c r="R928" s="1" t="s">
        <v>45</v>
      </c>
      <c r="S928" s="1" t="s">
        <v>34</v>
      </c>
      <c r="T928" s="1" t="s">
        <v>46</v>
      </c>
      <c r="U928" s="1" t="s">
        <v>36</v>
      </c>
      <c r="V928" s="1" t="s">
        <v>37</v>
      </c>
      <c r="W928" s="1">
        <v>3</v>
      </c>
      <c r="X928" s="1" t="s">
        <v>47</v>
      </c>
      <c r="Y928" s="1">
        <v>2</v>
      </c>
      <c r="Z928" s="1" t="s">
        <v>58</v>
      </c>
    </row>
    <row r="929" spans="1:26" x14ac:dyDescent="0.3">
      <c r="A929" s="1" t="s">
        <v>1597</v>
      </c>
      <c r="B929" s="2">
        <v>46119</v>
      </c>
      <c r="C929" s="1" t="s">
        <v>141</v>
      </c>
      <c r="D929" s="1" t="s">
        <v>61</v>
      </c>
      <c r="E929" s="1" t="s">
        <v>43</v>
      </c>
      <c r="F929" s="1">
        <v>42</v>
      </c>
      <c r="G929" s="1" t="s">
        <v>90</v>
      </c>
      <c r="H929" s="1" t="s">
        <v>31</v>
      </c>
      <c r="I929" s="1" t="s">
        <v>90</v>
      </c>
      <c r="J929" s="1" t="s">
        <v>125</v>
      </c>
      <c r="K929" s="1">
        <v>1</v>
      </c>
      <c r="L929" s="1">
        <v>14852</v>
      </c>
      <c r="M929" s="1">
        <v>15</v>
      </c>
      <c r="N929" s="1">
        <v>2227.8000000000002</v>
      </c>
      <c r="O929" s="1">
        <v>2272.36</v>
      </c>
      <c r="P929" s="1">
        <v>109</v>
      </c>
      <c r="Q929" s="1">
        <v>15005.56</v>
      </c>
      <c r="R929" s="1" t="s">
        <v>83</v>
      </c>
      <c r="S929" s="1" t="s">
        <v>63</v>
      </c>
      <c r="T929" s="1" t="s">
        <v>103</v>
      </c>
      <c r="U929" s="1" t="s">
        <v>103</v>
      </c>
      <c r="V929" s="1" t="s">
        <v>57</v>
      </c>
      <c r="W929" s="1">
        <v>5</v>
      </c>
      <c r="X929" s="1" t="s">
        <v>38</v>
      </c>
      <c r="Y929" s="1">
        <v>5</v>
      </c>
      <c r="Z929" s="1" t="s">
        <v>47</v>
      </c>
    </row>
    <row r="930" spans="1:26" x14ac:dyDescent="0.3">
      <c r="A930" s="1" t="s">
        <v>1598</v>
      </c>
      <c r="B930" s="2">
        <v>45906</v>
      </c>
      <c r="C930" s="1" t="s">
        <v>848</v>
      </c>
      <c r="D930" s="1" t="s">
        <v>108</v>
      </c>
      <c r="E930" s="1" t="s">
        <v>43</v>
      </c>
      <c r="F930" s="1">
        <v>58</v>
      </c>
      <c r="G930" s="1" t="s">
        <v>139</v>
      </c>
      <c r="H930" s="1" t="s">
        <v>31</v>
      </c>
      <c r="I930" s="1" t="s">
        <v>139</v>
      </c>
      <c r="J930" s="1" t="s">
        <v>69</v>
      </c>
      <c r="K930" s="1">
        <v>3</v>
      </c>
      <c r="L930" s="1">
        <v>8496</v>
      </c>
      <c r="M930" s="1">
        <v>15</v>
      </c>
      <c r="N930" s="1">
        <v>3823.2</v>
      </c>
      <c r="O930" s="1">
        <v>3899.66</v>
      </c>
      <c r="P930" s="1">
        <v>138</v>
      </c>
      <c r="Q930" s="1">
        <v>25702.46</v>
      </c>
      <c r="R930" s="1" t="s">
        <v>33</v>
      </c>
      <c r="S930" s="1" t="s">
        <v>34</v>
      </c>
      <c r="T930" s="1" t="s">
        <v>103</v>
      </c>
      <c r="U930" s="1" t="s">
        <v>103</v>
      </c>
      <c r="V930" s="1" t="s">
        <v>57</v>
      </c>
      <c r="W930" s="1">
        <v>9</v>
      </c>
      <c r="X930" s="1" t="s">
        <v>38</v>
      </c>
      <c r="Y930" s="1">
        <v>3</v>
      </c>
      <c r="Z930" s="1" t="s">
        <v>91</v>
      </c>
    </row>
    <row r="931" spans="1:26" x14ac:dyDescent="0.3">
      <c r="A931" s="1" t="s">
        <v>1599</v>
      </c>
      <c r="B931" s="2">
        <v>45955</v>
      </c>
      <c r="C931" s="1" t="s">
        <v>1600</v>
      </c>
      <c r="D931" s="1" t="s">
        <v>108</v>
      </c>
      <c r="E931" s="1" t="s">
        <v>43</v>
      </c>
      <c r="F931" s="1">
        <v>49</v>
      </c>
      <c r="G931" s="1" t="s">
        <v>139</v>
      </c>
      <c r="H931" s="1" t="s">
        <v>31</v>
      </c>
      <c r="I931" s="1" t="s">
        <v>139</v>
      </c>
      <c r="J931" s="1" t="s">
        <v>62</v>
      </c>
      <c r="K931" s="1">
        <v>3</v>
      </c>
      <c r="L931" s="1">
        <v>8963</v>
      </c>
      <c r="M931" s="1">
        <v>20</v>
      </c>
      <c r="N931" s="1">
        <v>5377.8</v>
      </c>
      <c r="O931" s="1">
        <v>3872.02</v>
      </c>
      <c r="P931" s="1">
        <v>168</v>
      </c>
      <c r="Q931" s="1">
        <v>25551.22</v>
      </c>
      <c r="R931" s="1" t="s">
        <v>45</v>
      </c>
      <c r="S931" s="1" t="s">
        <v>34</v>
      </c>
      <c r="T931" s="1" t="s">
        <v>103</v>
      </c>
      <c r="U931" s="1" t="s">
        <v>103</v>
      </c>
      <c r="V931" s="1" t="s">
        <v>57</v>
      </c>
      <c r="W931" s="1">
        <v>8</v>
      </c>
      <c r="X931" s="1" t="s">
        <v>47</v>
      </c>
      <c r="Y931" s="1">
        <v>1</v>
      </c>
      <c r="Z931" s="1" t="s">
        <v>91</v>
      </c>
    </row>
    <row r="932" spans="1:26" x14ac:dyDescent="0.3">
      <c r="A932" s="1" t="s">
        <v>1601</v>
      </c>
      <c r="B932" s="2">
        <v>45949</v>
      </c>
      <c r="C932" s="1" t="s">
        <v>858</v>
      </c>
      <c r="D932" s="1" t="s">
        <v>73</v>
      </c>
      <c r="E932" s="1" t="s">
        <v>43</v>
      </c>
      <c r="F932" s="1">
        <v>41</v>
      </c>
      <c r="G932" s="1" t="s">
        <v>74</v>
      </c>
      <c r="H932" s="1" t="s">
        <v>31</v>
      </c>
      <c r="I932" s="1" t="s">
        <v>74</v>
      </c>
      <c r="J932" s="1" t="s">
        <v>69</v>
      </c>
      <c r="K932" s="1">
        <v>5</v>
      </c>
      <c r="L932" s="1">
        <v>13929</v>
      </c>
      <c r="M932" s="1">
        <v>0</v>
      </c>
      <c r="N932" s="1">
        <v>0</v>
      </c>
      <c r="O932" s="1">
        <v>12536.1</v>
      </c>
      <c r="P932" s="1">
        <v>429</v>
      </c>
      <c r="Q932" s="1">
        <v>82610.100000000006</v>
      </c>
      <c r="R932" s="1" t="s">
        <v>83</v>
      </c>
      <c r="S932" s="1" t="s">
        <v>34</v>
      </c>
      <c r="T932" s="1" t="s">
        <v>35</v>
      </c>
      <c r="U932" s="1" t="s">
        <v>36</v>
      </c>
      <c r="V932" s="1" t="s">
        <v>37</v>
      </c>
      <c r="W932" s="1">
        <v>1</v>
      </c>
      <c r="X932" s="1" t="s">
        <v>38</v>
      </c>
      <c r="Y932" s="1">
        <v>2</v>
      </c>
      <c r="Z932" s="1" t="s">
        <v>39</v>
      </c>
    </row>
    <row r="933" spans="1:26" x14ac:dyDescent="0.3">
      <c r="A933" s="1" t="s">
        <v>1602</v>
      </c>
      <c r="B933" s="2">
        <v>46092</v>
      </c>
      <c r="C933" s="1" t="s">
        <v>1431</v>
      </c>
      <c r="D933" s="1" t="s">
        <v>28</v>
      </c>
      <c r="E933" s="1" t="s">
        <v>43</v>
      </c>
      <c r="F933" s="1">
        <v>20</v>
      </c>
      <c r="G933" s="1" t="s">
        <v>94</v>
      </c>
      <c r="H933" s="1" t="s">
        <v>31</v>
      </c>
      <c r="I933" s="1" t="s">
        <v>94</v>
      </c>
      <c r="J933" s="1" t="s">
        <v>75</v>
      </c>
      <c r="K933" s="1">
        <v>3</v>
      </c>
      <c r="L933" s="1">
        <v>5257</v>
      </c>
      <c r="M933" s="1">
        <v>0</v>
      </c>
      <c r="N933" s="1">
        <v>0</v>
      </c>
      <c r="O933" s="1">
        <v>2838.78</v>
      </c>
      <c r="P933" s="1">
        <v>305</v>
      </c>
      <c r="Q933" s="1">
        <v>18914.78</v>
      </c>
      <c r="R933" s="1" t="s">
        <v>45</v>
      </c>
      <c r="S933" s="1" t="s">
        <v>63</v>
      </c>
      <c r="T933" s="1" t="s">
        <v>46</v>
      </c>
      <c r="U933" s="1" t="s">
        <v>36</v>
      </c>
      <c r="V933" s="1" t="s">
        <v>37</v>
      </c>
      <c r="W933" s="1">
        <v>8</v>
      </c>
      <c r="X933" s="1" t="s">
        <v>47</v>
      </c>
      <c r="Y933" s="1">
        <v>1</v>
      </c>
      <c r="Z933" s="1" t="s">
        <v>58</v>
      </c>
    </row>
    <row r="934" spans="1:26" x14ac:dyDescent="0.3">
      <c r="A934" s="1" t="s">
        <v>1603</v>
      </c>
      <c r="B934" s="2">
        <v>45994</v>
      </c>
      <c r="C934" s="1" t="s">
        <v>1453</v>
      </c>
      <c r="D934" s="1" t="s">
        <v>42</v>
      </c>
      <c r="E934" s="1" t="s">
        <v>29</v>
      </c>
      <c r="F934" s="1">
        <v>34</v>
      </c>
      <c r="G934" s="1" t="s">
        <v>67</v>
      </c>
      <c r="H934" s="1" t="s">
        <v>68</v>
      </c>
      <c r="I934" s="1" t="s">
        <v>67</v>
      </c>
      <c r="J934" s="1" t="s">
        <v>75</v>
      </c>
      <c r="K934" s="1">
        <v>5</v>
      </c>
      <c r="L934" s="1">
        <v>38726</v>
      </c>
      <c r="M934" s="1">
        <v>10</v>
      </c>
      <c r="N934" s="1">
        <v>19363</v>
      </c>
      <c r="O934" s="1">
        <v>31368.06</v>
      </c>
      <c r="P934" s="1">
        <v>69</v>
      </c>
      <c r="Q934" s="1">
        <v>205704.06</v>
      </c>
      <c r="R934" s="1" t="s">
        <v>45</v>
      </c>
      <c r="S934" s="1" t="s">
        <v>34</v>
      </c>
      <c r="T934" s="1" t="s">
        <v>84</v>
      </c>
      <c r="U934" s="1" t="s">
        <v>85</v>
      </c>
      <c r="V934" s="1" t="s">
        <v>86</v>
      </c>
      <c r="W934" s="1">
        <v>5</v>
      </c>
      <c r="X934" s="1" t="s">
        <v>38</v>
      </c>
      <c r="Y934" s="1">
        <v>3</v>
      </c>
      <c r="Z934" s="1" t="s">
        <v>91</v>
      </c>
    </row>
    <row r="935" spans="1:26" x14ac:dyDescent="0.3">
      <c r="A935" s="1" t="s">
        <v>1604</v>
      </c>
      <c r="B935" s="2">
        <v>45782</v>
      </c>
      <c r="C935" s="1" t="s">
        <v>1234</v>
      </c>
      <c r="D935" s="1" t="s">
        <v>28</v>
      </c>
      <c r="E935" s="1" t="s">
        <v>29</v>
      </c>
      <c r="F935" s="1">
        <v>37</v>
      </c>
      <c r="G935" s="1" t="s">
        <v>139</v>
      </c>
      <c r="H935" s="1" t="s">
        <v>31</v>
      </c>
      <c r="I935" s="1" t="s">
        <v>139</v>
      </c>
      <c r="J935" s="1" t="s">
        <v>69</v>
      </c>
      <c r="K935" s="1">
        <v>3</v>
      </c>
      <c r="L935" s="1">
        <v>36827</v>
      </c>
      <c r="M935" s="1">
        <v>20</v>
      </c>
      <c r="N935" s="1">
        <v>22096.2</v>
      </c>
      <c r="O935" s="1">
        <v>15909.26</v>
      </c>
      <c r="P935" s="1">
        <v>406</v>
      </c>
      <c r="Q935" s="1">
        <v>104700.06</v>
      </c>
      <c r="R935" s="1" t="s">
        <v>83</v>
      </c>
      <c r="S935" s="1" t="s">
        <v>63</v>
      </c>
      <c r="T935" s="1" t="s">
        <v>76</v>
      </c>
      <c r="U935" s="1" t="s">
        <v>77</v>
      </c>
      <c r="V935" s="1" t="s">
        <v>57</v>
      </c>
      <c r="W935" s="1">
        <v>2</v>
      </c>
      <c r="X935" s="1" t="s">
        <v>38</v>
      </c>
      <c r="Y935" s="1">
        <v>1</v>
      </c>
      <c r="Z935" s="1" t="s">
        <v>58</v>
      </c>
    </row>
    <row r="936" spans="1:26" x14ac:dyDescent="0.3">
      <c r="A936" s="1" t="s">
        <v>1605</v>
      </c>
      <c r="B936" s="2">
        <v>46095</v>
      </c>
      <c r="C936" s="1" t="s">
        <v>1267</v>
      </c>
      <c r="D936" s="1" t="s">
        <v>42</v>
      </c>
      <c r="E936" s="1" t="s">
        <v>43</v>
      </c>
      <c r="F936" s="1">
        <v>41</v>
      </c>
      <c r="G936" s="1" t="s">
        <v>74</v>
      </c>
      <c r="H936" s="1" t="s">
        <v>31</v>
      </c>
      <c r="I936" s="1" t="s">
        <v>74</v>
      </c>
      <c r="J936" s="1" t="s">
        <v>75</v>
      </c>
      <c r="K936" s="1">
        <v>5</v>
      </c>
      <c r="L936" s="1">
        <v>41450</v>
      </c>
      <c r="M936" s="1">
        <v>15</v>
      </c>
      <c r="N936" s="1">
        <v>31087.5</v>
      </c>
      <c r="O936" s="1">
        <v>31709.25</v>
      </c>
      <c r="P936" s="1">
        <v>432</v>
      </c>
      <c r="Q936" s="1">
        <v>208303.75</v>
      </c>
      <c r="R936" s="1" t="s">
        <v>83</v>
      </c>
      <c r="S936" s="1" t="s">
        <v>63</v>
      </c>
      <c r="T936" s="1" t="s">
        <v>95</v>
      </c>
      <c r="U936" s="1" t="s">
        <v>96</v>
      </c>
      <c r="V936" s="1" t="s">
        <v>57</v>
      </c>
      <c r="W936" s="1">
        <v>10</v>
      </c>
      <c r="X936" s="1" t="s">
        <v>47</v>
      </c>
      <c r="Y936" s="1">
        <v>3</v>
      </c>
      <c r="Z936" s="1" t="s">
        <v>91</v>
      </c>
    </row>
    <row r="937" spans="1:26" x14ac:dyDescent="0.3">
      <c r="A937" s="1" t="s">
        <v>1606</v>
      </c>
      <c r="B937" s="2">
        <v>45950</v>
      </c>
      <c r="C937" s="1" t="s">
        <v>1607</v>
      </c>
      <c r="D937" s="1" t="s">
        <v>108</v>
      </c>
      <c r="E937" s="1" t="s">
        <v>29</v>
      </c>
      <c r="F937" s="1">
        <v>49</v>
      </c>
      <c r="G937" s="1" t="s">
        <v>99</v>
      </c>
      <c r="H937" s="1" t="s">
        <v>52</v>
      </c>
      <c r="I937" s="1" t="s">
        <v>99</v>
      </c>
      <c r="J937" s="1" t="s">
        <v>53</v>
      </c>
      <c r="K937" s="1">
        <v>4</v>
      </c>
      <c r="L937" s="1">
        <v>26576</v>
      </c>
      <c r="M937" s="1">
        <v>5</v>
      </c>
      <c r="N937" s="1">
        <v>5315.2</v>
      </c>
      <c r="O937" s="1">
        <v>18177.98</v>
      </c>
      <c r="P937" s="1">
        <v>152</v>
      </c>
      <c r="Q937" s="1">
        <v>119318.78</v>
      </c>
      <c r="R937" s="1" t="s">
        <v>45</v>
      </c>
      <c r="S937" s="1" t="s">
        <v>63</v>
      </c>
      <c r="T937" s="1" t="s">
        <v>103</v>
      </c>
      <c r="U937" s="1" t="s">
        <v>103</v>
      </c>
      <c r="V937" s="1" t="s">
        <v>57</v>
      </c>
      <c r="W937" s="1">
        <v>9</v>
      </c>
      <c r="X937" s="1" t="s">
        <v>47</v>
      </c>
      <c r="Y937" s="1">
        <v>4</v>
      </c>
      <c r="Z937" s="1" t="s">
        <v>91</v>
      </c>
    </row>
    <row r="938" spans="1:26" x14ac:dyDescent="0.3">
      <c r="A938" s="1" t="s">
        <v>1608</v>
      </c>
      <c r="B938" s="2">
        <v>45800</v>
      </c>
      <c r="C938" s="1" t="s">
        <v>1110</v>
      </c>
      <c r="D938" s="1" t="s">
        <v>50</v>
      </c>
      <c r="E938" s="1" t="s">
        <v>43</v>
      </c>
      <c r="F938" s="1">
        <v>29</v>
      </c>
      <c r="G938" s="1" t="s">
        <v>30</v>
      </c>
      <c r="H938" s="1" t="s">
        <v>31</v>
      </c>
      <c r="I938" s="1" t="s">
        <v>30</v>
      </c>
      <c r="J938" s="1" t="s">
        <v>102</v>
      </c>
      <c r="K938" s="1">
        <v>1</v>
      </c>
      <c r="L938" s="1">
        <v>24845</v>
      </c>
      <c r="M938" s="1">
        <v>5</v>
      </c>
      <c r="N938" s="1">
        <v>1242.25</v>
      </c>
      <c r="O938" s="1">
        <v>4248.49</v>
      </c>
      <c r="P938" s="1">
        <v>17</v>
      </c>
      <c r="Q938" s="1">
        <v>27868.240000000002</v>
      </c>
      <c r="R938" s="1" t="s">
        <v>45</v>
      </c>
      <c r="S938" s="1" t="s">
        <v>34</v>
      </c>
      <c r="T938" s="1" t="s">
        <v>35</v>
      </c>
      <c r="U938" s="1" t="s">
        <v>36</v>
      </c>
      <c r="V938" s="1" t="s">
        <v>37</v>
      </c>
      <c r="W938" s="1">
        <v>9</v>
      </c>
      <c r="X938" s="1" t="s">
        <v>47</v>
      </c>
      <c r="Y938" s="1">
        <v>4</v>
      </c>
      <c r="Z938" s="1" t="s">
        <v>39</v>
      </c>
    </row>
    <row r="939" spans="1:26" x14ac:dyDescent="0.3">
      <c r="A939" s="1" t="s">
        <v>1609</v>
      </c>
      <c r="B939" s="2">
        <v>46115</v>
      </c>
      <c r="C939" s="1" t="s">
        <v>375</v>
      </c>
      <c r="D939" s="1" t="s">
        <v>111</v>
      </c>
      <c r="E939" s="1" t="s">
        <v>43</v>
      </c>
      <c r="F939" s="1">
        <v>55</v>
      </c>
      <c r="G939" s="1" t="s">
        <v>30</v>
      </c>
      <c r="H939" s="1" t="s">
        <v>31</v>
      </c>
      <c r="I939" s="1" t="s">
        <v>30</v>
      </c>
      <c r="J939" s="1" t="s">
        <v>53</v>
      </c>
      <c r="K939" s="1">
        <v>2</v>
      </c>
      <c r="L939" s="1">
        <v>49886</v>
      </c>
      <c r="M939" s="1">
        <v>15</v>
      </c>
      <c r="N939" s="1">
        <v>14965.8</v>
      </c>
      <c r="O939" s="1">
        <v>15265.12</v>
      </c>
      <c r="P939" s="1">
        <v>266</v>
      </c>
      <c r="Q939" s="1">
        <v>100337.32</v>
      </c>
      <c r="R939" s="1" t="s">
        <v>54</v>
      </c>
      <c r="S939" s="1" t="s">
        <v>34</v>
      </c>
      <c r="T939" s="1" t="s">
        <v>55</v>
      </c>
      <c r="U939" s="1" t="s">
        <v>56</v>
      </c>
      <c r="V939" s="1" t="s">
        <v>57</v>
      </c>
      <c r="W939" s="1">
        <v>1</v>
      </c>
      <c r="X939" s="1" t="s">
        <v>38</v>
      </c>
      <c r="Y939" s="1">
        <v>5</v>
      </c>
      <c r="Z939" s="1" t="s">
        <v>91</v>
      </c>
    </row>
    <row r="940" spans="1:26" x14ac:dyDescent="0.3">
      <c r="A940" s="1" t="s">
        <v>1610</v>
      </c>
      <c r="B940" s="2">
        <v>45946</v>
      </c>
      <c r="C940" s="1" t="s">
        <v>299</v>
      </c>
      <c r="D940" s="1" t="s">
        <v>108</v>
      </c>
      <c r="E940" s="1" t="s">
        <v>29</v>
      </c>
      <c r="F940" s="1">
        <v>52</v>
      </c>
      <c r="G940" s="1" t="s">
        <v>94</v>
      </c>
      <c r="H940" s="1" t="s">
        <v>31</v>
      </c>
      <c r="I940" s="1" t="s">
        <v>94</v>
      </c>
      <c r="J940" s="1" t="s">
        <v>32</v>
      </c>
      <c r="K940" s="1">
        <v>5</v>
      </c>
      <c r="L940" s="1">
        <v>31838</v>
      </c>
      <c r="M940" s="1">
        <v>15</v>
      </c>
      <c r="N940" s="1">
        <v>23878.5</v>
      </c>
      <c r="O940" s="1">
        <v>24356.07</v>
      </c>
      <c r="P940" s="1">
        <v>154</v>
      </c>
      <c r="Q940" s="1">
        <v>159821.57</v>
      </c>
      <c r="R940" s="1" t="s">
        <v>33</v>
      </c>
      <c r="S940" s="1" t="s">
        <v>34</v>
      </c>
      <c r="T940" s="1" t="s">
        <v>76</v>
      </c>
      <c r="U940" s="1" t="s">
        <v>77</v>
      </c>
      <c r="V940" s="1" t="s">
        <v>57</v>
      </c>
      <c r="W940" s="1">
        <v>4</v>
      </c>
      <c r="X940" s="1" t="s">
        <v>38</v>
      </c>
      <c r="Y940" s="1">
        <v>1</v>
      </c>
      <c r="Z940" s="1" t="s">
        <v>91</v>
      </c>
    </row>
    <row r="941" spans="1:26" x14ac:dyDescent="0.3">
      <c r="A941" s="1" t="s">
        <v>1611</v>
      </c>
      <c r="B941" s="2">
        <v>45829</v>
      </c>
      <c r="C941" s="1" t="s">
        <v>1612</v>
      </c>
      <c r="D941" s="1" t="s">
        <v>111</v>
      </c>
      <c r="E941" s="1" t="s">
        <v>29</v>
      </c>
      <c r="F941" s="1">
        <v>43</v>
      </c>
      <c r="G941" s="1" t="s">
        <v>51</v>
      </c>
      <c r="H941" s="1" t="s">
        <v>52</v>
      </c>
      <c r="I941" s="1" t="s">
        <v>51</v>
      </c>
      <c r="J941" s="1" t="s">
        <v>201</v>
      </c>
      <c r="K941" s="1">
        <v>5</v>
      </c>
      <c r="L941" s="1">
        <v>41624</v>
      </c>
      <c r="M941" s="1">
        <v>5</v>
      </c>
      <c r="N941" s="1">
        <v>10406</v>
      </c>
      <c r="O941" s="1">
        <v>35588.519999999997</v>
      </c>
      <c r="P941" s="1">
        <v>290</v>
      </c>
      <c r="Q941" s="1">
        <v>233592.52</v>
      </c>
      <c r="R941" s="1" t="s">
        <v>33</v>
      </c>
      <c r="S941" s="1" t="s">
        <v>34</v>
      </c>
      <c r="T941" s="1" t="s">
        <v>84</v>
      </c>
      <c r="U941" s="1" t="s">
        <v>85</v>
      </c>
      <c r="V941" s="1" t="s">
        <v>86</v>
      </c>
      <c r="W941" s="1">
        <v>3</v>
      </c>
      <c r="X941" s="1" t="s">
        <v>38</v>
      </c>
      <c r="Y941" s="1">
        <v>2</v>
      </c>
      <c r="Z941" s="1" t="s">
        <v>91</v>
      </c>
    </row>
    <row r="942" spans="1:26" x14ac:dyDescent="0.3">
      <c r="A942" s="1" t="s">
        <v>1613</v>
      </c>
      <c r="B942" s="2">
        <v>45943</v>
      </c>
      <c r="C942" s="1" t="s">
        <v>1614</v>
      </c>
      <c r="D942" s="1" t="s">
        <v>89</v>
      </c>
      <c r="E942" s="1" t="s">
        <v>29</v>
      </c>
      <c r="F942" s="1">
        <v>40</v>
      </c>
      <c r="G942" s="1" t="s">
        <v>51</v>
      </c>
      <c r="H942" s="1" t="s">
        <v>52</v>
      </c>
      <c r="I942" s="1" t="s">
        <v>51</v>
      </c>
      <c r="J942" s="1" t="s">
        <v>201</v>
      </c>
      <c r="K942" s="1">
        <v>5</v>
      </c>
      <c r="L942" s="1">
        <v>7734</v>
      </c>
      <c r="M942" s="1">
        <v>0</v>
      </c>
      <c r="N942" s="1">
        <v>0</v>
      </c>
      <c r="O942" s="1">
        <v>6960.6</v>
      </c>
      <c r="P942" s="1">
        <v>264</v>
      </c>
      <c r="Q942" s="1">
        <v>45894.6</v>
      </c>
      <c r="R942" s="1" t="s">
        <v>54</v>
      </c>
      <c r="S942" s="1" t="s">
        <v>63</v>
      </c>
      <c r="T942" s="1" t="s">
        <v>35</v>
      </c>
      <c r="U942" s="1" t="s">
        <v>36</v>
      </c>
      <c r="V942" s="1" t="s">
        <v>37</v>
      </c>
      <c r="W942" s="1">
        <v>5</v>
      </c>
      <c r="X942" s="1" t="s">
        <v>38</v>
      </c>
      <c r="Y942" s="1">
        <v>5</v>
      </c>
      <c r="Z942" s="1" t="s">
        <v>39</v>
      </c>
    </row>
    <row r="943" spans="1:26" x14ac:dyDescent="0.3">
      <c r="A943" s="1" t="s">
        <v>1615</v>
      </c>
      <c r="B943" s="2">
        <v>46001</v>
      </c>
      <c r="C943" s="1" t="s">
        <v>268</v>
      </c>
      <c r="D943" s="1" t="s">
        <v>61</v>
      </c>
      <c r="E943" s="1" t="s">
        <v>29</v>
      </c>
      <c r="F943" s="1">
        <v>46</v>
      </c>
      <c r="G943" s="1" t="s">
        <v>67</v>
      </c>
      <c r="H943" s="1" t="s">
        <v>68</v>
      </c>
      <c r="I943" s="1" t="s">
        <v>67</v>
      </c>
      <c r="J943" s="1" t="s">
        <v>201</v>
      </c>
      <c r="K943" s="1">
        <v>1</v>
      </c>
      <c r="L943" s="1">
        <v>13846</v>
      </c>
      <c r="M943" s="1">
        <v>5</v>
      </c>
      <c r="N943" s="1">
        <v>692.3</v>
      </c>
      <c r="O943" s="1">
        <v>2367.67</v>
      </c>
      <c r="P943" s="1">
        <v>300</v>
      </c>
      <c r="Q943" s="1">
        <v>15821.37</v>
      </c>
      <c r="R943" s="1" t="s">
        <v>54</v>
      </c>
      <c r="S943" s="1" t="s">
        <v>63</v>
      </c>
      <c r="T943" s="1" t="s">
        <v>55</v>
      </c>
      <c r="U943" s="1" t="s">
        <v>56</v>
      </c>
      <c r="V943" s="1" t="s">
        <v>57</v>
      </c>
      <c r="W943" s="1">
        <v>6</v>
      </c>
      <c r="X943" s="1" t="s">
        <v>47</v>
      </c>
      <c r="Y943" s="1">
        <v>5</v>
      </c>
      <c r="Z943" s="1" t="s">
        <v>58</v>
      </c>
    </row>
    <row r="944" spans="1:26" x14ac:dyDescent="0.3">
      <c r="A944" s="1" t="s">
        <v>1616</v>
      </c>
      <c r="B944" s="2">
        <v>46073</v>
      </c>
      <c r="C944" s="1" t="s">
        <v>713</v>
      </c>
      <c r="D944" s="1" t="s">
        <v>42</v>
      </c>
      <c r="E944" s="1" t="s">
        <v>43</v>
      </c>
      <c r="F944" s="1">
        <v>51</v>
      </c>
      <c r="G944" s="1" t="s">
        <v>67</v>
      </c>
      <c r="H944" s="1" t="s">
        <v>68</v>
      </c>
      <c r="I944" s="1" t="s">
        <v>67</v>
      </c>
      <c r="J944" s="1" t="s">
        <v>201</v>
      </c>
      <c r="K944" s="1">
        <v>3</v>
      </c>
      <c r="L944" s="1">
        <v>7577</v>
      </c>
      <c r="M944" s="1">
        <v>10</v>
      </c>
      <c r="N944" s="1">
        <v>2273.1</v>
      </c>
      <c r="O944" s="1">
        <v>3682.42</v>
      </c>
      <c r="P944" s="1">
        <v>242</v>
      </c>
      <c r="Q944" s="1">
        <v>24382.32</v>
      </c>
      <c r="R944" s="1" t="s">
        <v>33</v>
      </c>
      <c r="S944" s="1" t="s">
        <v>34</v>
      </c>
      <c r="T944" s="1" t="s">
        <v>70</v>
      </c>
      <c r="U944" s="1" t="s">
        <v>56</v>
      </c>
      <c r="V944" s="1" t="s">
        <v>57</v>
      </c>
      <c r="W944" s="1">
        <v>1</v>
      </c>
      <c r="X944" s="1" t="s">
        <v>38</v>
      </c>
      <c r="Y944" s="1">
        <v>2</v>
      </c>
      <c r="Z944" s="1" t="s">
        <v>47</v>
      </c>
    </row>
    <row r="945" spans="1:26" x14ac:dyDescent="0.3">
      <c r="A945" s="1" t="s">
        <v>1617</v>
      </c>
      <c r="B945" s="2">
        <v>46119</v>
      </c>
      <c r="C945" s="1" t="s">
        <v>1618</v>
      </c>
      <c r="D945" s="1" t="s">
        <v>61</v>
      </c>
      <c r="E945" s="1" t="s">
        <v>29</v>
      </c>
      <c r="F945" s="1">
        <v>20</v>
      </c>
      <c r="G945" s="1" t="s">
        <v>44</v>
      </c>
      <c r="H945" s="1" t="s">
        <v>31</v>
      </c>
      <c r="I945" s="1" t="s">
        <v>44</v>
      </c>
      <c r="J945" s="1" t="s">
        <v>53</v>
      </c>
      <c r="K945" s="1">
        <v>5</v>
      </c>
      <c r="L945" s="1">
        <v>32146</v>
      </c>
      <c r="M945" s="1">
        <v>10</v>
      </c>
      <c r="N945" s="1">
        <v>16073</v>
      </c>
      <c r="O945" s="1">
        <v>26038.26</v>
      </c>
      <c r="P945" s="1">
        <v>38</v>
      </c>
      <c r="Q945" s="1">
        <v>170733.26</v>
      </c>
      <c r="R945" s="1" t="s">
        <v>33</v>
      </c>
      <c r="S945" s="1" t="s">
        <v>63</v>
      </c>
      <c r="T945" s="1" t="s">
        <v>70</v>
      </c>
      <c r="U945" s="1" t="s">
        <v>56</v>
      </c>
      <c r="V945" s="1" t="s">
        <v>57</v>
      </c>
      <c r="W945" s="1">
        <v>3</v>
      </c>
      <c r="X945" s="1" t="s">
        <v>47</v>
      </c>
      <c r="Y945" s="1">
        <v>1</v>
      </c>
      <c r="Z945" s="1" t="s">
        <v>47</v>
      </c>
    </row>
    <row r="946" spans="1:26" x14ac:dyDescent="0.3">
      <c r="A946" s="1" t="s">
        <v>1619</v>
      </c>
      <c r="B946" s="2">
        <v>45976</v>
      </c>
      <c r="C946" s="1" t="s">
        <v>1187</v>
      </c>
      <c r="D946" s="1" t="s">
        <v>61</v>
      </c>
      <c r="E946" s="1" t="s">
        <v>29</v>
      </c>
      <c r="F946" s="1">
        <v>37</v>
      </c>
      <c r="G946" s="1" t="s">
        <v>134</v>
      </c>
      <c r="H946" s="1" t="s">
        <v>31</v>
      </c>
      <c r="I946" s="1" t="s">
        <v>134</v>
      </c>
      <c r="J946" s="1" t="s">
        <v>32</v>
      </c>
      <c r="K946" s="1">
        <v>2</v>
      </c>
      <c r="L946" s="1">
        <v>36331</v>
      </c>
      <c r="M946" s="1">
        <v>15</v>
      </c>
      <c r="N946" s="1">
        <v>10899.3</v>
      </c>
      <c r="O946" s="1">
        <v>11117.29</v>
      </c>
      <c r="P946" s="1">
        <v>386</v>
      </c>
      <c r="Q946" s="1">
        <v>73265.990000000005</v>
      </c>
      <c r="R946" s="1" t="s">
        <v>45</v>
      </c>
      <c r="S946" s="1" t="s">
        <v>34</v>
      </c>
      <c r="T946" s="1" t="s">
        <v>35</v>
      </c>
      <c r="U946" s="1" t="s">
        <v>36</v>
      </c>
      <c r="V946" s="1" t="s">
        <v>37</v>
      </c>
      <c r="W946" s="1">
        <v>3</v>
      </c>
      <c r="X946" s="1" t="s">
        <v>47</v>
      </c>
      <c r="Y946" s="1">
        <v>5</v>
      </c>
      <c r="Z946" s="1" t="s">
        <v>91</v>
      </c>
    </row>
    <row r="947" spans="1:26" x14ac:dyDescent="0.3">
      <c r="A947" s="1" t="s">
        <v>1620</v>
      </c>
      <c r="B947" s="2">
        <v>45970</v>
      </c>
      <c r="C947" s="1" t="s">
        <v>1621</v>
      </c>
      <c r="D947" s="1" t="s">
        <v>61</v>
      </c>
      <c r="E947" s="1" t="s">
        <v>43</v>
      </c>
      <c r="F947" s="1">
        <v>54</v>
      </c>
      <c r="G947" s="1" t="s">
        <v>67</v>
      </c>
      <c r="H947" s="1" t="s">
        <v>68</v>
      </c>
      <c r="I947" s="1" t="s">
        <v>67</v>
      </c>
      <c r="J947" s="1" t="s">
        <v>62</v>
      </c>
      <c r="K947" s="1">
        <v>3</v>
      </c>
      <c r="L947" s="1">
        <v>30863</v>
      </c>
      <c r="M947" s="1">
        <v>0</v>
      </c>
      <c r="N947" s="1">
        <v>0</v>
      </c>
      <c r="O947" s="1">
        <v>16666.02</v>
      </c>
      <c r="P947" s="1">
        <v>493</v>
      </c>
      <c r="Q947" s="1">
        <v>109748.02</v>
      </c>
      <c r="R947" s="1" t="s">
        <v>83</v>
      </c>
      <c r="S947" s="1" t="s">
        <v>63</v>
      </c>
      <c r="T947" s="1" t="s">
        <v>70</v>
      </c>
      <c r="U947" s="1" t="s">
        <v>56</v>
      </c>
      <c r="V947" s="1" t="s">
        <v>57</v>
      </c>
      <c r="W947" s="1">
        <v>10</v>
      </c>
      <c r="X947" s="1" t="s">
        <v>38</v>
      </c>
      <c r="Y947" s="1">
        <v>3</v>
      </c>
      <c r="Z947" s="1" t="s">
        <v>58</v>
      </c>
    </row>
    <row r="948" spans="1:26" x14ac:dyDescent="0.3">
      <c r="A948" s="1" t="s">
        <v>1622</v>
      </c>
      <c r="B948" s="2">
        <v>46095</v>
      </c>
      <c r="C948" s="1" t="s">
        <v>1265</v>
      </c>
      <c r="D948" s="1" t="s">
        <v>42</v>
      </c>
      <c r="E948" s="1" t="s">
        <v>43</v>
      </c>
      <c r="F948" s="1">
        <v>18</v>
      </c>
      <c r="G948" s="1" t="s">
        <v>134</v>
      </c>
      <c r="H948" s="1" t="s">
        <v>31</v>
      </c>
      <c r="I948" s="1" t="s">
        <v>134</v>
      </c>
      <c r="J948" s="1" t="s">
        <v>69</v>
      </c>
      <c r="K948" s="1">
        <v>1</v>
      </c>
      <c r="L948" s="1">
        <v>14652</v>
      </c>
      <c r="M948" s="1">
        <v>0</v>
      </c>
      <c r="N948" s="1">
        <v>0</v>
      </c>
      <c r="O948" s="1">
        <v>2637.36</v>
      </c>
      <c r="P948" s="1">
        <v>24</v>
      </c>
      <c r="Q948" s="1">
        <v>17313.36</v>
      </c>
      <c r="R948" s="1" t="s">
        <v>83</v>
      </c>
      <c r="S948" s="1" t="s">
        <v>63</v>
      </c>
      <c r="T948" s="1" t="s">
        <v>55</v>
      </c>
      <c r="U948" s="1" t="s">
        <v>56</v>
      </c>
      <c r="V948" s="1" t="s">
        <v>57</v>
      </c>
      <c r="W948" s="1">
        <v>4</v>
      </c>
      <c r="X948" s="1" t="s">
        <v>38</v>
      </c>
      <c r="Y948" s="1">
        <v>4</v>
      </c>
      <c r="Z948" s="1" t="s">
        <v>47</v>
      </c>
    </row>
    <row r="949" spans="1:26" x14ac:dyDescent="0.3">
      <c r="A949" s="1" t="s">
        <v>1623</v>
      </c>
      <c r="B949" s="2">
        <v>46118</v>
      </c>
      <c r="C949" s="1" t="s">
        <v>740</v>
      </c>
      <c r="D949" s="1" t="s">
        <v>80</v>
      </c>
      <c r="E949" s="1" t="s">
        <v>43</v>
      </c>
      <c r="F949" s="1">
        <v>21</v>
      </c>
      <c r="G949" s="1" t="s">
        <v>30</v>
      </c>
      <c r="H949" s="1" t="s">
        <v>31</v>
      </c>
      <c r="I949" s="1" t="s">
        <v>30</v>
      </c>
      <c r="J949" s="1" t="s">
        <v>201</v>
      </c>
      <c r="K949" s="1">
        <v>5</v>
      </c>
      <c r="L949" s="1">
        <v>1032</v>
      </c>
      <c r="M949" s="1">
        <v>10</v>
      </c>
      <c r="N949" s="1">
        <v>516</v>
      </c>
      <c r="O949" s="1">
        <v>835.92</v>
      </c>
      <c r="P949" s="1">
        <v>234</v>
      </c>
      <c r="Q949" s="1">
        <v>5713.92</v>
      </c>
      <c r="R949" s="1" t="s">
        <v>83</v>
      </c>
      <c r="S949" s="1" t="s">
        <v>34</v>
      </c>
      <c r="T949" s="1" t="s">
        <v>35</v>
      </c>
      <c r="U949" s="1" t="s">
        <v>36</v>
      </c>
      <c r="V949" s="1" t="s">
        <v>37</v>
      </c>
      <c r="W949" s="1">
        <v>4</v>
      </c>
      <c r="X949" s="1" t="s">
        <v>38</v>
      </c>
      <c r="Y949" s="1">
        <v>3</v>
      </c>
      <c r="Z949" s="1" t="s">
        <v>39</v>
      </c>
    </row>
    <row r="950" spans="1:26" x14ac:dyDescent="0.3">
      <c r="A950" s="1" t="s">
        <v>1624</v>
      </c>
      <c r="B950" s="2">
        <v>45766</v>
      </c>
      <c r="C950" s="1" t="s">
        <v>1625</v>
      </c>
      <c r="D950" s="1" t="s">
        <v>89</v>
      </c>
      <c r="E950" s="1" t="s">
        <v>29</v>
      </c>
      <c r="F950" s="1">
        <v>42</v>
      </c>
      <c r="G950" s="1" t="s">
        <v>90</v>
      </c>
      <c r="H950" s="1" t="s">
        <v>31</v>
      </c>
      <c r="I950" s="1" t="s">
        <v>90</v>
      </c>
      <c r="J950" s="1" t="s">
        <v>62</v>
      </c>
      <c r="K950" s="1">
        <v>5</v>
      </c>
      <c r="L950" s="1">
        <v>4697</v>
      </c>
      <c r="M950" s="1">
        <v>0</v>
      </c>
      <c r="N950" s="1">
        <v>0</v>
      </c>
      <c r="O950" s="1">
        <v>4227.3</v>
      </c>
      <c r="P950" s="1">
        <v>377</v>
      </c>
      <c r="Q950" s="1">
        <v>28089.3</v>
      </c>
      <c r="R950" s="1" t="s">
        <v>83</v>
      </c>
      <c r="S950" s="1" t="s">
        <v>63</v>
      </c>
      <c r="T950" s="1" t="s">
        <v>46</v>
      </c>
      <c r="U950" s="1" t="s">
        <v>36</v>
      </c>
      <c r="V950" s="1" t="s">
        <v>37</v>
      </c>
      <c r="W950" s="1">
        <v>7</v>
      </c>
      <c r="X950" s="1" t="s">
        <v>38</v>
      </c>
      <c r="Y950" s="1">
        <v>3</v>
      </c>
      <c r="Z950" s="1" t="s">
        <v>39</v>
      </c>
    </row>
    <row r="951" spans="1:26" x14ac:dyDescent="0.3">
      <c r="A951" s="1" t="s">
        <v>1626</v>
      </c>
      <c r="B951" s="2">
        <v>46079</v>
      </c>
      <c r="C951" s="1" t="s">
        <v>1627</v>
      </c>
      <c r="D951" s="1" t="s">
        <v>73</v>
      </c>
      <c r="E951" s="1" t="s">
        <v>43</v>
      </c>
      <c r="F951" s="1">
        <v>44</v>
      </c>
      <c r="G951" s="1" t="s">
        <v>139</v>
      </c>
      <c r="H951" s="1" t="s">
        <v>31</v>
      </c>
      <c r="I951" s="1" t="s">
        <v>139</v>
      </c>
      <c r="J951" s="1" t="s">
        <v>75</v>
      </c>
      <c r="K951" s="1">
        <v>1</v>
      </c>
      <c r="L951" s="1">
        <v>5912</v>
      </c>
      <c r="M951" s="1">
        <v>10</v>
      </c>
      <c r="N951" s="1">
        <v>591.20000000000005</v>
      </c>
      <c r="O951" s="1">
        <v>957.74</v>
      </c>
      <c r="P951" s="1">
        <v>45</v>
      </c>
      <c r="Q951" s="1">
        <v>6323.54</v>
      </c>
      <c r="R951" s="1" t="s">
        <v>33</v>
      </c>
      <c r="S951" s="1" t="s">
        <v>34</v>
      </c>
      <c r="T951" s="1" t="s">
        <v>35</v>
      </c>
      <c r="U951" s="1" t="s">
        <v>36</v>
      </c>
      <c r="V951" s="1" t="s">
        <v>37</v>
      </c>
      <c r="W951" s="1">
        <v>2</v>
      </c>
      <c r="X951" s="1" t="s">
        <v>47</v>
      </c>
      <c r="Y951" s="1">
        <v>2</v>
      </c>
      <c r="Z951" s="1" t="s">
        <v>39</v>
      </c>
    </row>
    <row r="952" spans="1:26" x14ac:dyDescent="0.3">
      <c r="A952" s="1" t="s">
        <v>1628</v>
      </c>
      <c r="B952" s="2">
        <v>45973</v>
      </c>
      <c r="C952" s="1" t="s">
        <v>1629</v>
      </c>
      <c r="D952" s="1" t="s">
        <v>80</v>
      </c>
      <c r="E952" s="1" t="s">
        <v>29</v>
      </c>
      <c r="F952" s="1">
        <v>39</v>
      </c>
      <c r="G952" s="1" t="s">
        <v>51</v>
      </c>
      <c r="H952" s="1" t="s">
        <v>52</v>
      </c>
      <c r="I952" s="1" t="s">
        <v>51</v>
      </c>
      <c r="J952" s="1" t="s">
        <v>53</v>
      </c>
      <c r="K952" s="1">
        <v>2</v>
      </c>
      <c r="L952" s="1">
        <v>43132</v>
      </c>
      <c r="M952" s="1">
        <v>0</v>
      </c>
      <c r="N952" s="1">
        <v>0</v>
      </c>
      <c r="O952" s="1">
        <v>15527.52</v>
      </c>
      <c r="P952" s="1">
        <v>296</v>
      </c>
      <c r="Q952" s="1">
        <v>102087.52</v>
      </c>
      <c r="R952" s="1" t="s">
        <v>45</v>
      </c>
      <c r="S952" s="1" t="s">
        <v>34</v>
      </c>
      <c r="T952" s="1" t="s">
        <v>55</v>
      </c>
      <c r="U952" s="1" t="s">
        <v>56</v>
      </c>
      <c r="V952" s="1" t="s">
        <v>57</v>
      </c>
      <c r="W952" s="1">
        <v>7</v>
      </c>
      <c r="X952" s="1" t="s">
        <v>47</v>
      </c>
      <c r="Y952" s="1">
        <v>1</v>
      </c>
      <c r="Z952" s="1" t="s">
        <v>39</v>
      </c>
    </row>
    <row r="953" spans="1:26" x14ac:dyDescent="0.3">
      <c r="A953" s="1" t="s">
        <v>1630</v>
      </c>
      <c r="B953" s="2">
        <v>45772</v>
      </c>
      <c r="C953" s="1" t="s">
        <v>1097</v>
      </c>
      <c r="D953" s="1" t="s">
        <v>66</v>
      </c>
      <c r="E953" s="1" t="s">
        <v>43</v>
      </c>
      <c r="F953" s="1">
        <v>23</v>
      </c>
      <c r="G953" s="1" t="s">
        <v>139</v>
      </c>
      <c r="H953" s="1" t="s">
        <v>31</v>
      </c>
      <c r="I953" s="1" t="s">
        <v>139</v>
      </c>
      <c r="J953" s="1" t="s">
        <v>69</v>
      </c>
      <c r="K953" s="1">
        <v>1</v>
      </c>
      <c r="L953" s="1">
        <v>47653</v>
      </c>
      <c r="M953" s="1">
        <v>5</v>
      </c>
      <c r="N953" s="1">
        <v>2382.65</v>
      </c>
      <c r="O953" s="1">
        <v>8148.66</v>
      </c>
      <c r="P953" s="1">
        <v>319</v>
      </c>
      <c r="Q953" s="1">
        <v>53738.01</v>
      </c>
      <c r="R953" s="1" t="s">
        <v>33</v>
      </c>
      <c r="S953" s="1" t="s">
        <v>34</v>
      </c>
      <c r="T953" s="1" t="s">
        <v>84</v>
      </c>
      <c r="U953" s="1" t="s">
        <v>85</v>
      </c>
      <c r="V953" s="1" t="s">
        <v>86</v>
      </c>
      <c r="W953" s="1">
        <v>9</v>
      </c>
      <c r="X953" s="1" t="s">
        <v>47</v>
      </c>
      <c r="Y953" s="1">
        <v>3</v>
      </c>
      <c r="Z953" s="1" t="s">
        <v>39</v>
      </c>
    </row>
    <row r="954" spans="1:26" x14ac:dyDescent="0.3">
      <c r="A954" s="1" t="s">
        <v>1631</v>
      </c>
      <c r="B954" s="2">
        <v>46063</v>
      </c>
      <c r="C954" s="1" t="s">
        <v>1426</v>
      </c>
      <c r="D954" s="1" t="s">
        <v>108</v>
      </c>
      <c r="E954" s="1" t="s">
        <v>43</v>
      </c>
      <c r="F954" s="1">
        <v>49</v>
      </c>
      <c r="G954" s="1" t="s">
        <v>139</v>
      </c>
      <c r="H954" s="1" t="s">
        <v>31</v>
      </c>
      <c r="I954" s="1" t="s">
        <v>139</v>
      </c>
      <c r="J954" s="1" t="s">
        <v>75</v>
      </c>
      <c r="K954" s="1">
        <v>5</v>
      </c>
      <c r="L954" s="1">
        <v>34519</v>
      </c>
      <c r="M954" s="1">
        <v>10</v>
      </c>
      <c r="N954" s="1">
        <v>17259.5</v>
      </c>
      <c r="O954" s="1">
        <v>27960.39</v>
      </c>
      <c r="P954" s="1">
        <v>202</v>
      </c>
      <c r="Q954" s="1">
        <v>183497.89</v>
      </c>
      <c r="R954" s="1" t="s">
        <v>33</v>
      </c>
      <c r="S954" s="1" t="s">
        <v>34</v>
      </c>
      <c r="T954" s="1" t="s">
        <v>46</v>
      </c>
      <c r="U954" s="1" t="s">
        <v>36</v>
      </c>
      <c r="V954" s="1" t="s">
        <v>37</v>
      </c>
      <c r="W954" s="1">
        <v>4</v>
      </c>
      <c r="X954" s="1" t="s">
        <v>38</v>
      </c>
      <c r="Y954" s="1">
        <v>1</v>
      </c>
      <c r="Z954" s="1" t="s">
        <v>58</v>
      </c>
    </row>
    <row r="955" spans="1:26" x14ac:dyDescent="0.3">
      <c r="A955" s="1" t="s">
        <v>1632</v>
      </c>
      <c r="B955" s="2">
        <v>45971</v>
      </c>
      <c r="C955" s="1" t="s">
        <v>1633</v>
      </c>
      <c r="D955" s="1" t="s">
        <v>80</v>
      </c>
      <c r="E955" s="1" t="s">
        <v>29</v>
      </c>
      <c r="F955" s="1">
        <v>23</v>
      </c>
      <c r="G955" s="1" t="s">
        <v>99</v>
      </c>
      <c r="H955" s="1" t="s">
        <v>52</v>
      </c>
      <c r="I955" s="1" t="s">
        <v>99</v>
      </c>
      <c r="J955" s="1" t="s">
        <v>150</v>
      </c>
      <c r="K955" s="1">
        <v>3</v>
      </c>
      <c r="L955" s="1">
        <v>39182</v>
      </c>
      <c r="M955" s="1">
        <v>15</v>
      </c>
      <c r="N955" s="1">
        <v>17631.900000000001</v>
      </c>
      <c r="O955" s="1">
        <v>17984.54</v>
      </c>
      <c r="P955" s="1">
        <v>76</v>
      </c>
      <c r="Q955" s="1">
        <v>117974.64</v>
      </c>
      <c r="R955" s="1" t="s">
        <v>54</v>
      </c>
      <c r="S955" s="1" t="s">
        <v>34</v>
      </c>
      <c r="T955" s="1" t="s">
        <v>76</v>
      </c>
      <c r="U955" s="1" t="s">
        <v>77</v>
      </c>
      <c r="V955" s="1" t="s">
        <v>57</v>
      </c>
      <c r="W955" s="1">
        <v>6</v>
      </c>
      <c r="X955" s="1" t="s">
        <v>38</v>
      </c>
      <c r="Y955" s="1">
        <v>5</v>
      </c>
      <c r="Z955" s="1" t="s">
        <v>39</v>
      </c>
    </row>
    <row r="956" spans="1:26" x14ac:dyDescent="0.3">
      <c r="A956" s="1" t="s">
        <v>1634</v>
      </c>
      <c r="B956" s="2">
        <v>45793</v>
      </c>
      <c r="C956" s="1" t="s">
        <v>1001</v>
      </c>
      <c r="D956" s="1" t="s">
        <v>50</v>
      </c>
      <c r="E956" s="1" t="s">
        <v>29</v>
      </c>
      <c r="F956" s="1">
        <v>51</v>
      </c>
      <c r="G956" s="1" t="s">
        <v>139</v>
      </c>
      <c r="H956" s="1" t="s">
        <v>31</v>
      </c>
      <c r="I956" s="1" t="s">
        <v>139</v>
      </c>
      <c r="J956" s="1" t="s">
        <v>32</v>
      </c>
      <c r="K956" s="1">
        <v>4</v>
      </c>
      <c r="L956" s="1">
        <v>34291</v>
      </c>
      <c r="M956" s="1">
        <v>20</v>
      </c>
      <c r="N956" s="1">
        <v>27432.799999999999</v>
      </c>
      <c r="O956" s="1">
        <v>19751.62</v>
      </c>
      <c r="P956" s="1">
        <v>458</v>
      </c>
      <c r="Q956" s="1">
        <v>129940.82</v>
      </c>
      <c r="R956" s="1" t="s">
        <v>83</v>
      </c>
      <c r="S956" s="1" t="s">
        <v>63</v>
      </c>
      <c r="T956" s="1" t="s">
        <v>35</v>
      </c>
      <c r="U956" s="1" t="s">
        <v>36</v>
      </c>
      <c r="V956" s="1" t="s">
        <v>37</v>
      </c>
      <c r="W956" s="1">
        <v>7</v>
      </c>
      <c r="X956" s="1" t="s">
        <v>47</v>
      </c>
      <c r="Y956" s="1">
        <v>4</v>
      </c>
      <c r="Z956" s="1" t="s">
        <v>39</v>
      </c>
    </row>
    <row r="957" spans="1:26" x14ac:dyDescent="0.3">
      <c r="A957" s="1" t="s">
        <v>1635</v>
      </c>
      <c r="B957" s="2">
        <v>45790</v>
      </c>
      <c r="C957" s="1" t="s">
        <v>509</v>
      </c>
      <c r="D957" s="1" t="s">
        <v>61</v>
      </c>
      <c r="E957" s="1" t="s">
        <v>43</v>
      </c>
      <c r="F957" s="1">
        <v>44</v>
      </c>
      <c r="G957" s="1" t="s">
        <v>99</v>
      </c>
      <c r="H957" s="1" t="s">
        <v>52</v>
      </c>
      <c r="I957" s="1" t="s">
        <v>99</v>
      </c>
      <c r="J957" s="1" t="s">
        <v>62</v>
      </c>
      <c r="K957" s="1">
        <v>4</v>
      </c>
      <c r="L957" s="1">
        <v>30226</v>
      </c>
      <c r="M957" s="1">
        <v>0</v>
      </c>
      <c r="N957" s="1">
        <v>0</v>
      </c>
      <c r="O957" s="1">
        <v>21762.720000000001</v>
      </c>
      <c r="P957" s="1">
        <v>174</v>
      </c>
      <c r="Q957" s="1">
        <v>142840.72</v>
      </c>
      <c r="R957" s="1" t="s">
        <v>33</v>
      </c>
      <c r="S957" s="1" t="s">
        <v>63</v>
      </c>
      <c r="T957" s="1" t="s">
        <v>76</v>
      </c>
      <c r="U957" s="1" t="s">
        <v>77</v>
      </c>
      <c r="V957" s="1" t="s">
        <v>57</v>
      </c>
      <c r="W957" s="1">
        <v>7</v>
      </c>
      <c r="X957" s="1" t="s">
        <v>38</v>
      </c>
      <c r="Y957" s="1">
        <v>3</v>
      </c>
      <c r="Z957" s="1" t="s">
        <v>47</v>
      </c>
    </row>
    <row r="958" spans="1:26" x14ac:dyDescent="0.3">
      <c r="A958" s="1" t="s">
        <v>1636</v>
      </c>
      <c r="B958" s="2">
        <v>46091</v>
      </c>
      <c r="C958" s="1" t="s">
        <v>971</v>
      </c>
      <c r="D958" s="1" t="s">
        <v>108</v>
      </c>
      <c r="E958" s="1" t="s">
        <v>29</v>
      </c>
      <c r="F958" s="1">
        <v>54</v>
      </c>
      <c r="G958" s="1" t="s">
        <v>90</v>
      </c>
      <c r="H958" s="1" t="s">
        <v>31</v>
      </c>
      <c r="I958" s="1" t="s">
        <v>90</v>
      </c>
      <c r="J958" s="1" t="s">
        <v>150</v>
      </c>
      <c r="K958" s="1">
        <v>3</v>
      </c>
      <c r="L958" s="1">
        <v>3452</v>
      </c>
      <c r="M958" s="1">
        <v>20</v>
      </c>
      <c r="N958" s="1">
        <v>2071.1999999999998</v>
      </c>
      <c r="O958" s="1">
        <v>1491.26</v>
      </c>
      <c r="P958" s="1">
        <v>219</v>
      </c>
      <c r="Q958" s="1">
        <v>9995.06</v>
      </c>
      <c r="R958" s="1" t="s">
        <v>45</v>
      </c>
      <c r="S958" s="1" t="s">
        <v>34</v>
      </c>
      <c r="T958" s="1" t="s">
        <v>76</v>
      </c>
      <c r="U958" s="1" t="s">
        <v>77</v>
      </c>
      <c r="V958" s="1" t="s">
        <v>57</v>
      </c>
      <c r="W958" s="1">
        <v>5</v>
      </c>
      <c r="X958" s="1" t="s">
        <v>47</v>
      </c>
      <c r="Y958" s="1">
        <v>3</v>
      </c>
      <c r="Z958" s="1" t="s">
        <v>91</v>
      </c>
    </row>
    <row r="959" spans="1:26" x14ac:dyDescent="0.3">
      <c r="A959" s="1" t="s">
        <v>1637</v>
      </c>
      <c r="B959" s="2">
        <v>46002</v>
      </c>
      <c r="C959" s="1" t="s">
        <v>1304</v>
      </c>
      <c r="D959" s="1" t="s">
        <v>42</v>
      </c>
      <c r="E959" s="1" t="s">
        <v>43</v>
      </c>
      <c r="F959" s="1">
        <v>24</v>
      </c>
      <c r="G959" s="1" t="s">
        <v>94</v>
      </c>
      <c r="H959" s="1" t="s">
        <v>31</v>
      </c>
      <c r="I959" s="1" t="s">
        <v>94</v>
      </c>
      <c r="J959" s="1" t="s">
        <v>69</v>
      </c>
      <c r="K959" s="1">
        <v>4</v>
      </c>
      <c r="L959" s="1">
        <v>29812</v>
      </c>
      <c r="M959" s="1">
        <v>5</v>
      </c>
      <c r="N959" s="1">
        <v>5962.4</v>
      </c>
      <c r="O959" s="1">
        <v>20391.41</v>
      </c>
      <c r="P959" s="1">
        <v>257</v>
      </c>
      <c r="Q959" s="1">
        <v>133934.01</v>
      </c>
      <c r="R959" s="1" t="s">
        <v>83</v>
      </c>
      <c r="S959" s="1" t="s">
        <v>34</v>
      </c>
      <c r="T959" s="1" t="s">
        <v>84</v>
      </c>
      <c r="U959" s="1" t="s">
        <v>85</v>
      </c>
      <c r="V959" s="1" t="s">
        <v>86</v>
      </c>
      <c r="W959" s="1">
        <v>7</v>
      </c>
      <c r="X959" s="1" t="s">
        <v>47</v>
      </c>
      <c r="Y959" s="1">
        <v>3</v>
      </c>
      <c r="Z959" s="1" t="s">
        <v>39</v>
      </c>
    </row>
    <row r="960" spans="1:26" x14ac:dyDescent="0.3">
      <c r="A960" s="1" t="s">
        <v>1638</v>
      </c>
      <c r="B960" s="2">
        <v>45757</v>
      </c>
      <c r="C960" s="1" t="s">
        <v>1466</v>
      </c>
      <c r="D960" s="1" t="s">
        <v>108</v>
      </c>
      <c r="E960" s="1" t="s">
        <v>29</v>
      </c>
      <c r="F960" s="1">
        <v>33</v>
      </c>
      <c r="G960" s="1" t="s">
        <v>94</v>
      </c>
      <c r="H960" s="1" t="s">
        <v>31</v>
      </c>
      <c r="I960" s="1" t="s">
        <v>94</v>
      </c>
      <c r="J960" s="1" t="s">
        <v>125</v>
      </c>
      <c r="K960" s="1">
        <v>4</v>
      </c>
      <c r="L960" s="1">
        <v>12665</v>
      </c>
      <c r="M960" s="1">
        <v>10</v>
      </c>
      <c r="N960" s="1">
        <v>5066</v>
      </c>
      <c r="O960" s="1">
        <v>8206.92</v>
      </c>
      <c r="P960" s="1">
        <v>304</v>
      </c>
      <c r="Q960" s="1">
        <v>54104.92</v>
      </c>
      <c r="R960" s="1" t="s">
        <v>33</v>
      </c>
      <c r="S960" s="1" t="s">
        <v>34</v>
      </c>
      <c r="T960" s="1" t="s">
        <v>76</v>
      </c>
      <c r="U960" s="1" t="s">
        <v>77</v>
      </c>
      <c r="V960" s="1" t="s">
        <v>57</v>
      </c>
      <c r="W960" s="1">
        <v>9</v>
      </c>
      <c r="X960" s="1" t="s">
        <v>47</v>
      </c>
      <c r="Y960" s="1">
        <v>3</v>
      </c>
      <c r="Z960" s="1" t="s">
        <v>47</v>
      </c>
    </row>
    <row r="961" spans="1:26" x14ac:dyDescent="0.3">
      <c r="A961" s="1" t="s">
        <v>1639</v>
      </c>
      <c r="B961" s="2">
        <v>45989</v>
      </c>
      <c r="C961" s="1" t="s">
        <v>858</v>
      </c>
      <c r="D961" s="1" t="s">
        <v>73</v>
      </c>
      <c r="E961" s="1" t="s">
        <v>43</v>
      </c>
      <c r="F961" s="1">
        <v>34</v>
      </c>
      <c r="G961" s="1" t="s">
        <v>30</v>
      </c>
      <c r="H961" s="1" t="s">
        <v>31</v>
      </c>
      <c r="I961" s="1" t="s">
        <v>30</v>
      </c>
      <c r="J961" s="1" t="s">
        <v>69</v>
      </c>
      <c r="K961" s="1">
        <v>2</v>
      </c>
      <c r="L961" s="1">
        <v>19888</v>
      </c>
      <c r="M961" s="1">
        <v>5</v>
      </c>
      <c r="N961" s="1">
        <v>1988.8</v>
      </c>
      <c r="O961" s="1">
        <v>6801.7</v>
      </c>
      <c r="P961" s="1">
        <v>174</v>
      </c>
      <c r="Q961" s="1">
        <v>44762.9</v>
      </c>
      <c r="R961" s="1" t="s">
        <v>45</v>
      </c>
      <c r="S961" s="1" t="s">
        <v>63</v>
      </c>
      <c r="T961" s="1" t="s">
        <v>103</v>
      </c>
      <c r="U961" s="1" t="s">
        <v>103</v>
      </c>
      <c r="V961" s="1" t="s">
        <v>57</v>
      </c>
      <c r="W961" s="1">
        <v>7</v>
      </c>
      <c r="X961" s="1" t="s">
        <v>47</v>
      </c>
      <c r="Y961" s="1">
        <v>3</v>
      </c>
      <c r="Z961" s="1" t="s">
        <v>91</v>
      </c>
    </row>
    <row r="962" spans="1:26" x14ac:dyDescent="0.3">
      <c r="A962" s="1" t="s">
        <v>1640</v>
      </c>
      <c r="B962" s="2">
        <v>45982</v>
      </c>
      <c r="C962" s="1" t="s">
        <v>1159</v>
      </c>
      <c r="D962" s="1" t="s">
        <v>61</v>
      </c>
      <c r="E962" s="1" t="s">
        <v>43</v>
      </c>
      <c r="F962" s="1">
        <v>58</v>
      </c>
      <c r="G962" s="1" t="s">
        <v>44</v>
      </c>
      <c r="H962" s="1" t="s">
        <v>31</v>
      </c>
      <c r="I962" s="1" t="s">
        <v>44</v>
      </c>
      <c r="J962" s="1" t="s">
        <v>201</v>
      </c>
      <c r="K962" s="1">
        <v>5</v>
      </c>
      <c r="L962" s="1">
        <v>24187</v>
      </c>
      <c r="M962" s="1">
        <v>20</v>
      </c>
      <c r="N962" s="1">
        <v>24187</v>
      </c>
      <c r="O962" s="1">
        <v>17414.64</v>
      </c>
      <c r="P962" s="1">
        <v>271</v>
      </c>
      <c r="Q962" s="1">
        <v>114433.64</v>
      </c>
      <c r="R962" s="1" t="s">
        <v>33</v>
      </c>
      <c r="S962" s="1" t="s">
        <v>63</v>
      </c>
      <c r="T962" s="1" t="s">
        <v>103</v>
      </c>
      <c r="U962" s="1" t="s">
        <v>103</v>
      </c>
      <c r="V962" s="1" t="s">
        <v>57</v>
      </c>
      <c r="W962" s="1">
        <v>9</v>
      </c>
      <c r="X962" s="1" t="s">
        <v>47</v>
      </c>
      <c r="Y962" s="1">
        <v>2</v>
      </c>
      <c r="Z962" s="1" t="s">
        <v>39</v>
      </c>
    </row>
    <row r="963" spans="1:26" x14ac:dyDescent="0.3">
      <c r="A963" s="1" t="s">
        <v>1641</v>
      </c>
      <c r="B963" s="2">
        <v>45860</v>
      </c>
      <c r="C963" s="1" t="s">
        <v>693</v>
      </c>
      <c r="D963" s="1" t="s">
        <v>73</v>
      </c>
      <c r="E963" s="1" t="s">
        <v>43</v>
      </c>
      <c r="F963" s="1">
        <v>21</v>
      </c>
      <c r="G963" s="1" t="s">
        <v>51</v>
      </c>
      <c r="H963" s="1" t="s">
        <v>52</v>
      </c>
      <c r="I963" s="1" t="s">
        <v>51</v>
      </c>
      <c r="J963" s="1" t="s">
        <v>75</v>
      </c>
      <c r="K963" s="1">
        <v>1</v>
      </c>
      <c r="L963" s="1">
        <v>27343</v>
      </c>
      <c r="M963" s="1">
        <v>5</v>
      </c>
      <c r="N963" s="1">
        <v>1367.15</v>
      </c>
      <c r="O963" s="1">
        <v>4675.6499999999996</v>
      </c>
      <c r="P963" s="1">
        <v>427</v>
      </c>
      <c r="Q963" s="1">
        <v>31078.5</v>
      </c>
      <c r="R963" s="1" t="s">
        <v>83</v>
      </c>
      <c r="S963" s="1" t="s">
        <v>34</v>
      </c>
      <c r="T963" s="1" t="s">
        <v>55</v>
      </c>
      <c r="U963" s="1" t="s">
        <v>56</v>
      </c>
      <c r="V963" s="1" t="s">
        <v>57</v>
      </c>
      <c r="W963" s="1">
        <v>6</v>
      </c>
      <c r="X963" s="1" t="s">
        <v>38</v>
      </c>
      <c r="Y963" s="1">
        <v>1</v>
      </c>
      <c r="Z963" s="1" t="s">
        <v>91</v>
      </c>
    </row>
    <row r="964" spans="1:26" x14ac:dyDescent="0.3">
      <c r="A964" s="1" t="s">
        <v>1642</v>
      </c>
      <c r="B964" s="2">
        <v>45953</v>
      </c>
      <c r="C964" s="1" t="s">
        <v>264</v>
      </c>
      <c r="D964" s="1" t="s">
        <v>61</v>
      </c>
      <c r="E964" s="1" t="s">
        <v>29</v>
      </c>
      <c r="F964" s="1">
        <v>23</v>
      </c>
      <c r="G964" s="1" t="s">
        <v>74</v>
      </c>
      <c r="H964" s="1" t="s">
        <v>31</v>
      </c>
      <c r="I964" s="1" t="s">
        <v>74</v>
      </c>
      <c r="J964" s="1" t="s">
        <v>62</v>
      </c>
      <c r="K964" s="1">
        <v>1</v>
      </c>
      <c r="L964" s="1">
        <v>36253</v>
      </c>
      <c r="M964" s="1">
        <v>0</v>
      </c>
      <c r="N964" s="1">
        <v>0</v>
      </c>
      <c r="O964" s="1">
        <v>6525.54</v>
      </c>
      <c r="P964" s="1">
        <v>493</v>
      </c>
      <c r="Q964" s="1">
        <v>43271.54</v>
      </c>
      <c r="R964" s="1" t="s">
        <v>54</v>
      </c>
      <c r="S964" s="1" t="s">
        <v>34</v>
      </c>
      <c r="T964" s="1" t="s">
        <v>70</v>
      </c>
      <c r="U964" s="1" t="s">
        <v>56</v>
      </c>
      <c r="V964" s="1" t="s">
        <v>57</v>
      </c>
      <c r="W964" s="1">
        <v>7</v>
      </c>
      <c r="X964" s="1" t="s">
        <v>38</v>
      </c>
      <c r="Y964" s="1">
        <v>2</v>
      </c>
      <c r="Z964" s="1" t="s">
        <v>39</v>
      </c>
    </row>
    <row r="965" spans="1:26" x14ac:dyDescent="0.3">
      <c r="A965" s="1" t="s">
        <v>1643</v>
      </c>
      <c r="B965" s="2">
        <v>45914</v>
      </c>
      <c r="C965" s="1" t="s">
        <v>944</v>
      </c>
      <c r="D965" s="1" t="s">
        <v>73</v>
      </c>
      <c r="E965" s="1" t="s">
        <v>43</v>
      </c>
      <c r="F965" s="1">
        <v>47</v>
      </c>
      <c r="G965" s="1" t="s">
        <v>94</v>
      </c>
      <c r="H965" s="1" t="s">
        <v>31</v>
      </c>
      <c r="I965" s="1" t="s">
        <v>94</v>
      </c>
      <c r="J965" s="1" t="s">
        <v>69</v>
      </c>
      <c r="K965" s="1">
        <v>2</v>
      </c>
      <c r="L965" s="1">
        <v>6461</v>
      </c>
      <c r="M965" s="1">
        <v>0</v>
      </c>
      <c r="N965" s="1">
        <v>0</v>
      </c>
      <c r="O965" s="1">
        <v>2325.96</v>
      </c>
      <c r="P965" s="1">
        <v>137</v>
      </c>
      <c r="Q965" s="1">
        <v>15384.96</v>
      </c>
      <c r="R965" s="1" t="s">
        <v>33</v>
      </c>
      <c r="S965" s="1" t="s">
        <v>63</v>
      </c>
      <c r="T965" s="1" t="s">
        <v>35</v>
      </c>
      <c r="U965" s="1" t="s">
        <v>36</v>
      </c>
      <c r="V965" s="1" t="s">
        <v>37</v>
      </c>
      <c r="W965" s="1">
        <v>4</v>
      </c>
      <c r="X965" s="1" t="s">
        <v>47</v>
      </c>
      <c r="Y965" s="1">
        <v>2</v>
      </c>
      <c r="Z965" s="1" t="s">
        <v>58</v>
      </c>
    </row>
    <row r="966" spans="1:26" x14ac:dyDescent="0.3">
      <c r="A966" s="1" t="s">
        <v>1644</v>
      </c>
      <c r="B966" s="2">
        <v>45937</v>
      </c>
      <c r="C966" s="1" t="s">
        <v>1645</v>
      </c>
      <c r="D966" s="1" t="s">
        <v>42</v>
      </c>
      <c r="E966" s="1" t="s">
        <v>29</v>
      </c>
      <c r="F966" s="1">
        <v>26</v>
      </c>
      <c r="G966" s="1" t="s">
        <v>30</v>
      </c>
      <c r="H966" s="1" t="s">
        <v>31</v>
      </c>
      <c r="I966" s="1" t="s">
        <v>30</v>
      </c>
      <c r="J966" s="1" t="s">
        <v>32</v>
      </c>
      <c r="K966" s="1">
        <v>5</v>
      </c>
      <c r="L966" s="1">
        <v>34990</v>
      </c>
      <c r="M966" s="1">
        <v>20</v>
      </c>
      <c r="N966" s="1">
        <v>34990</v>
      </c>
      <c r="O966" s="1">
        <v>25192.799999999999</v>
      </c>
      <c r="P966" s="1">
        <v>340</v>
      </c>
      <c r="Q966" s="1">
        <v>165492.79999999999</v>
      </c>
      <c r="R966" s="1" t="s">
        <v>83</v>
      </c>
      <c r="S966" s="1" t="s">
        <v>34</v>
      </c>
      <c r="T966" s="1" t="s">
        <v>95</v>
      </c>
      <c r="U966" s="1" t="s">
        <v>96</v>
      </c>
      <c r="V966" s="1" t="s">
        <v>57</v>
      </c>
      <c r="W966" s="1">
        <v>2</v>
      </c>
      <c r="X966" s="1" t="s">
        <v>47</v>
      </c>
      <c r="Y966" s="1">
        <v>1</v>
      </c>
      <c r="Z966" s="1" t="s">
        <v>91</v>
      </c>
    </row>
    <row r="967" spans="1:26" x14ac:dyDescent="0.3">
      <c r="A967" s="1" t="s">
        <v>1646</v>
      </c>
      <c r="B967" s="2">
        <v>46080</v>
      </c>
      <c r="C967" s="1" t="s">
        <v>455</v>
      </c>
      <c r="D967" s="1" t="s">
        <v>50</v>
      </c>
      <c r="E967" s="1" t="s">
        <v>43</v>
      </c>
      <c r="F967" s="1">
        <v>33</v>
      </c>
      <c r="G967" s="1" t="s">
        <v>44</v>
      </c>
      <c r="H967" s="1" t="s">
        <v>31</v>
      </c>
      <c r="I967" s="1" t="s">
        <v>44</v>
      </c>
      <c r="J967" s="1" t="s">
        <v>53</v>
      </c>
      <c r="K967" s="1">
        <v>3</v>
      </c>
      <c r="L967" s="1">
        <v>6736</v>
      </c>
      <c r="M967" s="1">
        <v>15</v>
      </c>
      <c r="N967" s="1">
        <v>3031.2</v>
      </c>
      <c r="O967" s="1">
        <v>3091.82</v>
      </c>
      <c r="P967" s="1">
        <v>130</v>
      </c>
      <c r="Q967" s="1">
        <v>20398.62</v>
      </c>
      <c r="R967" s="1" t="s">
        <v>54</v>
      </c>
      <c r="S967" s="1" t="s">
        <v>34</v>
      </c>
      <c r="T967" s="1" t="s">
        <v>103</v>
      </c>
      <c r="U967" s="1" t="s">
        <v>103</v>
      </c>
      <c r="V967" s="1" t="s">
        <v>57</v>
      </c>
      <c r="W967" s="1">
        <v>8</v>
      </c>
      <c r="X967" s="1" t="s">
        <v>47</v>
      </c>
      <c r="Y967" s="1">
        <v>3</v>
      </c>
      <c r="Z967" s="1" t="s">
        <v>58</v>
      </c>
    </row>
    <row r="968" spans="1:26" x14ac:dyDescent="0.3">
      <c r="A968" s="1" t="s">
        <v>1647</v>
      </c>
      <c r="B968" s="2">
        <v>46062</v>
      </c>
      <c r="C968" s="1" t="s">
        <v>840</v>
      </c>
      <c r="D968" s="1" t="s">
        <v>80</v>
      </c>
      <c r="E968" s="1" t="s">
        <v>29</v>
      </c>
      <c r="F968" s="1">
        <v>27</v>
      </c>
      <c r="G968" s="1" t="s">
        <v>30</v>
      </c>
      <c r="H968" s="1" t="s">
        <v>31</v>
      </c>
      <c r="I968" s="1" t="s">
        <v>30</v>
      </c>
      <c r="J968" s="1" t="s">
        <v>112</v>
      </c>
      <c r="K968" s="1">
        <v>1</v>
      </c>
      <c r="L968" s="1">
        <v>24799</v>
      </c>
      <c r="M968" s="1">
        <v>0</v>
      </c>
      <c r="N968" s="1">
        <v>0</v>
      </c>
      <c r="O968" s="1">
        <v>4463.82</v>
      </c>
      <c r="P968" s="1">
        <v>488</v>
      </c>
      <c r="Q968" s="1">
        <v>29750.82</v>
      </c>
      <c r="R968" s="1" t="s">
        <v>83</v>
      </c>
      <c r="S968" s="1" t="s">
        <v>63</v>
      </c>
      <c r="T968" s="1" t="s">
        <v>55</v>
      </c>
      <c r="U968" s="1" t="s">
        <v>56</v>
      </c>
      <c r="V968" s="1" t="s">
        <v>57</v>
      </c>
      <c r="W968" s="1">
        <v>1</v>
      </c>
      <c r="X968" s="1" t="s">
        <v>47</v>
      </c>
      <c r="Y968" s="1">
        <v>4</v>
      </c>
      <c r="Z968" s="1" t="s">
        <v>91</v>
      </c>
    </row>
    <row r="969" spans="1:26" x14ac:dyDescent="0.3">
      <c r="A969" s="1" t="s">
        <v>1648</v>
      </c>
      <c r="B969" s="2">
        <v>45790</v>
      </c>
      <c r="C969" s="1" t="s">
        <v>540</v>
      </c>
      <c r="D969" s="1" t="s">
        <v>28</v>
      </c>
      <c r="E969" s="1" t="s">
        <v>43</v>
      </c>
      <c r="F969" s="1">
        <v>47</v>
      </c>
      <c r="G969" s="1" t="s">
        <v>139</v>
      </c>
      <c r="H969" s="1" t="s">
        <v>31</v>
      </c>
      <c r="I969" s="1" t="s">
        <v>139</v>
      </c>
      <c r="J969" s="1" t="s">
        <v>112</v>
      </c>
      <c r="K969" s="1">
        <v>1</v>
      </c>
      <c r="L969" s="1">
        <v>9195</v>
      </c>
      <c r="M969" s="1">
        <v>20</v>
      </c>
      <c r="N969" s="1">
        <v>1839</v>
      </c>
      <c r="O969" s="1">
        <v>1324.08</v>
      </c>
      <c r="P969" s="1">
        <v>174</v>
      </c>
      <c r="Q969" s="1">
        <v>8854.08</v>
      </c>
      <c r="R969" s="1" t="s">
        <v>54</v>
      </c>
      <c r="S969" s="1" t="s">
        <v>34</v>
      </c>
      <c r="T969" s="1" t="s">
        <v>103</v>
      </c>
      <c r="U969" s="1" t="s">
        <v>103</v>
      </c>
      <c r="V969" s="1" t="s">
        <v>57</v>
      </c>
      <c r="W969" s="1">
        <v>2</v>
      </c>
      <c r="X969" s="1" t="s">
        <v>47</v>
      </c>
      <c r="Y969" s="1">
        <v>5</v>
      </c>
      <c r="Z969" s="1" t="s">
        <v>47</v>
      </c>
    </row>
    <row r="970" spans="1:26" x14ac:dyDescent="0.3">
      <c r="A970" s="1" t="s">
        <v>1649</v>
      </c>
      <c r="B970" s="2">
        <v>46119</v>
      </c>
      <c r="C970" s="1" t="s">
        <v>1650</v>
      </c>
      <c r="D970" s="1" t="s">
        <v>111</v>
      </c>
      <c r="E970" s="1" t="s">
        <v>29</v>
      </c>
      <c r="F970" s="1">
        <v>41</v>
      </c>
      <c r="G970" s="1" t="s">
        <v>44</v>
      </c>
      <c r="H970" s="1" t="s">
        <v>31</v>
      </c>
      <c r="I970" s="1" t="s">
        <v>44</v>
      </c>
      <c r="J970" s="1" t="s">
        <v>201</v>
      </c>
      <c r="K970" s="1">
        <v>3</v>
      </c>
      <c r="L970" s="1">
        <v>46281</v>
      </c>
      <c r="M970" s="1">
        <v>5</v>
      </c>
      <c r="N970" s="1">
        <v>6942.15</v>
      </c>
      <c r="O970" s="1">
        <v>23742.15</v>
      </c>
      <c r="P970" s="1">
        <v>54</v>
      </c>
      <c r="Q970" s="1">
        <v>155697</v>
      </c>
      <c r="R970" s="1" t="s">
        <v>54</v>
      </c>
      <c r="S970" s="1" t="s">
        <v>63</v>
      </c>
      <c r="T970" s="1" t="s">
        <v>35</v>
      </c>
      <c r="U970" s="1" t="s">
        <v>36</v>
      </c>
      <c r="V970" s="1" t="s">
        <v>37</v>
      </c>
      <c r="W970" s="1">
        <v>8</v>
      </c>
      <c r="X970" s="1" t="s">
        <v>47</v>
      </c>
      <c r="Y970" s="1">
        <v>2</v>
      </c>
      <c r="Z970" s="1" t="s">
        <v>58</v>
      </c>
    </row>
    <row r="971" spans="1:26" x14ac:dyDescent="0.3">
      <c r="A971" s="1" t="s">
        <v>1651</v>
      </c>
      <c r="B971" s="2">
        <v>46000</v>
      </c>
      <c r="C971" s="1" t="s">
        <v>1652</v>
      </c>
      <c r="D971" s="1" t="s">
        <v>73</v>
      </c>
      <c r="E971" s="1" t="s">
        <v>43</v>
      </c>
      <c r="F971" s="1">
        <v>47</v>
      </c>
      <c r="G971" s="1" t="s">
        <v>44</v>
      </c>
      <c r="H971" s="1" t="s">
        <v>31</v>
      </c>
      <c r="I971" s="1" t="s">
        <v>44</v>
      </c>
      <c r="J971" s="1" t="s">
        <v>150</v>
      </c>
      <c r="K971" s="1">
        <v>3</v>
      </c>
      <c r="L971" s="1">
        <v>11665</v>
      </c>
      <c r="M971" s="1">
        <v>15</v>
      </c>
      <c r="N971" s="1">
        <v>5249.25</v>
      </c>
      <c r="O971" s="1">
        <v>5354.23</v>
      </c>
      <c r="P971" s="1">
        <v>392</v>
      </c>
      <c r="Q971" s="1">
        <v>35491.99</v>
      </c>
      <c r="R971" s="1" t="s">
        <v>83</v>
      </c>
      <c r="S971" s="1" t="s">
        <v>63</v>
      </c>
      <c r="T971" s="1" t="s">
        <v>76</v>
      </c>
      <c r="U971" s="1" t="s">
        <v>77</v>
      </c>
      <c r="V971" s="1" t="s">
        <v>57</v>
      </c>
      <c r="W971" s="1">
        <v>6</v>
      </c>
      <c r="X971" s="1" t="s">
        <v>38</v>
      </c>
      <c r="Y971" s="1">
        <v>5</v>
      </c>
      <c r="Z971" s="1" t="s">
        <v>47</v>
      </c>
    </row>
    <row r="972" spans="1:26" x14ac:dyDescent="0.3">
      <c r="A972" s="1" t="s">
        <v>1653</v>
      </c>
      <c r="B972" s="2">
        <v>45778</v>
      </c>
      <c r="C972" s="1" t="s">
        <v>1654</v>
      </c>
      <c r="D972" s="1" t="s">
        <v>42</v>
      </c>
      <c r="E972" s="1" t="s">
        <v>29</v>
      </c>
      <c r="F972" s="1">
        <v>23</v>
      </c>
      <c r="G972" s="1" t="s">
        <v>44</v>
      </c>
      <c r="H972" s="1" t="s">
        <v>31</v>
      </c>
      <c r="I972" s="1" t="s">
        <v>44</v>
      </c>
      <c r="J972" s="1" t="s">
        <v>32</v>
      </c>
      <c r="K972" s="1">
        <v>2</v>
      </c>
      <c r="L972" s="1">
        <v>41905</v>
      </c>
      <c r="M972" s="1">
        <v>20</v>
      </c>
      <c r="N972" s="1">
        <v>16762</v>
      </c>
      <c r="O972" s="1">
        <v>12068.64</v>
      </c>
      <c r="P972" s="1">
        <v>427</v>
      </c>
      <c r="Q972" s="1">
        <v>79543.64</v>
      </c>
      <c r="R972" s="1" t="s">
        <v>54</v>
      </c>
      <c r="S972" s="1" t="s">
        <v>63</v>
      </c>
      <c r="T972" s="1" t="s">
        <v>70</v>
      </c>
      <c r="U972" s="1" t="s">
        <v>56</v>
      </c>
      <c r="V972" s="1" t="s">
        <v>57</v>
      </c>
      <c r="W972" s="1">
        <v>5</v>
      </c>
      <c r="X972" s="1" t="s">
        <v>38</v>
      </c>
      <c r="Y972" s="1">
        <v>1</v>
      </c>
      <c r="Z972" s="1" t="s">
        <v>58</v>
      </c>
    </row>
    <row r="973" spans="1:26" x14ac:dyDescent="0.3">
      <c r="A973" s="1" t="s">
        <v>1655</v>
      </c>
      <c r="B973" s="2">
        <v>45896</v>
      </c>
      <c r="C973" s="1" t="s">
        <v>1589</v>
      </c>
      <c r="D973" s="1" t="s">
        <v>50</v>
      </c>
      <c r="E973" s="1" t="s">
        <v>43</v>
      </c>
      <c r="F973" s="1">
        <v>38</v>
      </c>
      <c r="G973" s="1" t="s">
        <v>44</v>
      </c>
      <c r="H973" s="1" t="s">
        <v>31</v>
      </c>
      <c r="I973" s="1" t="s">
        <v>44</v>
      </c>
      <c r="J973" s="1" t="s">
        <v>75</v>
      </c>
      <c r="K973" s="1">
        <v>1</v>
      </c>
      <c r="L973" s="1">
        <v>13855</v>
      </c>
      <c r="M973" s="1">
        <v>15</v>
      </c>
      <c r="N973" s="1">
        <v>2078.25</v>
      </c>
      <c r="O973" s="1">
        <v>2119.8200000000002</v>
      </c>
      <c r="P973" s="1">
        <v>127</v>
      </c>
      <c r="Q973" s="1">
        <v>14023.57</v>
      </c>
      <c r="R973" s="1" t="s">
        <v>45</v>
      </c>
      <c r="S973" s="1" t="s">
        <v>34</v>
      </c>
      <c r="T973" s="1" t="s">
        <v>76</v>
      </c>
      <c r="U973" s="1" t="s">
        <v>77</v>
      </c>
      <c r="V973" s="1" t="s">
        <v>57</v>
      </c>
      <c r="W973" s="1">
        <v>7</v>
      </c>
      <c r="X973" s="1" t="s">
        <v>47</v>
      </c>
      <c r="Y973" s="1">
        <v>5</v>
      </c>
      <c r="Z973" s="1" t="s">
        <v>39</v>
      </c>
    </row>
    <row r="974" spans="1:26" x14ac:dyDescent="0.3">
      <c r="A974" s="1" t="s">
        <v>1656</v>
      </c>
      <c r="B974" s="2">
        <v>46077</v>
      </c>
      <c r="C974" s="1" t="s">
        <v>1657</v>
      </c>
      <c r="D974" s="1" t="s">
        <v>73</v>
      </c>
      <c r="E974" s="1" t="s">
        <v>43</v>
      </c>
      <c r="F974" s="1">
        <v>51</v>
      </c>
      <c r="G974" s="1" t="s">
        <v>51</v>
      </c>
      <c r="H974" s="1" t="s">
        <v>52</v>
      </c>
      <c r="I974" s="1" t="s">
        <v>51</v>
      </c>
      <c r="J974" s="1" t="s">
        <v>32</v>
      </c>
      <c r="K974" s="1">
        <v>4</v>
      </c>
      <c r="L974" s="1">
        <v>29217</v>
      </c>
      <c r="M974" s="1">
        <v>0</v>
      </c>
      <c r="N974" s="1">
        <v>0</v>
      </c>
      <c r="O974" s="1">
        <v>21036.240000000002</v>
      </c>
      <c r="P974" s="1">
        <v>188</v>
      </c>
      <c r="Q974" s="1">
        <v>138092.24</v>
      </c>
      <c r="R974" s="1" t="s">
        <v>54</v>
      </c>
      <c r="S974" s="1" t="s">
        <v>63</v>
      </c>
      <c r="T974" s="1" t="s">
        <v>35</v>
      </c>
      <c r="U974" s="1" t="s">
        <v>36</v>
      </c>
      <c r="V974" s="1" t="s">
        <v>37</v>
      </c>
      <c r="W974" s="1">
        <v>10</v>
      </c>
      <c r="X974" s="1" t="s">
        <v>38</v>
      </c>
      <c r="Y974" s="1">
        <v>1</v>
      </c>
      <c r="Z974" s="1" t="s">
        <v>39</v>
      </c>
    </row>
    <row r="975" spans="1:26" x14ac:dyDescent="0.3">
      <c r="A975" s="1" t="s">
        <v>1658</v>
      </c>
      <c r="B975" s="2">
        <v>45816</v>
      </c>
      <c r="C975" s="1" t="s">
        <v>1129</v>
      </c>
      <c r="D975" s="1" t="s">
        <v>61</v>
      </c>
      <c r="E975" s="1" t="s">
        <v>29</v>
      </c>
      <c r="F975" s="1">
        <v>19</v>
      </c>
      <c r="G975" s="1" t="s">
        <v>67</v>
      </c>
      <c r="H975" s="1" t="s">
        <v>68</v>
      </c>
      <c r="I975" s="1" t="s">
        <v>67</v>
      </c>
      <c r="J975" s="1" t="s">
        <v>112</v>
      </c>
      <c r="K975" s="1">
        <v>3</v>
      </c>
      <c r="L975" s="1">
        <v>34047</v>
      </c>
      <c r="M975" s="1">
        <v>0</v>
      </c>
      <c r="N975" s="1">
        <v>0</v>
      </c>
      <c r="O975" s="1">
        <v>18385.38</v>
      </c>
      <c r="P975" s="1">
        <v>42</v>
      </c>
      <c r="Q975" s="1">
        <v>120568.38</v>
      </c>
      <c r="R975" s="1" t="s">
        <v>54</v>
      </c>
      <c r="S975" s="1" t="s">
        <v>63</v>
      </c>
      <c r="T975" s="1" t="s">
        <v>103</v>
      </c>
      <c r="U975" s="1" t="s">
        <v>103</v>
      </c>
      <c r="V975" s="1" t="s">
        <v>57</v>
      </c>
      <c r="W975" s="1">
        <v>3</v>
      </c>
      <c r="X975" s="1" t="s">
        <v>38</v>
      </c>
      <c r="Y975" s="1">
        <v>5</v>
      </c>
      <c r="Z975" s="1" t="s">
        <v>39</v>
      </c>
    </row>
    <row r="976" spans="1:26" x14ac:dyDescent="0.3">
      <c r="A976" s="1" t="s">
        <v>1659</v>
      </c>
      <c r="B976" s="2">
        <v>45855</v>
      </c>
      <c r="C976" s="1" t="s">
        <v>1074</v>
      </c>
      <c r="D976" s="1" t="s">
        <v>111</v>
      </c>
      <c r="E976" s="1" t="s">
        <v>43</v>
      </c>
      <c r="F976" s="1">
        <v>47</v>
      </c>
      <c r="G976" s="1" t="s">
        <v>99</v>
      </c>
      <c r="H976" s="1" t="s">
        <v>52</v>
      </c>
      <c r="I976" s="1" t="s">
        <v>99</v>
      </c>
      <c r="J976" s="1" t="s">
        <v>53</v>
      </c>
      <c r="K976" s="1">
        <v>4</v>
      </c>
      <c r="L976" s="1">
        <v>40544</v>
      </c>
      <c r="M976" s="1">
        <v>5</v>
      </c>
      <c r="N976" s="1">
        <v>8108.8</v>
      </c>
      <c r="O976" s="1">
        <v>27732.1</v>
      </c>
      <c r="P976" s="1">
        <v>384</v>
      </c>
      <c r="Q976" s="1">
        <v>182183.3</v>
      </c>
      <c r="R976" s="1" t="s">
        <v>45</v>
      </c>
      <c r="S976" s="1" t="s">
        <v>34</v>
      </c>
      <c r="T976" s="1" t="s">
        <v>103</v>
      </c>
      <c r="U976" s="1" t="s">
        <v>103</v>
      </c>
      <c r="V976" s="1" t="s">
        <v>57</v>
      </c>
      <c r="W976" s="1">
        <v>10</v>
      </c>
      <c r="X976" s="1" t="s">
        <v>47</v>
      </c>
      <c r="Y976" s="1">
        <v>1</v>
      </c>
      <c r="Z976" s="1" t="s">
        <v>58</v>
      </c>
    </row>
    <row r="977" spans="1:26" x14ac:dyDescent="0.3">
      <c r="A977" s="1" t="s">
        <v>1660</v>
      </c>
      <c r="B977" s="2">
        <v>45927</v>
      </c>
      <c r="C977" s="1" t="s">
        <v>1026</v>
      </c>
      <c r="D977" s="1" t="s">
        <v>28</v>
      </c>
      <c r="E977" s="1" t="s">
        <v>43</v>
      </c>
      <c r="F977" s="1">
        <v>23</v>
      </c>
      <c r="G977" s="1" t="s">
        <v>30</v>
      </c>
      <c r="H977" s="1" t="s">
        <v>31</v>
      </c>
      <c r="I977" s="1" t="s">
        <v>30</v>
      </c>
      <c r="J977" s="1" t="s">
        <v>112</v>
      </c>
      <c r="K977" s="1">
        <v>1</v>
      </c>
      <c r="L977" s="1">
        <v>34177</v>
      </c>
      <c r="M977" s="1">
        <v>15</v>
      </c>
      <c r="N977" s="1">
        <v>5126.55</v>
      </c>
      <c r="O977" s="1">
        <v>5229.08</v>
      </c>
      <c r="P977" s="1">
        <v>114</v>
      </c>
      <c r="Q977" s="1">
        <v>34393.53</v>
      </c>
      <c r="R977" s="1" t="s">
        <v>83</v>
      </c>
      <c r="S977" s="1" t="s">
        <v>34</v>
      </c>
      <c r="T977" s="1" t="s">
        <v>84</v>
      </c>
      <c r="U977" s="1" t="s">
        <v>85</v>
      </c>
      <c r="V977" s="1" t="s">
        <v>86</v>
      </c>
      <c r="W977" s="1">
        <v>7</v>
      </c>
      <c r="X977" s="1" t="s">
        <v>38</v>
      </c>
      <c r="Y977" s="1">
        <v>5</v>
      </c>
      <c r="Z977" s="1" t="s">
        <v>58</v>
      </c>
    </row>
    <row r="978" spans="1:26" x14ac:dyDescent="0.3">
      <c r="A978" s="1" t="s">
        <v>1661</v>
      </c>
      <c r="B978" s="2">
        <v>45910</v>
      </c>
      <c r="C978" s="1" t="s">
        <v>578</v>
      </c>
      <c r="D978" s="1" t="s">
        <v>42</v>
      </c>
      <c r="E978" s="1" t="s">
        <v>43</v>
      </c>
      <c r="F978" s="1">
        <v>35</v>
      </c>
      <c r="G978" s="1" t="s">
        <v>99</v>
      </c>
      <c r="H978" s="1" t="s">
        <v>52</v>
      </c>
      <c r="I978" s="1" t="s">
        <v>99</v>
      </c>
      <c r="J978" s="1" t="s">
        <v>32</v>
      </c>
      <c r="K978" s="1">
        <v>4</v>
      </c>
      <c r="L978" s="1">
        <v>32481</v>
      </c>
      <c r="M978" s="1">
        <v>20</v>
      </c>
      <c r="N978" s="1">
        <v>25984.799999999999</v>
      </c>
      <c r="O978" s="1">
        <v>18709.060000000001</v>
      </c>
      <c r="P978" s="1">
        <v>431</v>
      </c>
      <c r="Q978" s="1">
        <v>123079.26</v>
      </c>
      <c r="R978" s="1" t="s">
        <v>54</v>
      </c>
      <c r="S978" s="1" t="s">
        <v>63</v>
      </c>
      <c r="T978" s="1" t="s">
        <v>35</v>
      </c>
      <c r="U978" s="1" t="s">
        <v>36</v>
      </c>
      <c r="V978" s="1" t="s">
        <v>37</v>
      </c>
      <c r="W978" s="1">
        <v>5</v>
      </c>
      <c r="X978" s="1" t="s">
        <v>47</v>
      </c>
      <c r="Y978" s="1">
        <v>3</v>
      </c>
      <c r="Z978" s="1" t="s">
        <v>58</v>
      </c>
    </row>
    <row r="979" spans="1:26" x14ac:dyDescent="0.3">
      <c r="A979" s="1" t="s">
        <v>1662</v>
      </c>
      <c r="B979" s="2">
        <v>45930</v>
      </c>
      <c r="C979" s="1" t="s">
        <v>635</v>
      </c>
      <c r="D979" s="1" t="s">
        <v>108</v>
      </c>
      <c r="E979" s="1" t="s">
        <v>43</v>
      </c>
      <c r="F979" s="1">
        <v>45</v>
      </c>
      <c r="G979" s="1" t="s">
        <v>90</v>
      </c>
      <c r="H979" s="1" t="s">
        <v>31</v>
      </c>
      <c r="I979" s="1" t="s">
        <v>90</v>
      </c>
      <c r="J979" s="1" t="s">
        <v>62</v>
      </c>
      <c r="K979" s="1">
        <v>4</v>
      </c>
      <c r="L979" s="1">
        <v>26540</v>
      </c>
      <c r="M979" s="1">
        <v>10</v>
      </c>
      <c r="N979" s="1">
        <v>10616</v>
      </c>
      <c r="O979" s="1">
        <v>17197.919999999998</v>
      </c>
      <c r="P979" s="1">
        <v>448</v>
      </c>
      <c r="Q979" s="1">
        <v>113189.92</v>
      </c>
      <c r="R979" s="1" t="s">
        <v>33</v>
      </c>
      <c r="S979" s="1" t="s">
        <v>63</v>
      </c>
      <c r="T979" s="1" t="s">
        <v>84</v>
      </c>
      <c r="U979" s="1" t="s">
        <v>85</v>
      </c>
      <c r="V979" s="1" t="s">
        <v>86</v>
      </c>
      <c r="W979" s="1">
        <v>8</v>
      </c>
      <c r="X979" s="1" t="s">
        <v>47</v>
      </c>
      <c r="Y979" s="1">
        <v>5</v>
      </c>
      <c r="Z979" s="1" t="s">
        <v>91</v>
      </c>
    </row>
    <row r="980" spans="1:26" x14ac:dyDescent="0.3">
      <c r="A980" s="1" t="s">
        <v>1663</v>
      </c>
      <c r="B980" s="2">
        <v>45889</v>
      </c>
      <c r="C980" s="1" t="s">
        <v>268</v>
      </c>
      <c r="D980" s="1" t="s">
        <v>42</v>
      </c>
      <c r="E980" s="1" t="s">
        <v>29</v>
      </c>
      <c r="F980" s="1">
        <v>57</v>
      </c>
      <c r="G980" s="1" t="s">
        <v>44</v>
      </c>
      <c r="H980" s="1" t="s">
        <v>31</v>
      </c>
      <c r="I980" s="1" t="s">
        <v>44</v>
      </c>
      <c r="J980" s="1" t="s">
        <v>53</v>
      </c>
      <c r="K980" s="1">
        <v>2</v>
      </c>
      <c r="L980" s="1">
        <v>7396</v>
      </c>
      <c r="M980" s="1">
        <v>20</v>
      </c>
      <c r="N980" s="1">
        <v>2958.4</v>
      </c>
      <c r="O980" s="1">
        <v>2130.0500000000002</v>
      </c>
      <c r="P980" s="1">
        <v>160</v>
      </c>
      <c r="Q980" s="1">
        <v>14123.65</v>
      </c>
      <c r="R980" s="1" t="s">
        <v>33</v>
      </c>
      <c r="S980" s="1" t="s">
        <v>63</v>
      </c>
      <c r="T980" s="1" t="s">
        <v>55</v>
      </c>
      <c r="U980" s="1" t="s">
        <v>56</v>
      </c>
      <c r="V980" s="1" t="s">
        <v>57</v>
      </c>
      <c r="W980" s="1">
        <v>2</v>
      </c>
      <c r="X980" s="1" t="s">
        <v>47</v>
      </c>
      <c r="Y980" s="1">
        <v>4</v>
      </c>
      <c r="Z980" s="1" t="s">
        <v>47</v>
      </c>
    </row>
    <row r="981" spans="1:26" x14ac:dyDescent="0.3">
      <c r="A981" s="1" t="s">
        <v>1664</v>
      </c>
      <c r="B981" s="2">
        <v>46095</v>
      </c>
      <c r="C981" s="1" t="s">
        <v>1194</v>
      </c>
      <c r="D981" s="1" t="s">
        <v>111</v>
      </c>
      <c r="E981" s="1" t="s">
        <v>43</v>
      </c>
      <c r="F981" s="1">
        <v>19</v>
      </c>
      <c r="G981" s="1" t="s">
        <v>74</v>
      </c>
      <c r="H981" s="1" t="s">
        <v>31</v>
      </c>
      <c r="I981" s="1" t="s">
        <v>74</v>
      </c>
      <c r="J981" s="1" t="s">
        <v>102</v>
      </c>
      <c r="K981" s="1">
        <v>4</v>
      </c>
      <c r="L981" s="1">
        <v>12010</v>
      </c>
      <c r="M981" s="1">
        <v>5</v>
      </c>
      <c r="N981" s="1">
        <v>2402</v>
      </c>
      <c r="O981" s="1">
        <v>8214.84</v>
      </c>
      <c r="P981" s="1">
        <v>40</v>
      </c>
      <c r="Q981" s="1">
        <v>53892.84</v>
      </c>
      <c r="R981" s="1" t="s">
        <v>45</v>
      </c>
      <c r="S981" s="1" t="s">
        <v>63</v>
      </c>
      <c r="T981" s="1" t="s">
        <v>35</v>
      </c>
      <c r="U981" s="1" t="s">
        <v>36</v>
      </c>
      <c r="V981" s="1" t="s">
        <v>37</v>
      </c>
      <c r="W981" s="1">
        <v>2</v>
      </c>
      <c r="X981" s="1" t="s">
        <v>47</v>
      </c>
      <c r="Y981" s="1">
        <v>1</v>
      </c>
      <c r="Z981" s="1" t="s">
        <v>47</v>
      </c>
    </row>
    <row r="982" spans="1:26" x14ac:dyDescent="0.3">
      <c r="A982" s="1" t="s">
        <v>1665</v>
      </c>
      <c r="B982" s="2">
        <v>45825</v>
      </c>
      <c r="C982" s="1" t="s">
        <v>1666</v>
      </c>
      <c r="D982" s="1" t="s">
        <v>111</v>
      </c>
      <c r="E982" s="1" t="s">
        <v>43</v>
      </c>
      <c r="F982" s="1">
        <v>26</v>
      </c>
      <c r="G982" s="1" t="s">
        <v>134</v>
      </c>
      <c r="H982" s="1" t="s">
        <v>31</v>
      </c>
      <c r="I982" s="1" t="s">
        <v>134</v>
      </c>
      <c r="J982" s="1" t="s">
        <v>150</v>
      </c>
      <c r="K982" s="1">
        <v>2</v>
      </c>
      <c r="L982" s="1">
        <v>2315</v>
      </c>
      <c r="M982" s="1">
        <v>20</v>
      </c>
      <c r="N982" s="1">
        <v>926</v>
      </c>
      <c r="O982" s="1">
        <v>666.72</v>
      </c>
      <c r="P982" s="1">
        <v>203</v>
      </c>
      <c r="Q982" s="1">
        <v>4573.72</v>
      </c>
      <c r="R982" s="1" t="s">
        <v>54</v>
      </c>
      <c r="S982" s="1" t="s">
        <v>63</v>
      </c>
      <c r="T982" s="1" t="s">
        <v>46</v>
      </c>
      <c r="U982" s="1" t="s">
        <v>36</v>
      </c>
      <c r="V982" s="1" t="s">
        <v>37</v>
      </c>
      <c r="W982" s="1">
        <v>10</v>
      </c>
      <c r="X982" s="1" t="s">
        <v>38</v>
      </c>
      <c r="Y982" s="1">
        <v>4</v>
      </c>
      <c r="Z982" s="1" t="s">
        <v>47</v>
      </c>
    </row>
    <row r="983" spans="1:26" x14ac:dyDescent="0.3">
      <c r="A983" s="1" t="s">
        <v>1667</v>
      </c>
      <c r="B983" s="2">
        <v>45935</v>
      </c>
      <c r="C983" s="1" t="s">
        <v>1668</v>
      </c>
      <c r="D983" s="1" t="s">
        <v>73</v>
      </c>
      <c r="E983" s="1" t="s">
        <v>43</v>
      </c>
      <c r="F983" s="1">
        <v>59</v>
      </c>
      <c r="G983" s="1" t="s">
        <v>74</v>
      </c>
      <c r="H983" s="1" t="s">
        <v>31</v>
      </c>
      <c r="I983" s="1" t="s">
        <v>74</v>
      </c>
      <c r="J983" s="1" t="s">
        <v>125</v>
      </c>
      <c r="K983" s="1">
        <v>2</v>
      </c>
      <c r="L983" s="1">
        <v>14022</v>
      </c>
      <c r="M983" s="1">
        <v>20</v>
      </c>
      <c r="N983" s="1">
        <v>5608.8</v>
      </c>
      <c r="O983" s="1">
        <v>4038.34</v>
      </c>
      <c r="P983" s="1">
        <v>455</v>
      </c>
      <c r="Q983" s="1">
        <v>26928.54</v>
      </c>
      <c r="R983" s="1" t="s">
        <v>83</v>
      </c>
      <c r="S983" s="1" t="s">
        <v>34</v>
      </c>
      <c r="T983" s="1" t="s">
        <v>103</v>
      </c>
      <c r="U983" s="1" t="s">
        <v>103</v>
      </c>
      <c r="V983" s="1" t="s">
        <v>57</v>
      </c>
      <c r="W983" s="1">
        <v>1</v>
      </c>
      <c r="X983" s="1" t="s">
        <v>38</v>
      </c>
      <c r="Y983" s="1">
        <v>3</v>
      </c>
      <c r="Z983" s="1" t="s">
        <v>47</v>
      </c>
    </row>
    <row r="984" spans="1:26" x14ac:dyDescent="0.3">
      <c r="A984" s="1" t="s">
        <v>1669</v>
      </c>
      <c r="B984" s="2">
        <v>46106</v>
      </c>
      <c r="C984" s="1" t="s">
        <v>1361</v>
      </c>
      <c r="D984" s="1" t="s">
        <v>28</v>
      </c>
      <c r="E984" s="1" t="s">
        <v>43</v>
      </c>
      <c r="F984" s="1">
        <v>58</v>
      </c>
      <c r="G984" s="1" t="s">
        <v>67</v>
      </c>
      <c r="H984" s="1" t="s">
        <v>68</v>
      </c>
      <c r="I984" s="1" t="s">
        <v>67</v>
      </c>
      <c r="J984" s="1" t="s">
        <v>32</v>
      </c>
      <c r="K984" s="1">
        <v>3</v>
      </c>
      <c r="L984" s="1">
        <v>31885</v>
      </c>
      <c r="M984" s="1">
        <v>5</v>
      </c>
      <c r="N984" s="1">
        <v>4782.75</v>
      </c>
      <c r="O984" s="1">
        <v>16357</v>
      </c>
      <c r="P984" s="1">
        <v>220</v>
      </c>
      <c r="Q984" s="1">
        <v>107449.26</v>
      </c>
      <c r="R984" s="1" t="s">
        <v>33</v>
      </c>
      <c r="S984" s="1" t="s">
        <v>34</v>
      </c>
      <c r="T984" s="1" t="s">
        <v>76</v>
      </c>
      <c r="U984" s="1" t="s">
        <v>77</v>
      </c>
      <c r="V984" s="1" t="s">
        <v>57</v>
      </c>
      <c r="W984" s="1">
        <v>8</v>
      </c>
      <c r="X984" s="1" t="s">
        <v>38</v>
      </c>
      <c r="Y984" s="1">
        <v>1</v>
      </c>
      <c r="Z984" s="1" t="s">
        <v>47</v>
      </c>
    </row>
    <row r="985" spans="1:26" x14ac:dyDescent="0.3">
      <c r="A985" s="1" t="s">
        <v>1670</v>
      </c>
      <c r="B985" s="2">
        <v>45969</v>
      </c>
      <c r="C985" s="1" t="s">
        <v>1671</v>
      </c>
      <c r="D985" s="1" t="s">
        <v>28</v>
      </c>
      <c r="E985" s="1" t="s">
        <v>43</v>
      </c>
      <c r="F985" s="1">
        <v>32</v>
      </c>
      <c r="G985" s="1" t="s">
        <v>67</v>
      </c>
      <c r="H985" s="1" t="s">
        <v>68</v>
      </c>
      <c r="I985" s="1" t="s">
        <v>67</v>
      </c>
      <c r="J985" s="1" t="s">
        <v>69</v>
      </c>
      <c r="K985" s="1">
        <v>2</v>
      </c>
      <c r="L985" s="1">
        <v>12286</v>
      </c>
      <c r="M985" s="1">
        <v>20</v>
      </c>
      <c r="N985" s="1">
        <v>4914.3999999999996</v>
      </c>
      <c r="O985" s="1">
        <v>3538.37</v>
      </c>
      <c r="P985" s="1">
        <v>422</v>
      </c>
      <c r="Q985" s="1">
        <v>23617.97</v>
      </c>
      <c r="R985" s="1" t="s">
        <v>83</v>
      </c>
      <c r="S985" s="1" t="s">
        <v>63</v>
      </c>
      <c r="T985" s="1" t="s">
        <v>70</v>
      </c>
      <c r="U985" s="1" t="s">
        <v>56</v>
      </c>
      <c r="V985" s="1" t="s">
        <v>57</v>
      </c>
      <c r="W985" s="1">
        <v>4</v>
      </c>
      <c r="X985" s="1" t="s">
        <v>38</v>
      </c>
      <c r="Y985" s="1">
        <v>3</v>
      </c>
      <c r="Z985" s="1" t="s">
        <v>58</v>
      </c>
    </row>
    <row r="986" spans="1:26" x14ac:dyDescent="0.3">
      <c r="A986" s="1" t="s">
        <v>1672</v>
      </c>
      <c r="B986" s="2">
        <v>45765</v>
      </c>
      <c r="C986" s="1" t="s">
        <v>1124</v>
      </c>
      <c r="D986" s="1" t="s">
        <v>111</v>
      </c>
      <c r="E986" s="1" t="s">
        <v>29</v>
      </c>
      <c r="F986" s="1">
        <v>23</v>
      </c>
      <c r="G986" s="1" t="s">
        <v>134</v>
      </c>
      <c r="H986" s="1" t="s">
        <v>31</v>
      </c>
      <c r="I986" s="1" t="s">
        <v>134</v>
      </c>
      <c r="J986" s="1" t="s">
        <v>112</v>
      </c>
      <c r="K986" s="1">
        <v>3</v>
      </c>
      <c r="L986" s="1">
        <v>49317</v>
      </c>
      <c r="M986" s="1">
        <v>20</v>
      </c>
      <c r="N986" s="1">
        <v>29590.2</v>
      </c>
      <c r="O986" s="1">
        <v>21304.94</v>
      </c>
      <c r="P986" s="1">
        <v>76</v>
      </c>
      <c r="Q986" s="1">
        <v>139741.74</v>
      </c>
      <c r="R986" s="1" t="s">
        <v>45</v>
      </c>
      <c r="S986" s="1" t="s">
        <v>34</v>
      </c>
      <c r="T986" s="1" t="s">
        <v>46</v>
      </c>
      <c r="U986" s="1" t="s">
        <v>36</v>
      </c>
      <c r="V986" s="1" t="s">
        <v>37</v>
      </c>
      <c r="W986" s="1">
        <v>7</v>
      </c>
      <c r="X986" s="1" t="s">
        <v>38</v>
      </c>
      <c r="Y986" s="1">
        <v>4</v>
      </c>
      <c r="Z986" s="1" t="s">
        <v>91</v>
      </c>
    </row>
    <row r="987" spans="1:26" x14ac:dyDescent="0.3">
      <c r="A987" s="1" t="s">
        <v>1673</v>
      </c>
      <c r="B987" s="2">
        <v>46066</v>
      </c>
      <c r="C987" s="1" t="s">
        <v>1674</v>
      </c>
      <c r="D987" s="1" t="s">
        <v>28</v>
      </c>
      <c r="E987" s="1" t="s">
        <v>43</v>
      </c>
      <c r="F987" s="1">
        <v>59</v>
      </c>
      <c r="G987" s="1" t="s">
        <v>94</v>
      </c>
      <c r="H987" s="1" t="s">
        <v>31</v>
      </c>
      <c r="I987" s="1" t="s">
        <v>94</v>
      </c>
      <c r="J987" s="1" t="s">
        <v>69</v>
      </c>
      <c r="K987" s="1">
        <v>1</v>
      </c>
      <c r="L987" s="1">
        <v>2308</v>
      </c>
      <c r="M987" s="1">
        <v>20</v>
      </c>
      <c r="N987" s="1">
        <v>461.6</v>
      </c>
      <c r="O987" s="1">
        <v>332.35</v>
      </c>
      <c r="P987" s="1">
        <v>445</v>
      </c>
      <c r="Q987" s="1">
        <v>2623.75</v>
      </c>
      <c r="R987" s="1" t="s">
        <v>45</v>
      </c>
      <c r="S987" s="1" t="s">
        <v>63</v>
      </c>
      <c r="T987" s="1" t="s">
        <v>84</v>
      </c>
      <c r="U987" s="1" t="s">
        <v>85</v>
      </c>
      <c r="V987" s="1" t="s">
        <v>86</v>
      </c>
      <c r="W987" s="1">
        <v>6</v>
      </c>
      <c r="X987" s="1" t="s">
        <v>38</v>
      </c>
      <c r="Y987" s="1">
        <v>5</v>
      </c>
      <c r="Z987" s="1" t="s">
        <v>91</v>
      </c>
    </row>
    <row r="988" spans="1:26" x14ac:dyDescent="0.3">
      <c r="A988" s="1" t="s">
        <v>1675</v>
      </c>
      <c r="B988" s="2">
        <v>46119</v>
      </c>
      <c r="C988" s="1" t="s">
        <v>1676</v>
      </c>
      <c r="D988" s="1" t="s">
        <v>73</v>
      </c>
      <c r="E988" s="1" t="s">
        <v>43</v>
      </c>
      <c r="F988" s="1">
        <v>49</v>
      </c>
      <c r="G988" s="1" t="s">
        <v>51</v>
      </c>
      <c r="H988" s="1" t="s">
        <v>52</v>
      </c>
      <c r="I988" s="1" t="s">
        <v>51</v>
      </c>
      <c r="J988" s="1" t="s">
        <v>150</v>
      </c>
      <c r="K988" s="1">
        <v>2</v>
      </c>
      <c r="L988" s="1">
        <v>12242</v>
      </c>
      <c r="M988" s="1">
        <v>5</v>
      </c>
      <c r="N988" s="1">
        <v>1224.2</v>
      </c>
      <c r="O988" s="1">
        <v>4186.76</v>
      </c>
      <c r="P988" s="1">
        <v>314</v>
      </c>
      <c r="Q988" s="1">
        <v>27760.560000000001</v>
      </c>
      <c r="R988" s="1" t="s">
        <v>33</v>
      </c>
      <c r="S988" s="1" t="s">
        <v>34</v>
      </c>
      <c r="T988" s="1" t="s">
        <v>103</v>
      </c>
      <c r="U988" s="1" t="s">
        <v>103</v>
      </c>
      <c r="V988" s="1" t="s">
        <v>57</v>
      </c>
      <c r="W988" s="1">
        <v>10</v>
      </c>
      <c r="X988" s="1" t="s">
        <v>47</v>
      </c>
      <c r="Y988" s="1">
        <v>4</v>
      </c>
      <c r="Z988" s="1" t="s">
        <v>47</v>
      </c>
    </row>
    <row r="989" spans="1:26" x14ac:dyDescent="0.3">
      <c r="A989" s="1" t="s">
        <v>1677</v>
      </c>
      <c r="B989" s="2">
        <v>45854</v>
      </c>
      <c r="C989" s="1" t="s">
        <v>336</v>
      </c>
      <c r="D989" s="1" t="s">
        <v>66</v>
      </c>
      <c r="E989" s="1" t="s">
        <v>43</v>
      </c>
      <c r="F989" s="1">
        <v>54</v>
      </c>
      <c r="G989" s="1" t="s">
        <v>139</v>
      </c>
      <c r="H989" s="1" t="s">
        <v>31</v>
      </c>
      <c r="I989" s="1" t="s">
        <v>139</v>
      </c>
      <c r="J989" s="1" t="s">
        <v>32</v>
      </c>
      <c r="K989" s="1">
        <v>4</v>
      </c>
      <c r="L989" s="1">
        <v>2691</v>
      </c>
      <c r="M989" s="1">
        <v>15</v>
      </c>
      <c r="N989" s="1">
        <v>1614.6</v>
      </c>
      <c r="O989" s="1">
        <v>1646.89</v>
      </c>
      <c r="P989" s="1">
        <v>248</v>
      </c>
      <c r="Q989" s="1">
        <v>11044.29</v>
      </c>
      <c r="R989" s="1" t="s">
        <v>33</v>
      </c>
      <c r="S989" s="1" t="s">
        <v>63</v>
      </c>
      <c r="T989" s="1" t="s">
        <v>55</v>
      </c>
      <c r="U989" s="1" t="s">
        <v>56</v>
      </c>
      <c r="V989" s="1" t="s">
        <v>57</v>
      </c>
      <c r="W989" s="1">
        <v>9</v>
      </c>
      <c r="X989" s="1" t="s">
        <v>38</v>
      </c>
      <c r="Y989" s="1">
        <v>1</v>
      </c>
      <c r="Z989" s="1" t="s">
        <v>47</v>
      </c>
    </row>
    <row r="990" spans="1:26" x14ac:dyDescent="0.3">
      <c r="A990" s="1" t="s">
        <v>1678</v>
      </c>
      <c r="B990" s="2">
        <v>45875</v>
      </c>
      <c r="C990" s="1" t="s">
        <v>1679</v>
      </c>
      <c r="D990" s="1" t="s">
        <v>108</v>
      </c>
      <c r="E990" s="1" t="s">
        <v>43</v>
      </c>
      <c r="F990" s="1">
        <v>52</v>
      </c>
      <c r="G990" s="1" t="s">
        <v>74</v>
      </c>
      <c r="H990" s="1" t="s">
        <v>31</v>
      </c>
      <c r="I990" s="1" t="s">
        <v>74</v>
      </c>
      <c r="J990" s="1" t="s">
        <v>150</v>
      </c>
      <c r="K990" s="1">
        <v>1</v>
      </c>
      <c r="L990" s="1">
        <v>3151</v>
      </c>
      <c r="M990" s="1">
        <v>15</v>
      </c>
      <c r="N990" s="1">
        <v>472.65</v>
      </c>
      <c r="O990" s="1">
        <v>482.1</v>
      </c>
      <c r="P990" s="1">
        <v>224</v>
      </c>
      <c r="Q990" s="1">
        <v>3384.45</v>
      </c>
      <c r="R990" s="1" t="s">
        <v>54</v>
      </c>
      <c r="S990" s="1" t="s">
        <v>63</v>
      </c>
      <c r="T990" s="1" t="s">
        <v>84</v>
      </c>
      <c r="U990" s="1" t="s">
        <v>85</v>
      </c>
      <c r="V990" s="1" t="s">
        <v>86</v>
      </c>
      <c r="W990" s="1">
        <v>6</v>
      </c>
      <c r="X990" s="1" t="s">
        <v>38</v>
      </c>
      <c r="Y990" s="1">
        <v>2</v>
      </c>
      <c r="Z990" s="1" t="s">
        <v>39</v>
      </c>
    </row>
    <row r="991" spans="1:26" x14ac:dyDescent="0.3">
      <c r="A991" s="1" t="s">
        <v>1680</v>
      </c>
      <c r="B991" s="2">
        <v>45974</v>
      </c>
      <c r="C991" s="1" t="s">
        <v>728</v>
      </c>
      <c r="D991" s="1" t="s">
        <v>111</v>
      </c>
      <c r="E991" s="1" t="s">
        <v>43</v>
      </c>
      <c r="F991" s="1">
        <v>52</v>
      </c>
      <c r="G991" s="1" t="s">
        <v>139</v>
      </c>
      <c r="H991" s="1" t="s">
        <v>31</v>
      </c>
      <c r="I991" s="1" t="s">
        <v>139</v>
      </c>
      <c r="J991" s="1" t="s">
        <v>112</v>
      </c>
      <c r="K991" s="1">
        <v>5</v>
      </c>
      <c r="L991" s="1">
        <v>31839</v>
      </c>
      <c r="M991" s="1">
        <v>15</v>
      </c>
      <c r="N991" s="1">
        <v>23879.25</v>
      </c>
      <c r="O991" s="1">
        <v>24356.83</v>
      </c>
      <c r="P991" s="1">
        <v>295</v>
      </c>
      <c r="Q991" s="1">
        <v>159967.57999999999</v>
      </c>
      <c r="R991" s="1" t="s">
        <v>33</v>
      </c>
      <c r="S991" s="1" t="s">
        <v>34</v>
      </c>
      <c r="T991" s="1" t="s">
        <v>46</v>
      </c>
      <c r="U991" s="1" t="s">
        <v>36</v>
      </c>
      <c r="V991" s="1" t="s">
        <v>37</v>
      </c>
      <c r="W991" s="1">
        <v>3</v>
      </c>
      <c r="X991" s="1" t="s">
        <v>47</v>
      </c>
      <c r="Y991" s="1">
        <v>4</v>
      </c>
      <c r="Z991" s="1" t="s">
        <v>47</v>
      </c>
    </row>
    <row r="992" spans="1:26" x14ac:dyDescent="0.3">
      <c r="A992" s="1" t="s">
        <v>1681</v>
      </c>
      <c r="B992" s="2">
        <v>45954</v>
      </c>
      <c r="C992" s="1" t="s">
        <v>551</v>
      </c>
      <c r="D992" s="1" t="s">
        <v>66</v>
      </c>
      <c r="E992" s="1" t="s">
        <v>43</v>
      </c>
      <c r="F992" s="1">
        <v>54</v>
      </c>
      <c r="G992" s="1" t="s">
        <v>67</v>
      </c>
      <c r="H992" s="1" t="s">
        <v>68</v>
      </c>
      <c r="I992" s="1" t="s">
        <v>67</v>
      </c>
      <c r="J992" s="1" t="s">
        <v>53</v>
      </c>
      <c r="K992" s="1">
        <v>1</v>
      </c>
      <c r="L992" s="1">
        <v>18336</v>
      </c>
      <c r="M992" s="1">
        <v>0</v>
      </c>
      <c r="N992" s="1">
        <v>0</v>
      </c>
      <c r="O992" s="1">
        <v>3300.48</v>
      </c>
      <c r="P992" s="1">
        <v>116</v>
      </c>
      <c r="Q992" s="1">
        <v>21752.48</v>
      </c>
      <c r="R992" s="1" t="s">
        <v>83</v>
      </c>
      <c r="S992" s="1" t="s">
        <v>63</v>
      </c>
      <c r="T992" s="1" t="s">
        <v>95</v>
      </c>
      <c r="U992" s="1" t="s">
        <v>96</v>
      </c>
      <c r="V992" s="1" t="s">
        <v>57</v>
      </c>
      <c r="W992" s="1">
        <v>8</v>
      </c>
      <c r="X992" s="1" t="s">
        <v>38</v>
      </c>
      <c r="Y992" s="1">
        <v>2</v>
      </c>
      <c r="Z992" s="1" t="s">
        <v>47</v>
      </c>
    </row>
    <row r="993" spans="1:26" x14ac:dyDescent="0.3">
      <c r="A993" s="1" t="s">
        <v>1682</v>
      </c>
      <c r="B993" s="2">
        <v>46053</v>
      </c>
      <c r="C993" s="1" t="s">
        <v>1584</v>
      </c>
      <c r="D993" s="1" t="s">
        <v>89</v>
      </c>
      <c r="E993" s="1" t="s">
        <v>29</v>
      </c>
      <c r="F993" s="1">
        <v>57</v>
      </c>
      <c r="G993" s="1" t="s">
        <v>51</v>
      </c>
      <c r="H993" s="1" t="s">
        <v>52</v>
      </c>
      <c r="I993" s="1" t="s">
        <v>51</v>
      </c>
      <c r="J993" s="1" t="s">
        <v>112</v>
      </c>
      <c r="K993" s="1">
        <v>5</v>
      </c>
      <c r="L993" s="1">
        <v>39114</v>
      </c>
      <c r="M993" s="1">
        <v>20</v>
      </c>
      <c r="N993" s="1">
        <v>39114</v>
      </c>
      <c r="O993" s="1">
        <v>28162.080000000002</v>
      </c>
      <c r="P993" s="1">
        <v>411</v>
      </c>
      <c r="Q993" s="1">
        <v>185029.08</v>
      </c>
      <c r="R993" s="1" t="s">
        <v>33</v>
      </c>
      <c r="S993" s="1" t="s">
        <v>63</v>
      </c>
      <c r="T993" s="1" t="s">
        <v>35</v>
      </c>
      <c r="U993" s="1" t="s">
        <v>36</v>
      </c>
      <c r="V993" s="1" t="s">
        <v>37</v>
      </c>
      <c r="W993" s="1">
        <v>8</v>
      </c>
      <c r="X993" s="1" t="s">
        <v>47</v>
      </c>
      <c r="Y993" s="1">
        <v>2</v>
      </c>
      <c r="Z993" s="1" t="s">
        <v>39</v>
      </c>
    </row>
    <row r="994" spans="1:26" x14ac:dyDescent="0.3">
      <c r="A994" s="1" t="s">
        <v>1683</v>
      </c>
      <c r="B994" s="2">
        <v>45899</v>
      </c>
      <c r="C994" s="1" t="s">
        <v>1684</v>
      </c>
      <c r="D994" s="1" t="s">
        <v>89</v>
      </c>
      <c r="E994" s="1" t="s">
        <v>43</v>
      </c>
      <c r="F994" s="1">
        <v>27</v>
      </c>
      <c r="G994" s="1" t="s">
        <v>67</v>
      </c>
      <c r="H994" s="1" t="s">
        <v>68</v>
      </c>
      <c r="I994" s="1" t="s">
        <v>67</v>
      </c>
      <c r="J994" s="1" t="s">
        <v>102</v>
      </c>
      <c r="K994" s="1">
        <v>1</v>
      </c>
      <c r="L994" s="1">
        <v>17294</v>
      </c>
      <c r="M994" s="1">
        <v>15</v>
      </c>
      <c r="N994" s="1">
        <v>2594.1</v>
      </c>
      <c r="O994" s="1">
        <v>2645.98</v>
      </c>
      <c r="P994" s="1">
        <v>210</v>
      </c>
      <c r="Q994" s="1">
        <v>17555.88</v>
      </c>
      <c r="R994" s="1" t="s">
        <v>45</v>
      </c>
      <c r="S994" s="1" t="s">
        <v>34</v>
      </c>
      <c r="T994" s="1" t="s">
        <v>76</v>
      </c>
      <c r="U994" s="1" t="s">
        <v>77</v>
      </c>
      <c r="V994" s="1" t="s">
        <v>57</v>
      </c>
      <c r="W994" s="1">
        <v>3</v>
      </c>
      <c r="X994" s="1" t="s">
        <v>47</v>
      </c>
      <c r="Y994" s="1">
        <v>2</v>
      </c>
      <c r="Z994" s="1" t="s">
        <v>91</v>
      </c>
    </row>
    <row r="995" spans="1:26" x14ac:dyDescent="0.3">
      <c r="A995" s="1" t="s">
        <v>1685</v>
      </c>
      <c r="B995" s="2">
        <v>46083</v>
      </c>
      <c r="C995" s="1" t="s">
        <v>133</v>
      </c>
      <c r="D995" s="1" t="s">
        <v>73</v>
      </c>
      <c r="E995" s="1" t="s">
        <v>29</v>
      </c>
      <c r="F995" s="1">
        <v>48</v>
      </c>
      <c r="G995" s="1" t="s">
        <v>99</v>
      </c>
      <c r="H995" s="1" t="s">
        <v>52</v>
      </c>
      <c r="I995" s="1" t="s">
        <v>99</v>
      </c>
      <c r="J995" s="1" t="s">
        <v>150</v>
      </c>
      <c r="K995" s="1">
        <v>1</v>
      </c>
      <c r="L995" s="1">
        <v>24272</v>
      </c>
      <c r="M995" s="1">
        <v>20</v>
      </c>
      <c r="N995" s="1">
        <v>4854.3999999999996</v>
      </c>
      <c r="O995" s="1">
        <v>3495.17</v>
      </c>
      <c r="P995" s="1">
        <v>462</v>
      </c>
      <c r="Q995" s="1">
        <v>23374.77</v>
      </c>
      <c r="R995" s="1" t="s">
        <v>83</v>
      </c>
      <c r="S995" s="1" t="s">
        <v>34</v>
      </c>
      <c r="T995" s="1" t="s">
        <v>84</v>
      </c>
      <c r="U995" s="1" t="s">
        <v>85</v>
      </c>
      <c r="V995" s="1" t="s">
        <v>86</v>
      </c>
      <c r="W995" s="1">
        <v>7</v>
      </c>
      <c r="X995" s="1" t="s">
        <v>47</v>
      </c>
      <c r="Y995" s="1">
        <v>4</v>
      </c>
      <c r="Z995" s="1" t="s">
        <v>58</v>
      </c>
    </row>
    <row r="996" spans="1:26" x14ac:dyDescent="0.3">
      <c r="A996" s="1" t="s">
        <v>1686</v>
      </c>
      <c r="B996" s="2">
        <v>45848</v>
      </c>
      <c r="C996" s="1" t="s">
        <v>1687</v>
      </c>
      <c r="D996" s="1" t="s">
        <v>66</v>
      </c>
      <c r="E996" s="1" t="s">
        <v>43</v>
      </c>
      <c r="F996" s="1">
        <v>50</v>
      </c>
      <c r="G996" s="1" t="s">
        <v>74</v>
      </c>
      <c r="H996" s="1" t="s">
        <v>31</v>
      </c>
      <c r="I996" s="1" t="s">
        <v>74</v>
      </c>
      <c r="J996" s="1" t="s">
        <v>69</v>
      </c>
      <c r="K996" s="1">
        <v>2</v>
      </c>
      <c r="L996" s="1">
        <v>39387</v>
      </c>
      <c r="M996" s="1">
        <v>15</v>
      </c>
      <c r="N996" s="1">
        <v>11816.1</v>
      </c>
      <c r="O996" s="1">
        <v>12052.42</v>
      </c>
      <c r="P996" s="1">
        <v>127</v>
      </c>
      <c r="Q996" s="1">
        <v>79137.320000000007</v>
      </c>
      <c r="R996" s="1" t="s">
        <v>54</v>
      </c>
      <c r="S996" s="1" t="s">
        <v>63</v>
      </c>
      <c r="T996" s="1" t="s">
        <v>103</v>
      </c>
      <c r="U996" s="1" t="s">
        <v>103</v>
      </c>
      <c r="V996" s="1" t="s">
        <v>57</v>
      </c>
      <c r="W996" s="1">
        <v>5</v>
      </c>
      <c r="X996" s="1" t="s">
        <v>38</v>
      </c>
      <c r="Y996" s="1">
        <v>5</v>
      </c>
      <c r="Z996" s="1" t="s">
        <v>39</v>
      </c>
    </row>
    <row r="997" spans="1:26" x14ac:dyDescent="0.3">
      <c r="A997" s="1" t="s">
        <v>1688</v>
      </c>
      <c r="B997" s="2">
        <v>45786</v>
      </c>
      <c r="C997" s="1" t="s">
        <v>1282</v>
      </c>
      <c r="D997" s="1" t="s">
        <v>89</v>
      </c>
      <c r="E997" s="1" t="s">
        <v>43</v>
      </c>
      <c r="F997" s="1">
        <v>30</v>
      </c>
      <c r="G997" s="1" t="s">
        <v>139</v>
      </c>
      <c r="H997" s="1" t="s">
        <v>31</v>
      </c>
      <c r="I997" s="1" t="s">
        <v>139</v>
      </c>
      <c r="J997" s="1" t="s">
        <v>75</v>
      </c>
      <c r="K997" s="1">
        <v>4</v>
      </c>
      <c r="L997" s="1">
        <v>1783</v>
      </c>
      <c r="M997" s="1">
        <v>5</v>
      </c>
      <c r="N997" s="1">
        <v>356.6</v>
      </c>
      <c r="O997" s="1">
        <v>1219.57</v>
      </c>
      <c r="P997" s="1">
        <v>382</v>
      </c>
      <c r="Q997" s="1">
        <v>8376.9699999999993</v>
      </c>
      <c r="R997" s="1" t="s">
        <v>54</v>
      </c>
      <c r="S997" s="1" t="s">
        <v>63</v>
      </c>
      <c r="T997" s="1" t="s">
        <v>55</v>
      </c>
      <c r="U997" s="1" t="s">
        <v>56</v>
      </c>
      <c r="V997" s="1" t="s">
        <v>57</v>
      </c>
      <c r="W997" s="1">
        <v>6</v>
      </c>
      <c r="X997" s="1" t="s">
        <v>47</v>
      </c>
      <c r="Y997" s="1">
        <v>5</v>
      </c>
      <c r="Z997" s="1" t="s">
        <v>39</v>
      </c>
    </row>
    <row r="998" spans="1:26" x14ac:dyDescent="0.3">
      <c r="A998" s="1" t="s">
        <v>1689</v>
      </c>
      <c r="B998" s="2">
        <v>45831</v>
      </c>
      <c r="C998" s="1" t="s">
        <v>1690</v>
      </c>
      <c r="D998" s="1" t="s">
        <v>28</v>
      </c>
      <c r="E998" s="1" t="s">
        <v>43</v>
      </c>
      <c r="F998" s="1">
        <v>34</v>
      </c>
      <c r="G998" s="1" t="s">
        <v>139</v>
      </c>
      <c r="H998" s="1" t="s">
        <v>31</v>
      </c>
      <c r="I998" s="1" t="s">
        <v>139</v>
      </c>
      <c r="J998" s="1" t="s">
        <v>112</v>
      </c>
      <c r="K998" s="1">
        <v>2</v>
      </c>
      <c r="L998" s="1">
        <v>9037</v>
      </c>
      <c r="M998" s="1">
        <v>20</v>
      </c>
      <c r="N998" s="1">
        <v>3614.8</v>
      </c>
      <c r="O998" s="1">
        <v>2602.66</v>
      </c>
      <c r="P998" s="1">
        <v>427</v>
      </c>
      <c r="Q998" s="1">
        <v>17488.86</v>
      </c>
      <c r="R998" s="1" t="s">
        <v>83</v>
      </c>
      <c r="S998" s="1" t="s">
        <v>63</v>
      </c>
      <c r="T998" s="1" t="s">
        <v>35</v>
      </c>
      <c r="U998" s="1" t="s">
        <v>36</v>
      </c>
      <c r="V998" s="1" t="s">
        <v>37</v>
      </c>
      <c r="W998" s="1">
        <v>8</v>
      </c>
      <c r="X998" s="1" t="s">
        <v>38</v>
      </c>
      <c r="Y998" s="1">
        <v>4</v>
      </c>
      <c r="Z998" s="1" t="s">
        <v>91</v>
      </c>
    </row>
    <row r="999" spans="1:26" x14ac:dyDescent="0.3">
      <c r="A999" s="1" t="s">
        <v>1691</v>
      </c>
      <c r="B999" s="2">
        <v>45946</v>
      </c>
      <c r="C999" s="1" t="s">
        <v>1692</v>
      </c>
      <c r="D999" s="1" t="s">
        <v>80</v>
      </c>
      <c r="E999" s="1" t="s">
        <v>29</v>
      </c>
      <c r="F999" s="1">
        <v>28</v>
      </c>
      <c r="G999" s="1" t="s">
        <v>99</v>
      </c>
      <c r="H999" s="1" t="s">
        <v>52</v>
      </c>
      <c r="I999" s="1" t="s">
        <v>99</v>
      </c>
      <c r="J999" s="1" t="s">
        <v>53</v>
      </c>
      <c r="K999" s="1">
        <v>4</v>
      </c>
      <c r="L999" s="1">
        <v>4700</v>
      </c>
      <c r="M999" s="1">
        <v>10</v>
      </c>
      <c r="N999" s="1">
        <v>1880</v>
      </c>
      <c r="O999" s="1">
        <v>3045.6</v>
      </c>
      <c r="P999" s="1">
        <v>112</v>
      </c>
      <c r="Q999" s="1">
        <v>20077.599999999999</v>
      </c>
      <c r="R999" s="1" t="s">
        <v>54</v>
      </c>
      <c r="S999" s="1" t="s">
        <v>34</v>
      </c>
      <c r="T999" s="1" t="s">
        <v>95</v>
      </c>
      <c r="U999" s="1" t="s">
        <v>96</v>
      </c>
      <c r="V999" s="1" t="s">
        <v>57</v>
      </c>
      <c r="W999" s="1">
        <v>2</v>
      </c>
      <c r="X999" s="1" t="s">
        <v>38</v>
      </c>
      <c r="Y999" s="1">
        <v>3</v>
      </c>
      <c r="Z999" s="1" t="s">
        <v>58</v>
      </c>
    </row>
    <row r="1000" spans="1:26" x14ac:dyDescent="0.3">
      <c r="A1000" s="1" t="s">
        <v>1693</v>
      </c>
      <c r="B1000" s="2">
        <v>46055</v>
      </c>
      <c r="C1000" s="1" t="s">
        <v>635</v>
      </c>
      <c r="D1000" s="1" t="s">
        <v>61</v>
      </c>
      <c r="E1000" s="1" t="s">
        <v>43</v>
      </c>
      <c r="F1000" s="1">
        <v>27</v>
      </c>
      <c r="G1000" s="1" t="s">
        <v>30</v>
      </c>
      <c r="H1000" s="1" t="s">
        <v>31</v>
      </c>
      <c r="I1000" s="1" t="s">
        <v>30</v>
      </c>
      <c r="J1000" s="1" t="s">
        <v>150</v>
      </c>
      <c r="K1000" s="1">
        <v>3</v>
      </c>
      <c r="L1000" s="1">
        <v>3766</v>
      </c>
      <c r="M1000" s="1">
        <v>0</v>
      </c>
      <c r="N1000" s="1">
        <v>0</v>
      </c>
      <c r="O1000" s="1">
        <v>2033.64</v>
      </c>
      <c r="P1000" s="1">
        <v>38</v>
      </c>
      <c r="Q1000" s="1">
        <v>13369.64</v>
      </c>
      <c r="R1000" s="1" t="s">
        <v>83</v>
      </c>
      <c r="S1000" s="1" t="s">
        <v>63</v>
      </c>
      <c r="T1000" s="1" t="s">
        <v>55</v>
      </c>
      <c r="U1000" s="1" t="s">
        <v>56</v>
      </c>
      <c r="V1000" s="1" t="s">
        <v>57</v>
      </c>
      <c r="W1000" s="1">
        <v>2</v>
      </c>
      <c r="X1000" s="1" t="s">
        <v>47</v>
      </c>
      <c r="Y1000" s="1">
        <v>5</v>
      </c>
      <c r="Z1000" s="1" t="s">
        <v>58</v>
      </c>
    </row>
    <row r="1001" spans="1:26" x14ac:dyDescent="0.3">
      <c r="A1001" s="1" t="s">
        <v>1694</v>
      </c>
      <c r="B1001" s="2">
        <v>46006</v>
      </c>
      <c r="C1001" s="1" t="s">
        <v>1069</v>
      </c>
      <c r="D1001" s="1" t="s">
        <v>73</v>
      </c>
      <c r="E1001" s="1" t="s">
        <v>29</v>
      </c>
      <c r="F1001" s="1">
        <v>39</v>
      </c>
      <c r="G1001" s="1" t="s">
        <v>30</v>
      </c>
      <c r="H1001" s="1" t="s">
        <v>31</v>
      </c>
      <c r="I1001" s="1" t="s">
        <v>30</v>
      </c>
      <c r="J1001" s="1" t="s">
        <v>201</v>
      </c>
      <c r="K1001" s="1">
        <v>3</v>
      </c>
      <c r="L1001" s="1">
        <v>26044</v>
      </c>
      <c r="M1001" s="1">
        <v>20</v>
      </c>
      <c r="N1001" s="1">
        <v>15626.4</v>
      </c>
      <c r="O1001" s="1">
        <v>11251.01</v>
      </c>
      <c r="P1001" s="1">
        <v>346</v>
      </c>
      <c r="Q1001" s="1">
        <v>74102.61</v>
      </c>
      <c r="R1001" s="1" t="s">
        <v>33</v>
      </c>
      <c r="S1001" s="1" t="s">
        <v>34</v>
      </c>
      <c r="T1001" s="1" t="s">
        <v>70</v>
      </c>
      <c r="U1001" s="1" t="s">
        <v>56</v>
      </c>
      <c r="V1001" s="1" t="s">
        <v>57</v>
      </c>
      <c r="W1001" s="1">
        <v>9</v>
      </c>
      <c r="X1001" s="1" t="s">
        <v>47</v>
      </c>
      <c r="Y1001" s="1">
        <v>3</v>
      </c>
      <c r="Z1001" s="1"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7F11F-E6E5-48FA-BCB7-53D51CC04E4D}">
  <dimension ref="A2:AJ30"/>
  <sheetViews>
    <sheetView zoomScale="78" zoomScaleNormal="44" workbookViewId="0">
      <selection activeCell="D19" sqref="D19"/>
    </sheetView>
  </sheetViews>
  <sheetFormatPr defaultRowHeight="14.4" x14ac:dyDescent="0.3"/>
  <cols>
    <col min="1" max="1" width="13.21875" bestFit="1" customWidth="1"/>
    <col min="2" max="2" width="18.77734375" bestFit="1" customWidth="1"/>
    <col min="5" max="5" width="13.5546875" bestFit="1" customWidth="1"/>
    <col min="6" max="6" width="18.77734375" bestFit="1" customWidth="1"/>
    <col min="9" max="9" width="13.21875" bestFit="1" customWidth="1"/>
    <col min="10" max="10" width="18.77734375" bestFit="1" customWidth="1"/>
    <col min="13" max="13" width="14.5546875" bestFit="1" customWidth="1"/>
    <col min="14" max="14" width="18.77734375" bestFit="1" customWidth="1"/>
    <col min="17" max="17" width="13.21875" bestFit="1" customWidth="1"/>
    <col min="18" max="18" width="18.77734375" bestFit="1" customWidth="1"/>
    <col min="21" max="21" width="13.21875" bestFit="1" customWidth="1"/>
    <col min="22" max="22" width="18.77734375" bestFit="1" customWidth="1"/>
    <col min="25" max="25" width="13.21875" bestFit="1" customWidth="1"/>
    <col min="26" max="26" width="18.77734375" bestFit="1" customWidth="1"/>
    <col min="29" max="29" width="18.77734375" bestFit="1" customWidth="1"/>
    <col min="32" max="32" width="21.77734375" bestFit="1" customWidth="1"/>
    <col min="33" max="33" width="18.77734375" bestFit="1" customWidth="1"/>
    <col min="36" max="36" width="16" bestFit="1" customWidth="1"/>
    <col min="37" max="37" width="18.77734375" bestFit="1" customWidth="1"/>
  </cols>
  <sheetData>
    <row r="2" spans="1:36" x14ac:dyDescent="0.3">
      <c r="AC2" s="8">
        <f>AC4</f>
        <v>80659661.129999921</v>
      </c>
      <c r="AF2" s="6">
        <f>AF4</f>
        <v>5.4630000000000001</v>
      </c>
      <c r="AJ2" s="7">
        <f>AJ4</f>
        <v>3.0019999999999998</v>
      </c>
    </row>
    <row r="3" spans="1:36" x14ac:dyDescent="0.3">
      <c r="A3" s="3" t="s">
        <v>1695</v>
      </c>
      <c r="B3" t="s">
        <v>1709</v>
      </c>
      <c r="E3" s="3" t="s">
        <v>1695</v>
      </c>
      <c r="F3" t="s">
        <v>1709</v>
      </c>
      <c r="I3" s="3" t="s">
        <v>1695</v>
      </c>
      <c r="J3" t="s">
        <v>1709</v>
      </c>
      <c r="M3" s="3" t="s">
        <v>1695</v>
      </c>
      <c r="N3" t="s">
        <v>1709</v>
      </c>
      <c r="Q3" s="3" t="s">
        <v>1695</v>
      </c>
      <c r="R3" t="s">
        <v>1709</v>
      </c>
      <c r="U3" s="3" t="s">
        <v>1695</v>
      </c>
      <c r="V3" t="s">
        <v>1709</v>
      </c>
      <c r="Y3" s="3" t="s">
        <v>1695</v>
      </c>
      <c r="Z3" t="s">
        <v>1709</v>
      </c>
      <c r="AC3" t="s">
        <v>1709</v>
      </c>
      <c r="AF3" t="s">
        <v>1710</v>
      </c>
      <c r="AJ3" t="s">
        <v>1711</v>
      </c>
    </row>
    <row r="4" spans="1:36" x14ac:dyDescent="0.3">
      <c r="A4" s="4" t="s">
        <v>1697</v>
      </c>
      <c r="B4" s="5">
        <v>8.56446883512961E-2</v>
      </c>
      <c r="E4" s="4" t="s">
        <v>67</v>
      </c>
      <c r="F4" s="5">
        <v>8.5756091869164983E-2</v>
      </c>
      <c r="I4" s="4" t="s">
        <v>201</v>
      </c>
      <c r="J4" s="5">
        <v>7.5605540794069045E-2</v>
      </c>
      <c r="M4" s="4" t="s">
        <v>83</v>
      </c>
      <c r="N4" s="5">
        <v>0.23484261593252237</v>
      </c>
      <c r="Q4" s="4" t="s">
        <v>63</v>
      </c>
      <c r="R4" s="5">
        <v>0.50859993267120218</v>
      </c>
      <c r="U4" s="4" t="s">
        <v>103</v>
      </c>
      <c r="V4" s="5">
        <v>0.13517930285408342</v>
      </c>
      <c r="Y4" s="4" t="s">
        <v>38</v>
      </c>
      <c r="Z4" s="5">
        <v>0.50130134262318327</v>
      </c>
      <c r="AC4" s="8">
        <v>80659661.129999921</v>
      </c>
      <c r="AF4" s="6">
        <v>5.4630000000000001</v>
      </c>
      <c r="AJ4" s="7">
        <v>3.0019999999999998</v>
      </c>
    </row>
    <row r="5" spans="1:36" x14ac:dyDescent="0.3">
      <c r="A5" s="4" t="s">
        <v>1698</v>
      </c>
      <c r="B5" s="5">
        <v>6.2402314359933889E-2</v>
      </c>
      <c r="E5" s="4" t="s">
        <v>90</v>
      </c>
      <c r="F5" s="5">
        <v>8.9874505030666019E-2</v>
      </c>
      <c r="I5" s="4" t="s">
        <v>125</v>
      </c>
      <c r="J5" s="5">
        <v>9.8825594954492446E-2</v>
      </c>
      <c r="M5" s="4" t="s">
        <v>45</v>
      </c>
      <c r="N5" s="5">
        <v>0.24382527603609319</v>
      </c>
      <c r="Q5" s="4" t="s">
        <v>34</v>
      </c>
      <c r="R5" s="5">
        <v>0.49140006732879776</v>
      </c>
      <c r="U5" s="4" t="s">
        <v>85</v>
      </c>
      <c r="V5" s="5">
        <v>0.120176115473348</v>
      </c>
      <c r="Y5" s="4" t="s">
        <v>47</v>
      </c>
      <c r="Z5" s="5">
        <v>0.49869865737681679</v>
      </c>
    </row>
    <row r="6" spans="1:36" x14ac:dyDescent="0.3">
      <c r="A6" s="4" t="s">
        <v>1699</v>
      </c>
      <c r="B6" s="5">
        <v>8.407114888656364E-2</v>
      </c>
      <c r="E6" s="4" t="s">
        <v>30</v>
      </c>
      <c r="F6" s="5">
        <v>0.11734726897432476</v>
      </c>
      <c r="I6" s="4" t="s">
        <v>53</v>
      </c>
      <c r="J6" s="5">
        <v>0.11045782681432896</v>
      </c>
      <c r="M6" s="4" t="s">
        <v>33</v>
      </c>
      <c r="N6" s="5">
        <v>0.25601057741513</v>
      </c>
      <c r="Q6" s="4" t="s">
        <v>1696</v>
      </c>
      <c r="R6" s="5">
        <v>1</v>
      </c>
      <c r="U6" s="4" t="s">
        <v>36</v>
      </c>
      <c r="V6" s="5">
        <v>0.27869229569127496</v>
      </c>
      <c r="Y6" s="4" t="s">
        <v>1696</v>
      </c>
      <c r="Z6" s="5">
        <v>1</v>
      </c>
    </row>
    <row r="7" spans="1:36" x14ac:dyDescent="0.3">
      <c r="A7" s="4" t="s">
        <v>1700</v>
      </c>
      <c r="B7" s="5">
        <v>8.0622742011264376E-2</v>
      </c>
      <c r="E7" s="4" t="s">
        <v>44</v>
      </c>
      <c r="F7" s="5">
        <v>0.12747846068219654</v>
      </c>
      <c r="I7" s="4" t="s">
        <v>62</v>
      </c>
      <c r="J7" s="5">
        <v>0.11831345304834903</v>
      </c>
      <c r="M7" s="4" t="s">
        <v>54</v>
      </c>
      <c r="N7" s="5">
        <v>0.26532153061625435</v>
      </c>
      <c r="U7" s="4" t="s">
        <v>56</v>
      </c>
      <c r="V7" s="5">
        <v>0.23219149755433638</v>
      </c>
    </row>
    <row r="8" spans="1:36" x14ac:dyDescent="0.3">
      <c r="A8" s="4" t="s">
        <v>1701</v>
      </c>
      <c r="B8" s="5">
        <v>7.8644186091685345E-2</v>
      </c>
      <c r="E8" s="4" t="s">
        <v>74</v>
      </c>
      <c r="F8" s="5">
        <v>9.248757006276799E-2</v>
      </c>
      <c r="I8" s="4" t="s">
        <v>69</v>
      </c>
      <c r="J8" s="5">
        <v>9.4789188088422544E-2</v>
      </c>
      <c r="M8" s="4" t="s">
        <v>1696</v>
      </c>
      <c r="N8" s="5">
        <v>1</v>
      </c>
      <c r="U8" s="4" t="s">
        <v>77</v>
      </c>
      <c r="V8" s="5">
        <v>0.10884441921780735</v>
      </c>
    </row>
    <row r="9" spans="1:36" x14ac:dyDescent="0.3">
      <c r="A9" s="4" t="s">
        <v>1702</v>
      </c>
      <c r="B9" s="5">
        <v>6.8126935856369378E-2</v>
      </c>
      <c r="E9" s="4" t="s">
        <v>139</v>
      </c>
      <c r="F9" s="5">
        <v>0.10019628047995989</v>
      </c>
      <c r="I9" s="4" t="s">
        <v>75</v>
      </c>
      <c r="J9" s="5">
        <v>9.7033368233294004E-2</v>
      </c>
      <c r="U9" s="4" t="s">
        <v>96</v>
      </c>
      <c r="V9" s="5">
        <v>0.12491636920914999</v>
      </c>
    </row>
    <row r="10" spans="1:36" x14ac:dyDescent="0.3">
      <c r="A10" s="4" t="s">
        <v>1703</v>
      </c>
      <c r="B10" s="5">
        <v>8.9830498646926327E-2</v>
      </c>
      <c r="E10" s="4" t="s">
        <v>94</v>
      </c>
      <c r="F10" s="5">
        <v>8.927502371221531E-2</v>
      </c>
      <c r="I10" s="4" t="s">
        <v>112</v>
      </c>
      <c r="J10" s="5">
        <v>0.10066246753645394</v>
      </c>
    </row>
    <row r="11" spans="1:36" x14ac:dyDescent="0.3">
      <c r="A11" s="4" t="s">
        <v>1704</v>
      </c>
      <c r="B11" s="5">
        <v>8.8095021606248089E-2</v>
      </c>
      <c r="E11" s="4" t="s">
        <v>51</v>
      </c>
      <c r="F11" s="5">
        <v>0.10320517782219943</v>
      </c>
      <c r="I11" s="4" t="s">
        <v>150</v>
      </c>
      <c r="J11" s="5">
        <v>0.10197751335383029</v>
      </c>
    </row>
    <row r="12" spans="1:36" x14ac:dyDescent="0.3">
      <c r="A12" s="4" t="s">
        <v>1705</v>
      </c>
      <c r="B12" s="5">
        <v>8.9153586182441749E-2</v>
      </c>
      <c r="E12" s="4" t="s">
        <v>134</v>
      </c>
      <c r="F12" s="5">
        <v>8.9246608145277753E-2</v>
      </c>
      <c r="I12" s="4" t="s">
        <v>102</v>
      </c>
      <c r="J12" s="5">
        <v>8.4144933724196513E-2</v>
      </c>
    </row>
    <row r="13" spans="1:36" x14ac:dyDescent="0.3">
      <c r="A13" s="4" t="s">
        <v>1706</v>
      </c>
      <c r="B13" s="5">
        <v>8.6356432973028044E-2</v>
      </c>
      <c r="E13" s="4" t="s">
        <v>99</v>
      </c>
      <c r="F13" s="5">
        <v>0.10513301322122717</v>
      </c>
      <c r="I13" s="4" t="s">
        <v>32</v>
      </c>
      <c r="J13" s="5">
        <v>0.11819011345256311</v>
      </c>
      <c r="U13" t="s">
        <v>1695</v>
      </c>
      <c r="V13" t="s">
        <v>1709</v>
      </c>
    </row>
    <row r="14" spans="1:36" x14ac:dyDescent="0.3">
      <c r="A14" s="4" t="s">
        <v>1707</v>
      </c>
      <c r="B14" s="5">
        <v>8.2522954184893166E-2</v>
      </c>
      <c r="I14" s="4" t="s">
        <v>1696</v>
      </c>
      <c r="J14" s="5">
        <v>1</v>
      </c>
      <c r="U14" t="str">
        <f>IF(U4=0,"",U4)</f>
        <v>Delhi</v>
      </c>
      <c r="V14">
        <f>IF(V4=0,"",V4)</f>
        <v>0.13517930285408342</v>
      </c>
    </row>
    <row r="15" spans="1:36" x14ac:dyDescent="0.3">
      <c r="A15" s="4" t="s">
        <v>1708</v>
      </c>
      <c r="B15" s="5">
        <v>0.10452949084934995</v>
      </c>
      <c r="U15" t="str">
        <f t="shared" ref="U15:U19" si="0">IF(U5=0,"",U5)</f>
        <v>Karnataka</v>
      </c>
      <c r="V15">
        <f t="shared" ref="V15:V19" si="1">IF(V5=0,"",V5)</f>
        <v>0.120176115473348</v>
      </c>
    </row>
    <row r="16" spans="1:36" x14ac:dyDescent="0.3">
      <c r="A16" s="4" t="s">
        <v>1696</v>
      </c>
      <c r="B16" s="5">
        <v>1</v>
      </c>
      <c r="U16" t="str">
        <f t="shared" si="0"/>
        <v>Maharashtra</v>
      </c>
      <c r="V16">
        <f t="shared" si="1"/>
        <v>0.27869229569127496</v>
      </c>
    </row>
    <row r="17" spans="5:22" x14ac:dyDescent="0.3">
      <c r="U17" t="str">
        <f t="shared" si="0"/>
        <v>Punjab</v>
      </c>
      <c r="V17">
        <f t="shared" si="1"/>
        <v>0.23219149755433638</v>
      </c>
    </row>
    <row r="18" spans="5:22" x14ac:dyDescent="0.3">
      <c r="U18" t="str">
        <f t="shared" si="0"/>
        <v>Rajasthan</v>
      </c>
      <c r="V18">
        <f t="shared" si="1"/>
        <v>0.10884441921780735</v>
      </c>
    </row>
    <row r="19" spans="5:22" x14ac:dyDescent="0.3">
      <c r="U19" t="str">
        <f t="shared" si="0"/>
        <v>Uttar Pradesh</v>
      </c>
      <c r="V19">
        <f t="shared" si="1"/>
        <v>0.12491636920914999</v>
      </c>
    </row>
    <row r="20" spans="5:22" x14ac:dyDescent="0.3">
      <c r="E20" t="s">
        <v>1695</v>
      </c>
      <c r="F20" t="s">
        <v>1709</v>
      </c>
    </row>
    <row r="21" spans="5:22" x14ac:dyDescent="0.3">
      <c r="E21" t="str">
        <f>IF(E4=0,"",E4)</f>
        <v>Backpack</v>
      </c>
      <c r="F21" s="5">
        <f>IF(F4=0,"",F4)</f>
        <v>8.5756091869164983E-2</v>
      </c>
    </row>
    <row r="22" spans="5:22" x14ac:dyDescent="0.3">
      <c r="E22" t="str">
        <f t="shared" ref="E22:E30" si="2">IF(E5=0,"",E5)</f>
        <v>Camera</v>
      </c>
      <c r="F22" s="5">
        <f t="shared" ref="F22:F30" si="3">IF(F5=0,"",F5)</f>
        <v>8.9874505030666019E-2</v>
      </c>
    </row>
    <row r="23" spans="5:22" x14ac:dyDescent="0.3">
      <c r="E23" t="str">
        <f t="shared" si="2"/>
        <v>Headphones</v>
      </c>
      <c r="F23" s="5">
        <f t="shared" si="3"/>
        <v>0.11734726897432476</v>
      </c>
    </row>
    <row r="24" spans="5:22" x14ac:dyDescent="0.3">
      <c r="E24" t="str">
        <f t="shared" si="2"/>
        <v>Keyboard</v>
      </c>
      <c r="F24" s="5">
        <f t="shared" si="3"/>
        <v>0.12747846068219654</v>
      </c>
    </row>
    <row r="25" spans="5:22" x14ac:dyDescent="0.3">
      <c r="E25" t="str">
        <f t="shared" si="2"/>
        <v>Laptop</v>
      </c>
      <c r="F25" s="5">
        <f t="shared" si="3"/>
        <v>9.248757006276799E-2</v>
      </c>
    </row>
    <row r="26" spans="5:22" x14ac:dyDescent="0.3">
      <c r="E26" t="str">
        <f t="shared" si="2"/>
        <v>Mouse</v>
      </c>
      <c r="F26" s="5">
        <f t="shared" si="3"/>
        <v>0.10019628047995989</v>
      </c>
    </row>
    <row r="27" spans="5:22" x14ac:dyDescent="0.3">
      <c r="E27" t="str">
        <f t="shared" si="2"/>
        <v>Phone</v>
      </c>
      <c r="F27" s="5">
        <f t="shared" si="3"/>
        <v>8.927502371221531E-2</v>
      </c>
    </row>
    <row r="28" spans="5:22" x14ac:dyDescent="0.3">
      <c r="E28" t="str">
        <f t="shared" si="2"/>
        <v>Shoes</v>
      </c>
      <c r="F28" s="5">
        <f t="shared" si="3"/>
        <v>0.10320517782219943</v>
      </c>
    </row>
    <row r="29" spans="5:22" x14ac:dyDescent="0.3">
      <c r="E29" t="str">
        <f t="shared" si="2"/>
        <v>Tablet</v>
      </c>
      <c r="F29" s="5">
        <f t="shared" si="3"/>
        <v>8.9246608145277753E-2</v>
      </c>
    </row>
    <row r="30" spans="5:22" x14ac:dyDescent="0.3">
      <c r="E30" t="str">
        <f t="shared" si="2"/>
        <v>Watch</v>
      </c>
      <c r="F30" s="5">
        <f t="shared" si="3"/>
        <v>0.10513301322122717</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6CD2-D745-4A71-8A8A-54CD0E930BC3}">
  <sheetPr>
    <pageSetUpPr fitToPage="1"/>
  </sheetPr>
  <dimension ref="Q13"/>
  <sheetViews>
    <sheetView topLeftCell="A7" zoomScale="60" zoomScaleNormal="46" workbookViewId="0">
      <selection activeCell="AC23" sqref="AC23"/>
    </sheetView>
  </sheetViews>
  <sheetFormatPr defaultRowHeight="14.4" x14ac:dyDescent="0.3"/>
  <sheetData>
    <row r="13" spans="17:17" x14ac:dyDescent="0.3">
      <c r="Q13" s="9" t="s">
        <v>1712</v>
      </c>
    </row>
  </sheetData>
  <printOptions horizontalCentered="1" verticalCentered="1"/>
  <pageMargins left="0.19685039370078741" right="0" top="0" bottom="0" header="0" footer="0"/>
  <pageSetup paperSize="9" scale="61"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Raw Data</vt:lpstr>
      <vt:lpstr>KPI</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Anand</dc:creator>
  <cp:lastModifiedBy>Swati Anand</cp:lastModifiedBy>
  <cp:lastPrinted>2026-05-22T08:00:38Z</cp:lastPrinted>
  <dcterms:created xsi:type="dcterms:W3CDTF">2026-05-21T11:40:22Z</dcterms:created>
  <dcterms:modified xsi:type="dcterms:W3CDTF">2026-05-28T10:28:39Z</dcterms:modified>
</cp:coreProperties>
</file>